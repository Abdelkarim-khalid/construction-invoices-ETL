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18-11-2023\العبور 54\مستخلصات الجهاز\مستخلص 34\"/>
    </mc:Choice>
  </mc:AlternateContent>
  <xr:revisionPtr revIDLastSave="0" documentId="13_ncr:1_{8E2BFB05-F5C5-4A79-AE73-97C75A231744}" xr6:coauthVersionLast="36" xr6:coauthVersionMax="40" xr10:uidLastSave="{00000000-0000-0000-0000-000000000000}"/>
  <bookViews>
    <workbookView xWindow="0" yWindow="0" windowWidth="20490" windowHeight="6825" tabRatio="585" activeTab="4" xr2:uid="{00000000-000D-0000-FFFF-FFFF00000000}"/>
  </bookViews>
  <sheets>
    <sheet name="بيان كهربة 54 (2)" sheetId="26" r:id="rId1"/>
    <sheet name="كهرباء 54" sheetId="25" r:id="rId2"/>
    <sheet name="اجمــــــــاليات " sheetId="19" r:id="rId3"/>
    <sheet name="بيان الاعمال" sheetId="21" r:id="rId4"/>
    <sheet name="مستخلص" sheetId="14" r:id="rId5"/>
    <sheet name="تشوينات" sheetId="24" r:id="rId6"/>
    <sheet name="تفصيلة المستخلص" sheetId="30" state="hidden" r:id="rId7"/>
    <sheet name="اجمالى تفصيلة " sheetId="31" state="hidden" r:id="rId8"/>
    <sheet name="خطاب (2)" sheetId="29" r:id="rId9"/>
    <sheet name="التحقق من التشوينات " sheetId="32" state="hidden" r:id="rId10"/>
    <sheet name="الجارى" sheetId="34" state="hidden" r:id="rId11"/>
  </sheets>
  <definedNames>
    <definedName name="_xlnm.Print_Area" localSheetId="7">'اجمالى تفصيلة '!$A$1:$D$38</definedName>
    <definedName name="_xlnm.Print_Area" localSheetId="2">'اجمــــــــاليات '!$A$1:$D$38</definedName>
    <definedName name="_xlnm.Print_Area" localSheetId="9">'التحقق من التشوينات '!$F$10:$O$27</definedName>
    <definedName name="_xlnm.Print_Area" localSheetId="10">الجارى!$E$1:$S$74</definedName>
    <definedName name="_xlnm.Print_Area" localSheetId="3">'بيان الاعمال'!$A$1:$BH$351</definedName>
    <definedName name="_xlnm.Print_Area" localSheetId="0">'بيان كهربة 54 (2)'!$A$1:$BJ$59</definedName>
    <definedName name="_xlnm.Print_Area" localSheetId="5">تشوينات!$A$1:$O$44</definedName>
    <definedName name="_xlnm.Print_Area" localSheetId="6">'تفصيلة المستخلص'!$E$8:$J$33</definedName>
    <definedName name="_xlnm.Print_Area" localSheetId="8">'خطاب (2)'!$B$1:$Q$43</definedName>
    <definedName name="_xlnm.Print_Area" localSheetId="1">'كهرباء 54'!$A$1:$P$96</definedName>
    <definedName name="_xlnm.Print_Area" localSheetId="4">مستخلص!$A$2:$N$58,مستخلص!$A$60:$N$169,مستخلص!$A$171:$N$232</definedName>
    <definedName name="_xlnm.Print_Titles" localSheetId="9">'التحقق من التشوينات '!$8:$9</definedName>
    <definedName name="_xlnm.Print_Titles" localSheetId="10">الجارى!$3:$4</definedName>
    <definedName name="_xlnm.Print_Titles" localSheetId="3">'بيان الاعمال'!$A:$D,'بيان الاعمال'!$1:$1</definedName>
    <definedName name="_xlnm.Print_Titles" localSheetId="0">'بيان كهربة 54 (2)'!$1:$7</definedName>
    <definedName name="_xlnm.Print_Titles" localSheetId="5">تشوينات!$1:$8</definedName>
    <definedName name="_xlnm.Print_Titles" localSheetId="1">'كهرباء 54'!$1:$7</definedName>
    <definedName name="_xlnm.Print_Titles" localSheetId="4">مستخلص!$2:$9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5" i="19" l="1"/>
  <c r="L26" i="29" l="1"/>
  <c r="J28" i="29" s="1"/>
  <c r="J20" i="29"/>
  <c r="J34" i="29"/>
  <c r="D5" i="19"/>
  <c r="GA30" i="24"/>
  <c r="GA29" i="24"/>
  <c r="GA28" i="24"/>
  <c r="M30" i="24"/>
  <c r="L30" i="24"/>
  <c r="J30" i="24"/>
  <c r="M26" i="24"/>
  <c r="L26" i="24"/>
  <c r="J26" i="24"/>
  <c r="M29" i="24"/>
  <c r="M28" i="24"/>
  <c r="L29" i="24"/>
  <c r="L28" i="24"/>
  <c r="J29" i="24"/>
  <c r="J28" i="24"/>
  <c r="H29" i="24"/>
  <c r="H28" i="24"/>
  <c r="E29" i="24"/>
  <c r="E28" i="24"/>
  <c r="GA12" i="24"/>
  <c r="M13" i="24"/>
  <c r="L13" i="24"/>
  <c r="J13" i="24"/>
  <c r="GA9" i="24"/>
  <c r="M12" i="24"/>
  <c r="M11" i="24"/>
  <c r="M10" i="24"/>
  <c r="M9" i="24"/>
  <c r="L12" i="24"/>
  <c r="L11" i="24"/>
  <c r="L10" i="24"/>
  <c r="L9" i="24"/>
  <c r="J12" i="24"/>
  <c r="J11" i="24"/>
  <c r="J10" i="24"/>
  <c r="J9" i="24"/>
  <c r="H12" i="24"/>
  <c r="H11" i="24"/>
  <c r="H10" i="24"/>
  <c r="H9" i="24"/>
  <c r="J83" i="25"/>
  <c r="J107" i="14"/>
  <c r="J130" i="14"/>
  <c r="J129" i="14"/>
  <c r="J126" i="14"/>
  <c r="J125" i="14"/>
  <c r="J122" i="14"/>
  <c r="L122" i="14" s="1"/>
  <c r="M122" i="14" s="1"/>
  <c r="J121" i="14"/>
  <c r="M219" i="14"/>
  <c r="M213" i="14"/>
  <c r="L219" i="14"/>
  <c r="L218" i="14"/>
  <c r="M218" i="14" s="1"/>
  <c r="L217" i="14"/>
  <c r="M217" i="14" s="1"/>
  <c r="L216" i="14"/>
  <c r="M216" i="14" s="1"/>
  <c r="L215" i="14"/>
  <c r="M215" i="14" s="1"/>
  <c r="L214" i="14"/>
  <c r="M214" i="14" s="1"/>
  <c r="L213" i="14"/>
  <c r="J219" i="14"/>
  <c r="J218" i="14"/>
  <c r="J217" i="14"/>
  <c r="J216" i="14"/>
  <c r="J215" i="14"/>
  <c r="J214" i="14"/>
  <c r="J213" i="14"/>
  <c r="M199" i="14"/>
  <c r="M189" i="14"/>
  <c r="M187" i="14"/>
  <c r="M186" i="14"/>
  <c r="M183" i="14"/>
  <c r="M182" i="14"/>
  <c r="M180" i="14"/>
  <c r="M179" i="14"/>
  <c r="M178" i="14"/>
  <c r="M175" i="14"/>
  <c r="M174" i="14"/>
  <c r="L199" i="14"/>
  <c r="L198" i="14"/>
  <c r="M198" i="14" s="1"/>
  <c r="L197" i="14"/>
  <c r="M197" i="14" s="1"/>
  <c r="L196" i="14"/>
  <c r="M196" i="14" s="1"/>
  <c r="L195" i="14"/>
  <c r="M195" i="14" s="1"/>
  <c r="L194" i="14"/>
  <c r="M194" i="14" s="1"/>
  <c r="L193" i="14"/>
  <c r="M193" i="14" s="1"/>
  <c r="L192" i="14"/>
  <c r="M192" i="14" s="1"/>
  <c r="L191" i="14"/>
  <c r="M191" i="14" s="1"/>
  <c r="L189" i="14"/>
  <c r="L188" i="14"/>
  <c r="M188" i="14" s="1"/>
  <c r="L187" i="14"/>
  <c r="L186" i="14"/>
  <c r="L184" i="14"/>
  <c r="M184" i="14" s="1"/>
  <c r="L183" i="14"/>
  <c r="L182" i="14"/>
  <c r="L180" i="14"/>
  <c r="L179" i="14"/>
  <c r="L178" i="14"/>
  <c r="L176" i="14"/>
  <c r="M176" i="14" s="1"/>
  <c r="L175" i="14"/>
  <c r="L174" i="14"/>
  <c r="J188" i="14"/>
  <c r="J187" i="14"/>
  <c r="J186" i="14"/>
  <c r="J184" i="14"/>
  <c r="J183" i="14"/>
  <c r="J182" i="14"/>
  <c r="J180" i="14"/>
  <c r="J179" i="14"/>
  <c r="J178" i="14"/>
  <c r="J176" i="14"/>
  <c r="J175" i="14"/>
  <c r="J174" i="14"/>
  <c r="J199" i="14"/>
  <c r="J198" i="14"/>
  <c r="J197" i="14"/>
  <c r="J196" i="14"/>
  <c r="J195" i="14"/>
  <c r="J194" i="14"/>
  <c r="J193" i="14"/>
  <c r="J192" i="14"/>
  <c r="J191" i="14"/>
  <c r="J190" i="14"/>
  <c r="L190" i="14" s="1"/>
  <c r="J189" i="14"/>
  <c r="M157" i="14"/>
  <c r="L157" i="14"/>
  <c r="L156" i="14"/>
  <c r="M156" i="14" s="1"/>
  <c r="L155" i="14"/>
  <c r="M155" i="14" s="1"/>
  <c r="L153" i="14"/>
  <c r="M153" i="14" s="1"/>
  <c r="L152" i="14"/>
  <c r="M152" i="14" s="1"/>
  <c r="L151" i="14"/>
  <c r="M151" i="14" s="1"/>
  <c r="J157" i="14"/>
  <c r="J156" i="14"/>
  <c r="J155" i="14"/>
  <c r="J153" i="14"/>
  <c r="J152" i="14"/>
  <c r="J151" i="14"/>
  <c r="I151" i="14"/>
  <c r="J110" i="14"/>
  <c r="J111" i="14"/>
  <c r="J112" i="14"/>
  <c r="J115" i="14"/>
  <c r="J114" i="14"/>
  <c r="J116" i="14"/>
  <c r="M134" i="14"/>
  <c r="M133" i="14"/>
  <c r="M129" i="14"/>
  <c r="L136" i="14"/>
  <c r="M136" i="14" s="1"/>
  <c r="L135" i="14"/>
  <c r="M135" i="14" s="1"/>
  <c r="L134" i="14"/>
  <c r="L133" i="14"/>
  <c r="L132" i="14"/>
  <c r="M132" i="14" s="1"/>
  <c r="L131" i="14"/>
  <c r="M131" i="14" s="1"/>
  <c r="L130" i="14"/>
  <c r="M130" i="14" s="1"/>
  <c r="L129" i="14"/>
  <c r="L128" i="14"/>
  <c r="M128" i="14" s="1"/>
  <c r="L127" i="14"/>
  <c r="M127" i="14" s="1"/>
  <c r="L126" i="14"/>
  <c r="M126" i="14" s="1"/>
  <c r="J136" i="14"/>
  <c r="J135" i="14"/>
  <c r="J134" i="14"/>
  <c r="J133" i="14"/>
  <c r="J132" i="14"/>
  <c r="J131" i="14"/>
  <c r="J128" i="14"/>
  <c r="J127" i="14"/>
  <c r="J124" i="14"/>
  <c r="L124" i="14" s="1"/>
  <c r="J123" i="14"/>
  <c r="L123" i="14" s="1"/>
  <c r="J120" i="14"/>
  <c r="L120" i="14" s="1"/>
  <c r="J119" i="14"/>
  <c r="L119" i="14" s="1"/>
  <c r="J118" i="14"/>
  <c r="L118" i="14" s="1"/>
  <c r="M118" i="14" s="1"/>
  <c r="M115" i="14"/>
  <c r="M114" i="14"/>
  <c r="M111" i="14"/>
  <c r="M110" i="14"/>
  <c r="L116" i="14"/>
  <c r="M116" i="14" s="1"/>
  <c r="L115" i="14"/>
  <c r="L114" i="14"/>
  <c r="L112" i="14"/>
  <c r="M112" i="14" s="1"/>
  <c r="L111" i="14"/>
  <c r="L110" i="14"/>
  <c r="M90" i="14"/>
  <c r="L94" i="14"/>
  <c r="M94" i="14" s="1"/>
  <c r="L93" i="14"/>
  <c r="M93" i="14" s="1"/>
  <c r="L92" i="14"/>
  <c r="M92" i="14" s="1"/>
  <c r="L91" i="14"/>
  <c r="M91" i="14" s="1"/>
  <c r="L90" i="14"/>
  <c r="L89" i="14"/>
  <c r="M89" i="14" s="1"/>
  <c r="L88" i="14"/>
  <c r="M88" i="14" s="1"/>
  <c r="J94" i="14"/>
  <c r="J93" i="14"/>
  <c r="J92" i="14"/>
  <c r="J91" i="14"/>
  <c r="J90" i="14"/>
  <c r="J89" i="14"/>
  <c r="J88" i="14"/>
  <c r="M70" i="14"/>
  <c r="M69" i="14"/>
  <c r="M68" i="14"/>
  <c r="M63" i="14"/>
  <c r="M62" i="14"/>
  <c r="L73" i="14"/>
  <c r="M73" i="14" s="1"/>
  <c r="L71" i="14"/>
  <c r="M71" i="14" s="1"/>
  <c r="L70" i="14"/>
  <c r="L69" i="14"/>
  <c r="L68" i="14"/>
  <c r="L67" i="14"/>
  <c r="L63" i="14"/>
  <c r="L62" i="14"/>
  <c r="J73" i="14"/>
  <c r="J71" i="14"/>
  <c r="J70" i="14"/>
  <c r="J69" i="14"/>
  <c r="J68" i="14"/>
  <c r="J67" i="14"/>
  <c r="J65" i="14"/>
  <c r="J63" i="14"/>
  <c r="J62" i="14"/>
  <c r="M60" i="14"/>
  <c r="L60" i="14"/>
  <c r="J60" i="14"/>
  <c r="M47" i="14"/>
  <c r="M46" i="14"/>
  <c r="M45" i="14"/>
  <c r="M44" i="14"/>
  <c r="M43" i="14"/>
  <c r="M41" i="14"/>
  <c r="M40" i="14"/>
  <c r="M39" i="14"/>
  <c r="M38" i="14"/>
  <c r="M37" i="14"/>
  <c r="L47" i="14"/>
  <c r="L46" i="14"/>
  <c r="L45" i="14"/>
  <c r="L44" i="14"/>
  <c r="L43" i="14"/>
  <c r="L41" i="14"/>
  <c r="L40" i="14"/>
  <c r="L39" i="14"/>
  <c r="L38" i="14"/>
  <c r="L37" i="14"/>
  <c r="J47" i="14"/>
  <c r="J46" i="14"/>
  <c r="J45" i="14"/>
  <c r="J44" i="14"/>
  <c r="J43" i="14"/>
  <c r="J41" i="14"/>
  <c r="J40" i="14"/>
  <c r="J39" i="14"/>
  <c r="J38" i="14"/>
  <c r="J37" i="14"/>
  <c r="M35" i="14"/>
  <c r="L35" i="14"/>
  <c r="J35" i="14"/>
  <c r="L23" i="14"/>
  <c r="M23" i="14"/>
  <c r="M22" i="14"/>
  <c r="M21" i="14"/>
  <c r="M20" i="14"/>
  <c r="M19" i="14"/>
  <c r="M17" i="14"/>
  <c r="M16" i="14"/>
  <c r="M14" i="14"/>
  <c r="M13" i="14"/>
  <c r="M12" i="14"/>
  <c r="M11" i="14"/>
  <c r="L22" i="14"/>
  <c r="L21" i="14"/>
  <c r="L20" i="14"/>
  <c r="L19" i="14"/>
  <c r="L17" i="14"/>
  <c r="L16" i="14"/>
  <c r="L14" i="14"/>
  <c r="L13" i="14"/>
  <c r="L12" i="14"/>
  <c r="L11" i="14"/>
  <c r="J23" i="14"/>
  <c r="J22" i="14"/>
  <c r="J21" i="14"/>
  <c r="J20" i="14"/>
  <c r="J19" i="14"/>
  <c r="J17" i="14"/>
  <c r="J16" i="14"/>
  <c r="J14" i="14"/>
  <c r="J13" i="14"/>
  <c r="J12" i="14"/>
  <c r="J11" i="14"/>
  <c r="I214" i="14"/>
  <c r="H214" i="14" s="1"/>
  <c r="BH281" i="21"/>
  <c r="I114" i="14"/>
  <c r="H114" i="14" s="1"/>
  <c r="H219" i="14"/>
  <c r="H218" i="14"/>
  <c r="H217" i="14"/>
  <c r="H216" i="14"/>
  <c r="H215" i="14"/>
  <c r="H213" i="14"/>
  <c r="H199" i="14"/>
  <c r="H198" i="14"/>
  <c r="H197" i="14"/>
  <c r="H196" i="14"/>
  <c r="H195" i="14"/>
  <c r="H194" i="14"/>
  <c r="H193" i="14"/>
  <c r="H192" i="14"/>
  <c r="H191" i="14"/>
  <c r="H190" i="14"/>
  <c r="H189" i="14"/>
  <c r="H188" i="14"/>
  <c r="H187" i="14"/>
  <c r="H186" i="14"/>
  <c r="H180" i="14"/>
  <c r="H179" i="14"/>
  <c r="H178" i="14"/>
  <c r="H176" i="14"/>
  <c r="H175" i="14"/>
  <c r="H174" i="14"/>
  <c r="H157" i="14"/>
  <c r="H156" i="14"/>
  <c r="H155" i="14"/>
  <c r="H153" i="14"/>
  <c r="H152" i="14"/>
  <c r="H151" i="14"/>
  <c r="H136" i="14"/>
  <c r="H135" i="14"/>
  <c r="H134" i="14"/>
  <c r="H133" i="14"/>
  <c r="H132" i="14"/>
  <c r="H131" i="14"/>
  <c r="H130" i="14"/>
  <c r="H129" i="14"/>
  <c r="H128" i="14"/>
  <c r="H127" i="14"/>
  <c r="H126" i="14"/>
  <c r="H125" i="14"/>
  <c r="H124" i="14"/>
  <c r="H123" i="14"/>
  <c r="H122" i="14"/>
  <c r="H121" i="14"/>
  <c r="H120" i="14"/>
  <c r="H119" i="14"/>
  <c r="H118" i="14"/>
  <c r="H116" i="14"/>
  <c r="H115" i="14"/>
  <c r="H112" i="14"/>
  <c r="H111" i="14"/>
  <c r="H110" i="14"/>
  <c r="H94" i="14"/>
  <c r="H93" i="14"/>
  <c r="H92" i="14"/>
  <c r="H91" i="14"/>
  <c r="H90" i="14"/>
  <c r="H89" i="14"/>
  <c r="H88" i="14"/>
  <c r="H73" i="14"/>
  <c r="H71" i="14"/>
  <c r="H70" i="14"/>
  <c r="H69" i="14"/>
  <c r="H68" i="14"/>
  <c r="H67" i="14"/>
  <c r="H65" i="14"/>
  <c r="H63" i="14"/>
  <c r="H62" i="14"/>
  <c r="H46" i="14"/>
  <c r="H45" i="14"/>
  <c r="H44" i="14"/>
  <c r="H43" i="14"/>
  <c r="H41" i="14"/>
  <c r="H40" i="14"/>
  <c r="H39" i="14"/>
  <c r="H38" i="14"/>
  <c r="H37" i="14"/>
  <c r="H22" i="14"/>
  <c r="H21" i="14"/>
  <c r="H20" i="14"/>
  <c r="H19" i="14"/>
  <c r="H17" i="14"/>
  <c r="H16" i="14"/>
  <c r="H14" i="14"/>
  <c r="H13" i="14"/>
  <c r="H12" i="14"/>
  <c r="H11" i="14"/>
  <c r="BH318" i="21"/>
  <c r="J137" i="14" l="1"/>
  <c r="J149" i="14" s="1"/>
  <c r="M67" i="14"/>
  <c r="M190" i="14"/>
  <c r="L125" i="14"/>
  <c r="M125" i="14" s="1"/>
  <c r="M123" i="14"/>
  <c r="M124" i="14"/>
  <c r="L121" i="14"/>
  <c r="M121" i="14" s="1"/>
  <c r="M119" i="14"/>
  <c r="M120" i="14"/>
  <c r="L65" i="14"/>
  <c r="M65" i="14" s="1"/>
  <c r="BG281" i="21"/>
  <c r="BG282" i="21"/>
  <c r="BG283" i="21"/>
  <c r="BG284" i="21"/>
  <c r="BG285" i="21"/>
  <c r="BG286" i="21"/>
  <c r="BJ340" i="21"/>
  <c r="BK316" i="21"/>
  <c r="BJ316" i="21"/>
  <c r="BI148" i="21"/>
  <c r="BJ344" i="21"/>
  <c r="BJ342" i="21"/>
  <c r="I12" i="14"/>
  <c r="BI114" i="21"/>
  <c r="BI105" i="21"/>
  <c r="L8" i="25"/>
  <c r="F8" i="26"/>
  <c r="BI8" i="26"/>
  <c r="L84" i="25"/>
  <c r="L82" i="25"/>
  <c r="O83" i="25"/>
  <c r="N83" i="25"/>
  <c r="L83" i="25"/>
  <c r="N68" i="25"/>
  <c r="O68" i="25" s="1"/>
  <c r="N67" i="25"/>
  <c r="O67" i="25" s="1"/>
  <c r="N66" i="25"/>
  <c r="O66" i="25" s="1"/>
  <c r="N65" i="25"/>
  <c r="O65" i="25" s="1"/>
  <c r="N64" i="25"/>
  <c r="O64" i="25" s="1"/>
  <c r="N63" i="25"/>
  <c r="O63" i="25" s="1"/>
  <c r="N62" i="25"/>
  <c r="O62" i="25" s="1"/>
  <c r="N61" i="25"/>
  <c r="O61" i="25" s="1"/>
  <c r="N60" i="25"/>
  <c r="O60" i="25" s="1"/>
  <c r="N59" i="25"/>
  <c r="O59" i="25" s="1"/>
  <c r="N58" i="25"/>
  <c r="O58" i="25" s="1"/>
  <c r="N57" i="25"/>
  <c r="O57" i="25" s="1"/>
  <c r="N56" i="25"/>
  <c r="O56" i="25" s="1"/>
  <c r="N55" i="25"/>
  <c r="O55" i="25" s="1"/>
  <c r="N54" i="25"/>
  <c r="O54" i="25" s="1"/>
  <c r="N53" i="25"/>
  <c r="O53" i="25" s="1"/>
  <c r="N52" i="25"/>
  <c r="O52" i="25" s="1"/>
  <c r="L69" i="25"/>
  <c r="L68" i="25"/>
  <c r="L67" i="25"/>
  <c r="L66" i="25"/>
  <c r="L65" i="25"/>
  <c r="L64" i="25"/>
  <c r="L63" i="25"/>
  <c r="L62" i="25"/>
  <c r="L61" i="25"/>
  <c r="L60" i="25"/>
  <c r="L59" i="25"/>
  <c r="L58" i="25"/>
  <c r="L57" i="25"/>
  <c r="L56" i="25"/>
  <c r="L55" i="25"/>
  <c r="L54" i="25"/>
  <c r="L53" i="25"/>
  <c r="L52" i="25"/>
  <c r="L51" i="25"/>
  <c r="O35" i="25"/>
  <c r="O34" i="25"/>
  <c r="O32" i="25"/>
  <c r="O30" i="25"/>
  <c r="O28" i="25"/>
  <c r="O26" i="25"/>
  <c r="O24" i="25"/>
  <c r="O22" i="25"/>
  <c r="O19" i="25"/>
  <c r="O18" i="25"/>
  <c r="O14" i="25"/>
  <c r="O12" i="25"/>
  <c r="O10" i="25"/>
  <c r="O9" i="25"/>
  <c r="O8" i="25"/>
  <c r="N37" i="25"/>
  <c r="O37" i="25" s="1"/>
  <c r="N36" i="25"/>
  <c r="N35" i="25"/>
  <c r="N34" i="25"/>
  <c r="N33" i="25"/>
  <c r="O33" i="25" s="1"/>
  <c r="N32" i="25"/>
  <c r="N31" i="25"/>
  <c r="O31" i="25" s="1"/>
  <c r="N30" i="25"/>
  <c r="N29" i="25"/>
  <c r="O29" i="25" s="1"/>
  <c r="N28" i="25"/>
  <c r="N27" i="25"/>
  <c r="O27" i="25" s="1"/>
  <c r="N26" i="25"/>
  <c r="N25" i="25"/>
  <c r="O25" i="25" s="1"/>
  <c r="N24" i="25"/>
  <c r="N23" i="25"/>
  <c r="O23" i="25" s="1"/>
  <c r="N22" i="25"/>
  <c r="N21" i="25"/>
  <c r="O21" i="25" s="1"/>
  <c r="N20" i="25"/>
  <c r="O20" i="25" s="1"/>
  <c r="N19" i="25"/>
  <c r="N18" i="25"/>
  <c r="N17" i="25"/>
  <c r="O17" i="25" s="1"/>
  <c r="N16" i="25"/>
  <c r="O16" i="25" s="1"/>
  <c r="N15" i="25"/>
  <c r="O15" i="25" s="1"/>
  <c r="N14" i="25"/>
  <c r="N13" i="25"/>
  <c r="O13" i="25" s="1"/>
  <c r="N12" i="25"/>
  <c r="N11" i="25"/>
  <c r="N10" i="25"/>
  <c r="N9" i="25"/>
  <c r="N8" i="25"/>
  <c r="L38" i="25"/>
  <c r="L37" i="25"/>
  <c r="L36" i="25"/>
  <c r="L35" i="25"/>
  <c r="L34" i="25"/>
  <c r="L33" i="25"/>
  <c r="L32" i="25"/>
  <c r="L31" i="25"/>
  <c r="L30" i="25"/>
  <c r="L29" i="25"/>
  <c r="L28" i="25"/>
  <c r="L27" i="25"/>
  <c r="L26" i="25"/>
  <c r="L25" i="25"/>
  <c r="L24" i="25"/>
  <c r="L23" i="25"/>
  <c r="L22" i="25"/>
  <c r="L21" i="25"/>
  <c r="L20" i="25"/>
  <c r="L19" i="25"/>
  <c r="L18" i="25"/>
  <c r="L17" i="25"/>
  <c r="L16" i="25"/>
  <c r="L15" i="25"/>
  <c r="L14" i="25"/>
  <c r="L13" i="25"/>
  <c r="L12" i="25"/>
  <c r="L11" i="25"/>
  <c r="L10" i="25"/>
  <c r="L9" i="25"/>
  <c r="K63" i="25"/>
  <c r="K62" i="25"/>
  <c r="K61" i="25"/>
  <c r="K60" i="25"/>
  <c r="K59" i="25"/>
  <c r="K58" i="25"/>
  <c r="K57" i="25"/>
  <c r="K56" i="25"/>
  <c r="K55" i="25"/>
  <c r="K54" i="25"/>
  <c r="K53" i="25"/>
  <c r="K52" i="25"/>
  <c r="K35" i="25"/>
  <c r="K27" i="25"/>
  <c r="K25" i="25"/>
  <c r="K21" i="25"/>
  <c r="J21" i="25" s="1"/>
  <c r="J68" i="25"/>
  <c r="J67" i="25"/>
  <c r="J66" i="25"/>
  <c r="J65" i="25"/>
  <c r="J64" i="25"/>
  <c r="J63" i="25"/>
  <c r="J62" i="25"/>
  <c r="J61" i="25"/>
  <c r="J60" i="25"/>
  <c r="J59" i="25"/>
  <c r="J58" i="25"/>
  <c r="J57" i="25"/>
  <c r="J56" i="25"/>
  <c r="J55" i="25"/>
  <c r="J54" i="25"/>
  <c r="J53" i="25"/>
  <c r="J52" i="25"/>
  <c r="J37" i="25"/>
  <c r="J36" i="25"/>
  <c r="J35" i="25"/>
  <c r="J34" i="25"/>
  <c r="J33" i="25"/>
  <c r="J32" i="25"/>
  <c r="J31" i="25"/>
  <c r="J30" i="25"/>
  <c r="J29" i="25"/>
  <c r="J28" i="25"/>
  <c r="J27" i="25"/>
  <c r="J26" i="25"/>
  <c r="J25" i="25"/>
  <c r="J24" i="25"/>
  <c r="J23" i="25"/>
  <c r="J22" i="25"/>
  <c r="J20" i="25"/>
  <c r="J19" i="25"/>
  <c r="J18" i="25"/>
  <c r="J17" i="25"/>
  <c r="J16" i="25"/>
  <c r="J15" i="25"/>
  <c r="J14" i="25"/>
  <c r="J13" i="25"/>
  <c r="J12" i="25"/>
  <c r="J11" i="25"/>
  <c r="J10" i="25"/>
  <c r="J9" i="25"/>
  <c r="J8" i="25"/>
  <c r="K68" i="25"/>
  <c r="K67" i="25"/>
  <c r="K66" i="25"/>
  <c r="K37" i="25"/>
  <c r="K33" i="25"/>
  <c r="K31" i="25"/>
  <c r="K29" i="25"/>
  <c r="K23" i="25"/>
  <c r="K20" i="25"/>
  <c r="K13" i="25"/>
  <c r="K11" i="25"/>
  <c r="F56" i="26"/>
  <c r="N38" i="25" l="1"/>
  <c r="N51" i="25" s="1"/>
  <c r="N69" i="25" s="1"/>
  <c r="N82" i="25" s="1"/>
  <c r="N84" i="25" s="1"/>
  <c r="R83" i="25" s="1"/>
  <c r="O11" i="25"/>
  <c r="O38" i="25" s="1"/>
  <c r="O51" i="25" s="1"/>
  <c r="O69" i="25" s="1"/>
  <c r="O82" i="25" s="1"/>
  <c r="O84" i="25" s="1"/>
  <c r="E4" i="19"/>
  <c r="B6" i="19"/>
  <c r="GA11" i="24"/>
  <c r="I157" i="14"/>
  <c r="O217" i="14"/>
  <c r="O193" i="14"/>
  <c r="O192" i="14"/>
  <c r="O191" i="14"/>
  <c r="O156" i="14"/>
  <c r="S83" i="25" l="1"/>
  <c r="R84" i="25"/>
  <c r="R85" i="25" s="1"/>
  <c r="C4" i="19"/>
  <c r="D4" i="19" s="1"/>
  <c r="GA10" i="24"/>
  <c r="BJ326" i="21"/>
  <c r="BH346" i="21"/>
  <c r="BI347" i="21"/>
  <c r="BI337" i="21"/>
  <c r="BI338" i="21"/>
  <c r="BI339" i="21"/>
  <c r="BI340" i="21"/>
  <c r="BI342" i="21"/>
  <c r="BI344" i="21"/>
  <c r="BI346" i="21"/>
  <c r="BI348" i="21"/>
  <c r="BI349" i="21"/>
  <c r="BI336" i="21"/>
  <c r="BI333" i="21"/>
  <c r="BI331" i="21"/>
  <c r="BI330" i="21"/>
  <c r="BI329" i="21"/>
  <c r="BH329" i="21"/>
  <c r="BG182" i="21"/>
  <c r="BI182" i="21" s="1"/>
  <c r="BI101" i="21"/>
  <c r="BI100" i="21"/>
  <c r="K65" i="25" l="1"/>
  <c r="K10" i="25"/>
  <c r="F83" i="25"/>
  <c r="BI56" i="26" l="1"/>
  <c r="O187" i="14" l="1"/>
  <c r="O127" i="14"/>
  <c r="O119" i="14"/>
  <c r="E173" i="14" l="1"/>
  <c r="E177" i="14"/>
  <c r="H177" i="14"/>
  <c r="J177" i="14"/>
  <c r="L177" i="14"/>
  <c r="O177" i="14"/>
  <c r="E153" i="14"/>
  <c r="E152" i="14"/>
  <c r="BG194" i="21"/>
  <c r="BI194" i="21" s="1"/>
  <c r="BG193" i="21"/>
  <c r="BI193" i="21" s="1"/>
  <c r="BG192" i="21"/>
  <c r="BI192" i="21" s="1"/>
  <c r="BG191" i="21"/>
  <c r="BG184" i="21"/>
  <c r="BH184" i="21" s="1"/>
  <c r="I122" i="14" s="1"/>
  <c r="BG186" i="21"/>
  <c r="BI186" i="21" s="1"/>
  <c r="BG187" i="21"/>
  <c r="BI187" i="21" s="1"/>
  <c r="BG188" i="21"/>
  <c r="BI188" i="21" s="1"/>
  <c r="BG189" i="21"/>
  <c r="BI189" i="21" s="1"/>
  <c r="BG237" i="21"/>
  <c r="BI237" i="21" s="1"/>
  <c r="BG236" i="21"/>
  <c r="BI236" i="21" s="1"/>
  <c r="BG235" i="21"/>
  <c r="BI235" i="21" s="1"/>
  <c r="BG234" i="21"/>
  <c r="BI234" i="21" s="1"/>
  <c r="BG233" i="21"/>
  <c r="BI233" i="21" s="1"/>
  <c r="BG232" i="21"/>
  <c r="BI232" i="21" s="1"/>
  <c r="BG231" i="21"/>
  <c r="BI231" i="21" s="1"/>
  <c r="BG230" i="21"/>
  <c r="BI230" i="21" s="1"/>
  <c r="BG229" i="21"/>
  <c r="BI229" i="21" s="1"/>
  <c r="BG276" i="21"/>
  <c r="BI276" i="21" s="1"/>
  <c r="BG275" i="21"/>
  <c r="BI275" i="21" s="1"/>
  <c r="BG254" i="21"/>
  <c r="BI254" i="21" s="1"/>
  <c r="BG240" i="21"/>
  <c r="BI240" i="21" s="1"/>
  <c r="BG239" i="21"/>
  <c r="BI239" i="21" s="1"/>
  <c r="BG238" i="21"/>
  <c r="BI238" i="21" s="1"/>
  <c r="BG259" i="21"/>
  <c r="BI259" i="21" s="1"/>
  <c r="BG258" i="21"/>
  <c r="BG257" i="21"/>
  <c r="BI257" i="21" s="1"/>
  <c r="BG256" i="21"/>
  <c r="BI256" i="21" s="1"/>
  <c r="BG255" i="21"/>
  <c r="BI255" i="21" s="1"/>
  <c r="BI286" i="21"/>
  <c r="BI285" i="21"/>
  <c r="BI284" i="21"/>
  <c r="BI283" i="21"/>
  <c r="BI282" i="21"/>
  <c r="BI281" i="21"/>
  <c r="BG305" i="21"/>
  <c r="BI305" i="21" s="1"/>
  <c r="BG304" i="21"/>
  <c r="BI304" i="21" s="1"/>
  <c r="BG303" i="21"/>
  <c r="BI303" i="21" s="1"/>
  <c r="BG302" i="21"/>
  <c r="BI302" i="21" s="1"/>
  <c r="BG301" i="21"/>
  <c r="BI301" i="21" s="1"/>
  <c r="BG300" i="21"/>
  <c r="BI300" i="21" s="1"/>
  <c r="BH300" i="21" l="1"/>
  <c r="I184" i="14"/>
  <c r="H184" i="14" s="1"/>
  <c r="BH254" i="21"/>
  <c r="I180" i="14" s="1"/>
  <c r="BI184" i="21"/>
  <c r="M177" i="14"/>
  <c r="BH194" i="21"/>
  <c r="I130" i="14" s="1"/>
  <c r="BH189" i="21"/>
  <c r="I126" i="14" s="1"/>
  <c r="BH229" i="21"/>
  <c r="I175" i="14" s="1"/>
  <c r="BH235" i="21"/>
  <c r="I176" i="14" s="1"/>
  <c r="BI258" i="21"/>
  <c r="I188" i="14" l="1"/>
  <c r="O180" i="14"/>
  <c r="K36" i="25"/>
  <c r="K34" i="25"/>
  <c r="K32" i="25"/>
  <c r="O36" i="25" l="1"/>
  <c r="O184" i="14"/>
  <c r="J113" i="14"/>
  <c r="L113" i="14" s="1"/>
  <c r="M113" i="14" s="1"/>
  <c r="E113" i="14"/>
  <c r="J109" i="14"/>
  <c r="BG223" i="21"/>
  <c r="BI223" i="21" s="1"/>
  <c r="BG171" i="21"/>
  <c r="BG164" i="21"/>
  <c r="BG163" i="21"/>
  <c r="BG165" i="21"/>
  <c r="BG156" i="21"/>
  <c r="BI156" i="21" s="1"/>
  <c r="BG149" i="21"/>
  <c r="BG150" i="21"/>
  <c r="BG151" i="21"/>
  <c r="BG152" i="21"/>
  <c r="BG153" i="21"/>
  <c r="BG154" i="21"/>
  <c r="Q32" i="24" l="1"/>
  <c r="J185" i="14" l="1"/>
  <c r="J173" i="14"/>
  <c r="L173" i="14" s="1"/>
  <c r="H185" i="14"/>
  <c r="H173" i="14"/>
  <c r="E12" i="24"/>
  <c r="L185" i="14" l="1"/>
  <c r="M185" i="14" s="1"/>
  <c r="M173" i="14"/>
  <c r="I12" i="24"/>
  <c r="E219" i="14"/>
  <c r="E218" i="14"/>
  <c r="E217" i="14"/>
  <c r="E216" i="14"/>
  <c r="E215" i="14"/>
  <c r="E157" i="14"/>
  <c r="I22" i="29"/>
  <c r="BG110" i="21"/>
  <c r="BH110" i="21" s="1"/>
  <c r="BG111" i="21"/>
  <c r="BI111" i="21" s="1"/>
  <c r="BG109" i="21"/>
  <c r="BI109" i="21" s="1"/>
  <c r="BG108" i="21"/>
  <c r="BI108" i="21" s="1"/>
  <c r="BG107" i="21"/>
  <c r="BI107" i="21" s="1"/>
  <c r="BG106" i="21"/>
  <c r="BI106" i="21" s="1"/>
  <c r="BI110" i="21" l="1"/>
  <c r="BH107" i="21"/>
  <c r="BH108" i="21"/>
  <c r="BH111" i="21"/>
  <c r="E214" i="14" l="1"/>
  <c r="E213" i="14"/>
  <c r="O231" i="14"/>
  <c r="O230" i="14"/>
  <c r="O229" i="14"/>
  <c r="O228" i="14"/>
  <c r="O227" i="14"/>
  <c r="O226" i="14"/>
  <c r="O225" i="14"/>
  <c r="O224" i="14"/>
  <c r="O223" i="14"/>
  <c r="O222" i="14"/>
  <c r="O221" i="14"/>
  <c r="O212" i="14"/>
  <c r="O211" i="14"/>
  <c r="GB12" i="24" l="1"/>
  <c r="GB27" i="24" l="1"/>
  <c r="C5" i="19"/>
  <c r="BG349" i="21"/>
  <c r="BG348" i="21"/>
  <c r="BG347" i="21"/>
  <c r="BG346" i="21"/>
  <c r="BG345" i="21"/>
  <c r="BI345" i="21" s="1"/>
  <c r="BG344" i="21"/>
  <c r="BG343" i="21"/>
  <c r="BI343" i="21" s="1"/>
  <c r="BG342" i="21"/>
  <c r="BG341" i="21"/>
  <c r="BG340" i="21"/>
  <c r="BG339" i="21"/>
  <c r="BG338" i="21"/>
  <c r="BG337" i="21"/>
  <c r="BG336" i="21"/>
  <c r="BI341" i="21" l="1"/>
  <c r="BH340" i="21"/>
  <c r="I216" i="14"/>
  <c r="I215" i="14"/>
  <c r="I213" i="14"/>
  <c r="I218" i="14"/>
  <c r="I217" i="14"/>
  <c r="I219" i="14"/>
  <c r="BH348" i="21"/>
  <c r="BH344" i="21"/>
  <c r="BH342" i="21"/>
  <c r="BH338" i="21"/>
  <c r="BH336" i="21"/>
  <c r="BG332" i="21"/>
  <c r="BI332" i="21" s="1"/>
  <c r="BG331" i="21"/>
  <c r="E198" i="14"/>
  <c r="BG219" i="21"/>
  <c r="BI219" i="21" s="1"/>
  <c r="BG218" i="21"/>
  <c r="BI218" i="21" s="1"/>
  <c r="O215" i="14" l="1"/>
  <c r="O216" i="14"/>
  <c r="O214" i="14"/>
  <c r="O213" i="14"/>
  <c r="I198" i="14"/>
  <c r="O218" i="14"/>
  <c r="O219" i="14"/>
  <c r="BH331" i="21"/>
  <c r="BH218" i="21"/>
  <c r="F52" i="26" l="1"/>
  <c r="BI20" i="26"/>
  <c r="F20" i="26" s="1"/>
  <c r="F46" i="26" l="1"/>
  <c r="F43" i="26"/>
  <c r="I16" i="14" l="1"/>
  <c r="O13" i="14"/>
  <c r="O14" i="14"/>
  <c r="O15" i="14"/>
  <c r="O18" i="14"/>
  <c r="O19" i="14"/>
  <c r="O21" i="14"/>
  <c r="O23" i="14"/>
  <c r="O24" i="14"/>
  <c r="O25" i="14"/>
  <c r="O26" i="14"/>
  <c r="O27" i="14"/>
  <c r="O28" i="14"/>
  <c r="O29" i="14"/>
  <c r="O30" i="14"/>
  <c r="O31" i="14"/>
  <c r="O32" i="14"/>
  <c r="O33" i="14"/>
  <c r="O34" i="14"/>
  <c r="O35" i="14"/>
  <c r="O36" i="14"/>
  <c r="O42" i="14"/>
  <c r="O47" i="14"/>
  <c r="O48" i="14"/>
  <c r="O49" i="14"/>
  <c r="O50" i="14"/>
  <c r="O51" i="14"/>
  <c r="O52" i="14"/>
  <c r="O53" i="14"/>
  <c r="O54" i="14"/>
  <c r="O55" i="14"/>
  <c r="O56" i="14"/>
  <c r="O57" i="14"/>
  <c r="O58" i="14"/>
  <c r="O59" i="14"/>
  <c r="O60" i="14"/>
  <c r="O61" i="14"/>
  <c r="O71" i="14"/>
  <c r="O74" i="14"/>
  <c r="O75" i="14"/>
  <c r="O76" i="14"/>
  <c r="O77" i="14"/>
  <c r="O78" i="14"/>
  <c r="O79" i="14"/>
  <c r="O80" i="14"/>
  <c r="O81" i="14"/>
  <c r="O82" i="14"/>
  <c r="O83" i="14"/>
  <c r="O84" i="14"/>
  <c r="O85" i="14"/>
  <c r="O86" i="14"/>
  <c r="O87" i="14"/>
  <c r="O95" i="14"/>
  <c r="O96" i="14"/>
  <c r="O97" i="14"/>
  <c r="O98" i="14"/>
  <c r="O99" i="14"/>
  <c r="O100" i="14"/>
  <c r="O101" i="14"/>
  <c r="O102" i="14"/>
  <c r="O103" i="14"/>
  <c r="O104" i="14"/>
  <c r="O105" i="14"/>
  <c r="O106" i="14"/>
  <c r="O107" i="14"/>
  <c r="O108" i="14"/>
  <c r="O117" i="14"/>
  <c r="O137" i="14"/>
  <c r="O138" i="14"/>
  <c r="O139" i="14"/>
  <c r="O140" i="14"/>
  <c r="O141" i="14"/>
  <c r="O142" i="14"/>
  <c r="O143" i="14"/>
  <c r="O144" i="14"/>
  <c r="O145" i="14"/>
  <c r="O146" i="14"/>
  <c r="O147" i="14"/>
  <c r="O148" i="14"/>
  <c r="O149" i="14"/>
  <c r="O150" i="14"/>
  <c r="O154" i="14"/>
  <c r="O158" i="14"/>
  <c r="O159" i="14"/>
  <c r="O160" i="14"/>
  <c r="O161" i="14"/>
  <c r="O162" i="14"/>
  <c r="O163" i="14"/>
  <c r="O164" i="14"/>
  <c r="O165" i="14"/>
  <c r="O166" i="14"/>
  <c r="O167" i="14"/>
  <c r="O168" i="14"/>
  <c r="O169" i="14"/>
  <c r="O170" i="14"/>
  <c r="O171" i="14"/>
  <c r="O172" i="14"/>
  <c r="O200" i="14"/>
  <c r="O201" i="14"/>
  <c r="O202" i="14"/>
  <c r="O203" i="14"/>
  <c r="O204" i="14"/>
  <c r="O205" i="14"/>
  <c r="O206" i="14"/>
  <c r="O207" i="14"/>
  <c r="O208" i="14"/>
  <c r="O209" i="14"/>
  <c r="O11" i="14"/>
  <c r="O16" i="14" l="1"/>
  <c r="E118" i="14"/>
  <c r="E109" i="14"/>
  <c r="I20" i="14" l="1"/>
  <c r="O20" i="14" l="1"/>
  <c r="BH193" i="21"/>
  <c r="I129" i="14" s="1"/>
  <c r="BG179" i="21"/>
  <c r="BI179" i="21" s="1"/>
  <c r="BG178" i="21"/>
  <c r="BI178" i="21" s="1"/>
  <c r="O129" i="14" l="1"/>
  <c r="BH179" i="21"/>
  <c r="I118" i="14" s="1"/>
  <c r="BG190" i="21"/>
  <c r="BH190" i="21" s="1"/>
  <c r="BG183" i="21"/>
  <c r="BH182" i="21"/>
  <c r="I120" i="14" s="1"/>
  <c r="BG181" i="21"/>
  <c r="BH183" i="21" l="1"/>
  <c r="I121" i="14" s="1"/>
  <c r="BI183" i="21"/>
  <c r="BH186" i="21"/>
  <c r="I123" i="14" s="1"/>
  <c r="BH181" i="21"/>
  <c r="I119" i="14" s="1"/>
  <c r="O120" i="14"/>
  <c r="O118" i="14"/>
  <c r="BH187" i="21"/>
  <c r="I124" i="14" s="1"/>
  <c r="BI190" i="21"/>
  <c r="BH191" i="21"/>
  <c r="I127" i="14" s="1"/>
  <c r="BH192" i="21"/>
  <c r="I128" i="14" s="1"/>
  <c r="BH188" i="21"/>
  <c r="I125" i="14" s="1"/>
  <c r="O121" i="14" l="1"/>
  <c r="O128" i="14"/>
  <c r="O123" i="14"/>
  <c r="O124" i="14"/>
  <c r="O125" i="14"/>
  <c r="BG175" i="21"/>
  <c r="BI175" i="21" s="1"/>
  <c r="BG174" i="21"/>
  <c r="BI174" i="21" s="1"/>
  <c r="BG173" i="21"/>
  <c r="BI173" i="21" s="1"/>
  <c r="BG172" i="21"/>
  <c r="BI172" i="21" s="1"/>
  <c r="BI171" i="21"/>
  <c r="BG170" i="21"/>
  <c r="BG169" i="21"/>
  <c r="BI169" i="21" s="1"/>
  <c r="BG161" i="21"/>
  <c r="BI161" i="21" s="1"/>
  <c r="BG160" i="21"/>
  <c r="BI160" i="21" s="1"/>
  <c r="BG159" i="21"/>
  <c r="BI159" i="21" s="1"/>
  <c r="BG158" i="21"/>
  <c r="BI158" i="21" s="1"/>
  <c r="BG157" i="21"/>
  <c r="BI157" i="21" s="1"/>
  <c r="BG155" i="21"/>
  <c r="BI155" i="21" s="1"/>
  <c r="BI170" i="21" l="1"/>
  <c r="BH170" i="21"/>
  <c r="BH155" i="21"/>
  <c r="I112" i="14" s="1"/>
  <c r="F68" i="25"/>
  <c r="F67" i="25"/>
  <c r="F65" i="25"/>
  <c r="F63" i="25"/>
  <c r="F62" i="25"/>
  <c r="F61" i="25"/>
  <c r="F60" i="25"/>
  <c r="F59" i="25"/>
  <c r="F58" i="25"/>
  <c r="F57" i="25"/>
  <c r="F56" i="25"/>
  <c r="F55" i="25"/>
  <c r="F54" i="25"/>
  <c r="F53" i="25"/>
  <c r="F52" i="25"/>
  <c r="F36" i="25"/>
  <c r="F34" i="25"/>
  <c r="F32" i="25"/>
  <c r="F30" i="25"/>
  <c r="K30" i="25" s="1"/>
  <c r="F26" i="25"/>
  <c r="K26" i="25" s="1"/>
  <c r="F24" i="25"/>
  <c r="K24" i="25" s="1"/>
  <c r="F22" i="25"/>
  <c r="K22" i="25" s="1"/>
  <c r="F21" i="25"/>
  <c r="F19" i="25"/>
  <c r="K19" i="25" s="1"/>
  <c r="F18" i="25"/>
  <c r="F16" i="25"/>
  <c r="F12" i="25"/>
  <c r="K12" i="25" s="1"/>
  <c r="F10" i="25"/>
  <c r="F9" i="25"/>
  <c r="F8" i="25"/>
  <c r="F64" i="25"/>
  <c r="F28" i="25"/>
  <c r="K28" i="25" s="1"/>
  <c r="F17" i="25"/>
  <c r="F14" i="25"/>
  <c r="K14" i="25" s="1"/>
  <c r="O112" i="14" l="1"/>
  <c r="O111" i="14"/>
  <c r="F49" i="26" l="1"/>
  <c r="F45" i="26"/>
  <c r="BI45" i="26"/>
  <c r="F21" i="26"/>
  <c r="BI21" i="26"/>
  <c r="F32" i="26"/>
  <c r="BI11" i="26"/>
  <c r="F11" i="26" s="1"/>
  <c r="BI12" i="26"/>
  <c r="F12" i="26" s="1"/>
  <c r="BI13" i="26"/>
  <c r="F13" i="26" s="1"/>
  <c r="BI14" i="26"/>
  <c r="F14" i="26" s="1"/>
  <c r="BI15" i="26"/>
  <c r="F15" i="26" s="1"/>
  <c r="BI16" i="26"/>
  <c r="BI17" i="26"/>
  <c r="BI18" i="26"/>
  <c r="BI19" i="26"/>
  <c r="F19" i="26" s="1"/>
  <c r="BI22" i="26"/>
  <c r="BI23" i="26"/>
  <c r="BI24" i="26"/>
  <c r="BI25" i="26"/>
  <c r="BI26" i="26"/>
  <c r="F54" i="26"/>
  <c r="F55" i="26"/>
  <c r="F38" i="26"/>
  <c r="BI37" i="26"/>
  <c r="BI38" i="26"/>
  <c r="BI39" i="26"/>
  <c r="BI40" i="26"/>
  <c r="BI41" i="26"/>
  <c r="BI42" i="26"/>
  <c r="BI43" i="26"/>
  <c r="BI44" i="26"/>
  <c r="BI46" i="26"/>
  <c r="BI47" i="26"/>
  <c r="BI48" i="26"/>
  <c r="BI49" i="26"/>
  <c r="BI54" i="26"/>
  <c r="BI55" i="26"/>
  <c r="BI50" i="26"/>
  <c r="BI51" i="26"/>
  <c r="BI52" i="26"/>
  <c r="BI53" i="26"/>
  <c r="E127" i="14" l="1"/>
  <c r="E123" i="14"/>
  <c r="E119" i="14"/>
  <c r="R69" i="25" l="1"/>
  <c r="R70" i="25" s="1"/>
  <c r="R68" i="25"/>
  <c r="BI147" i="21"/>
  <c r="E11" i="24" l="1"/>
  <c r="E10" i="24"/>
  <c r="E9" i="24"/>
  <c r="E199" i="14"/>
  <c r="E197" i="14"/>
  <c r="E196" i="14"/>
  <c r="E195" i="14"/>
  <c r="E190" i="14"/>
  <c r="E156" i="14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H76" i="21"/>
  <c r="AI76" i="21"/>
  <c r="AJ76" i="21"/>
  <c r="AK76" i="21"/>
  <c r="AL76" i="21"/>
  <c r="AM76" i="21"/>
  <c r="AN76" i="21"/>
  <c r="AO76" i="21"/>
  <c r="AP76" i="21"/>
  <c r="AQ76" i="21"/>
  <c r="AR76" i="21"/>
  <c r="AS76" i="21"/>
  <c r="AT76" i="21"/>
  <c r="AU76" i="21"/>
  <c r="AV76" i="21"/>
  <c r="AW76" i="21"/>
  <c r="AX76" i="21"/>
  <c r="AY76" i="21"/>
  <c r="AZ76" i="21"/>
  <c r="BA76" i="21"/>
  <c r="BB76" i="21"/>
  <c r="BC76" i="21"/>
  <c r="BD76" i="21"/>
  <c r="BE76" i="21"/>
  <c r="BF76" i="21"/>
  <c r="E76" i="21"/>
  <c r="BG62" i="21"/>
  <c r="BI62" i="21" s="1"/>
  <c r="BG63" i="21"/>
  <c r="BI63" i="21" s="1"/>
  <c r="BG64" i="21"/>
  <c r="BI64" i="21" s="1"/>
  <c r="BG65" i="21"/>
  <c r="BI65" i="21" s="1"/>
  <c r="BG66" i="21"/>
  <c r="BI66" i="21" s="1"/>
  <c r="BG67" i="21"/>
  <c r="BI67" i="21" s="1"/>
  <c r="BG68" i="21"/>
  <c r="BI68" i="21" s="1"/>
  <c r="BH61" i="21" l="1"/>
  <c r="BG217" i="21"/>
  <c r="BG334" i="21"/>
  <c r="BG333" i="21"/>
  <c r="BG329" i="21"/>
  <c r="BG330" i="21"/>
  <c r="I197" i="14" s="1"/>
  <c r="BG328" i="21"/>
  <c r="BI328" i="21" s="1"/>
  <c r="BG327" i="21"/>
  <c r="BI327" i="21" s="1"/>
  <c r="BG326" i="21"/>
  <c r="I195" i="14" s="1"/>
  <c r="BG325" i="21"/>
  <c r="BI325" i="21" s="1"/>
  <c r="BG316" i="21"/>
  <c r="BG315" i="21"/>
  <c r="BI315" i="21" s="1"/>
  <c r="BG216" i="21"/>
  <c r="BI216" i="21" s="1"/>
  <c r="BI316" i="21" l="1"/>
  <c r="BH316" i="21"/>
  <c r="I199" i="14"/>
  <c r="BI334" i="21"/>
  <c r="I156" i="14"/>
  <c r="BI217" i="21"/>
  <c r="O197" i="14"/>
  <c r="I196" i="14"/>
  <c r="O195" i="14"/>
  <c r="O151" i="14"/>
  <c r="BH327" i="21"/>
  <c r="BH333" i="21"/>
  <c r="BH216" i="21"/>
  <c r="BH325" i="21"/>
  <c r="BI326" i="21"/>
  <c r="GB10" i="24"/>
  <c r="GB9" i="24"/>
  <c r="O190" i="14" l="1"/>
  <c r="O199" i="14"/>
  <c r="O196" i="14"/>
  <c r="GB11" i="24"/>
  <c r="F33" i="26" l="1"/>
  <c r="F31" i="26"/>
  <c r="E136" i="14" l="1"/>
  <c r="E134" i="14"/>
  <c r="E133" i="14"/>
  <c r="E132" i="14"/>
  <c r="E131" i="14"/>
  <c r="BG113" i="21" l="1"/>
  <c r="BI113" i="21" s="1"/>
  <c r="BG114" i="21"/>
  <c r="I73" i="14" s="1"/>
  <c r="O73" i="14" l="1"/>
  <c r="BH114" i="21"/>
  <c r="BG105" i="21"/>
  <c r="BG104" i="21"/>
  <c r="BI104" i="21" s="1"/>
  <c r="BH105" i="21" l="1"/>
  <c r="BH104" i="21"/>
  <c r="E135" i="14"/>
  <c r="BG207" i="21" l="1"/>
  <c r="BG196" i="21"/>
  <c r="BI196" i="21" s="1"/>
  <c r="BG197" i="21"/>
  <c r="BI197" i="21" s="1"/>
  <c r="BG198" i="21"/>
  <c r="BI198" i="21" s="1"/>
  <c r="BG199" i="21"/>
  <c r="BG200" i="21"/>
  <c r="BI200" i="21" s="1"/>
  <c r="BG201" i="21"/>
  <c r="BI201" i="21" s="1"/>
  <c r="BG202" i="21"/>
  <c r="BI202" i="21" s="1"/>
  <c r="BG203" i="21"/>
  <c r="BG204" i="21"/>
  <c r="BI204" i="21" s="1"/>
  <c r="BG205" i="21"/>
  <c r="BG206" i="21"/>
  <c r="BI206" i="21" s="1"/>
  <c r="BH199" i="21" l="1"/>
  <c r="I132" i="14" s="1"/>
  <c r="BI199" i="21"/>
  <c r="BH205" i="21"/>
  <c r="I135" i="14" s="1"/>
  <c r="BI205" i="21"/>
  <c r="BH203" i="21"/>
  <c r="I134" i="14" s="1"/>
  <c r="BI203" i="21"/>
  <c r="BH207" i="21"/>
  <c r="I136" i="14" s="1"/>
  <c r="BI207" i="21"/>
  <c r="BH201" i="21"/>
  <c r="I133" i="14" s="1"/>
  <c r="BH197" i="21"/>
  <c r="I131" i="14" s="1"/>
  <c r="O134" i="14" l="1"/>
  <c r="O135" i="14"/>
  <c r="O136" i="14"/>
  <c r="O131" i="14"/>
  <c r="O133" i="14"/>
  <c r="O132" i="14"/>
  <c r="BG120" i="21" l="1"/>
  <c r="BI120" i="21" s="1"/>
  <c r="BG98" i="21"/>
  <c r="BG99" i="21"/>
  <c r="BI99" i="21" s="1"/>
  <c r="BG100" i="21"/>
  <c r="BG101" i="21"/>
  <c r="BG73" i="21"/>
  <c r="BI73" i="21" s="1"/>
  <c r="BG55" i="21"/>
  <c r="BI55" i="21" s="1"/>
  <c r="BI98" i="21" l="1"/>
  <c r="BH98" i="21"/>
  <c r="BH119" i="21"/>
  <c r="BG93" i="21" l="1"/>
  <c r="BI93" i="21" s="1"/>
  <c r="E89" i="14" l="1"/>
  <c r="I49" i="34" l="1"/>
  <c r="H49" i="34"/>
  <c r="F49" i="34"/>
  <c r="I47" i="34"/>
  <c r="H47" i="34"/>
  <c r="F47" i="34"/>
  <c r="I45" i="34"/>
  <c r="H45" i="34"/>
  <c r="F45" i="34"/>
  <c r="I52" i="34"/>
  <c r="H52" i="34"/>
  <c r="G52" i="34"/>
  <c r="I33" i="34"/>
  <c r="E52" i="34" l="1"/>
  <c r="G33" i="34"/>
  <c r="E33" i="34"/>
  <c r="BG118" i="21" l="1"/>
  <c r="BG117" i="21"/>
  <c r="BI117" i="21" s="1"/>
  <c r="BH117" i="21" l="1"/>
  <c r="BI118" i="21"/>
  <c r="BG18" i="21"/>
  <c r="L33" i="34" l="1"/>
  <c r="S33" i="34" s="1"/>
  <c r="O89" i="14"/>
  <c r="BH17" i="21"/>
  <c r="BI18" i="21"/>
  <c r="L13" i="32" l="1"/>
  <c r="M13" i="32" s="1"/>
  <c r="L11" i="32"/>
  <c r="L49" i="34" l="1"/>
  <c r="S49" i="34" s="1"/>
  <c r="L45" i="34"/>
  <c r="S45" i="34" s="1"/>
  <c r="L47" i="34"/>
  <c r="S47" i="34" s="1"/>
  <c r="M11" i="32"/>
  <c r="F64" i="34" l="1"/>
  <c r="G64" i="34"/>
  <c r="H64" i="34"/>
  <c r="I64" i="34"/>
  <c r="K64" i="34"/>
  <c r="O64" i="34"/>
  <c r="E64" i="34"/>
  <c r="G53" i="34"/>
  <c r="H53" i="34"/>
  <c r="J53" i="34"/>
  <c r="O53" i="34"/>
  <c r="F53" i="34"/>
  <c r="E53" i="34"/>
  <c r="BI154" i="21" l="1"/>
  <c r="I53" i="34"/>
  <c r="BG309" i="21" l="1"/>
  <c r="BI309" i="21" s="1"/>
  <c r="E194" i="14"/>
  <c r="BH113" i="21" l="1"/>
  <c r="F71" i="34" l="1"/>
  <c r="G71" i="34"/>
  <c r="H71" i="34"/>
  <c r="J71" i="34"/>
  <c r="K71" i="34"/>
  <c r="O71" i="34"/>
  <c r="R71" i="34"/>
  <c r="E71" i="34"/>
  <c r="O67" i="34"/>
  <c r="K67" i="34"/>
  <c r="J67" i="34"/>
  <c r="H67" i="34"/>
  <c r="G67" i="34"/>
  <c r="F67" i="34"/>
  <c r="E67" i="34"/>
  <c r="E189" i="14" l="1"/>
  <c r="I67" i="34" s="1"/>
  <c r="I71" i="34"/>
  <c r="BG324" i="21"/>
  <c r="BG323" i="21"/>
  <c r="BI323" i="21" s="1"/>
  <c r="BG310" i="21"/>
  <c r="BI310" i="21" s="1"/>
  <c r="BG311" i="21"/>
  <c r="BI311" i="21" s="1"/>
  <c r="BG312" i="21"/>
  <c r="BI312" i="21" s="1"/>
  <c r="BG313" i="21"/>
  <c r="BI313" i="21" s="1"/>
  <c r="BG314" i="21"/>
  <c r="BI314" i="21" s="1"/>
  <c r="BG308" i="21"/>
  <c r="BI308" i="21" s="1"/>
  <c r="E72" i="14"/>
  <c r="I72" i="14" s="1"/>
  <c r="BG112" i="21"/>
  <c r="BI112" i="21" s="1"/>
  <c r="J72" i="14" l="1"/>
  <c r="H72" i="14"/>
  <c r="L30" i="34"/>
  <c r="S30" i="34" s="1"/>
  <c r="O72" i="14"/>
  <c r="BH323" i="21"/>
  <c r="I194" i="14" s="1"/>
  <c r="BI324" i="21"/>
  <c r="BH308" i="21"/>
  <c r="L72" i="14" l="1"/>
  <c r="M72" i="14" s="1"/>
  <c r="O194" i="14"/>
  <c r="I189" i="14"/>
  <c r="M71" i="34"/>
  <c r="N67" i="34" l="1"/>
  <c r="O189" i="14"/>
  <c r="L67" i="34"/>
  <c r="S67" i="34" s="1"/>
  <c r="M67" i="34"/>
  <c r="L71" i="34"/>
  <c r="S71" i="34" s="1"/>
  <c r="N71" i="34"/>
  <c r="BG277" i="21"/>
  <c r="BG278" i="21"/>
  <c r="BI278" i="21" s="1"/>
  <c r="BG279" i="21"/>
  <c r="BI279" i="21" s="1"/>
  <c r="BG280" i="21"/>
  <c r="BI280" i="21" s="1"/>
  <c r="Q67" i="34" l="1"/>
  <c r="BH275" i="21"/>
  <c r="BI277" i="21"/>
  <c r="P71" i="34"/>
  <c r="Q71" i="34"/>
  <c r="E58" i="34"/>
  <c r="F58" i="34"/>
  <c r="G58" i="34"/>
  <c r="H58" i="34"/>
  <c r="J58" i="34"/>
  <c r="K58" i="34"/>
  <c r="O58" i="34"/>
  <c r="E59" i="34"/>
  <c r="F59" i="34"/>
  <c r="G59" i="34"/>
  <c r="H59" i="34"/>
  <c r="I59" i="34"/>
  <c r="K59" i="34"/>
  <c r="O59" i="34"/>
  <c r="E60" i="34"/>
  <c r="F60" i="34"/>
  <c r="G60" i="34"/>
  <c r="H60" i="34"/>
  <c r="J60" i="34"/>
  <c r="K60" i="34"/>
  <c r="O60" i="34"/>
  <c r="E61" i="34"/>
  <c r="F61" i="34"/>
  <c r="G61" i="34"/>
  <c r="H61" i="34"/>
  <c r="I61" i="34"/>
  <c r="K61" i="34"/>
  <c r="O61" i="34"/>
  <c r="E62" i="34"/>
  <c r="F62" i="34"/>
  <c r="G62" i="34"/>
  <c r="H62" i="34"/>
  <c r="J62" i="34"/>
  <c r="K62" i="34"/>
  <c r="O62" i="34"/>
  <c r="E63" i="34"/>
  <c r="F63" i="34"/>
  <c r="G63" i="34"/>
  <c r="H63" i="34"/>
  <c r="I63" i="34"/>
  <c r="K63" i="34"/>
  <c r="O63" i="34"/>
  <c r="E65" i="34"/>
  <c r="F65" i="34"/>
  <c r="G65" i="34"/>
  <c r="H65" i="34"/>
  <c r="J65" i="34"/>
  <c r="K65" i="34"/>
  <c r="O65" i="34"/>
  <c r="E66" i="34"/>
  <c r="F66" i="34"/>
  <c r="G66" i="34"/>
  <c r="H66" i="34"/>
  <c r="I66" i="34"/>
  <c r="K66" i="34"/>
  <c r="O66" i="34"/>
  <c r="E68" i="34"/>
  <c r="F68" i="34"/>
  <c r="G68" i="34"/>
  <c r="H68" i="34"/>
  <c r="J68" i="34"/>
  <c r="K68" i="34"/>
  <c r="O68" i="34"/>
  <c r="E69" i="34"/>
  <c r="F69" i="34"/>
  <c r="G69" i="34"/>
  <c r="H69" i="34"/>
  <c r="J69" i="34"/>
  <c r="K69" i="34"/>
  <c r="O69" i="34"/>
  <c r="E70" i="34"/>
  <c r="F70" i="34"/>
  <c r="G70" i="34"/>
  <c r="H70" i="34"/>
  <c r="J70" i="34"/>
  <c r="K70" i="34"/>
  <c r="O70" i="34"/>
  <c r="E41" i="34"/>
  <c r="F41" i="34"/>
  <c r="G41" i="34"/>
  <c r="H41" i="34"/>
  <c r="J41" i="34"/>
  <c r="K41" i="34"/>
  <c r="O41" i="34"/>
  <c r="E42" i="34"/>
  <c r="F42" i="34"/>
  <c r="G42" i="34"/>
  <c r="H42" i="34"/>
  <c r="J42" i="34"/>
  <c r="K42" i="34"/>
  <c r="O42" i="34"/>
  <c r="R42" i="34"/>
  <c r="E43" i="34"/>
  <c r="E44" i="34"/>
  <c r="F44" i="34"/>
  <c r="G44" i="34"/>
  <c r="H44" i="34"/>
  <c r="J44" i="34"/>
  <c r="K44" i="34"/>
  <c r="O44" i="34"/>
  <c r="R44" i="34"/>
  <c r="E46" i="34"/>
  <c r="F46" i="34"/>
  <c r="G46" i="34"/>
  <c r="H46" i="34"/>
  <c r="J46" i="34"/>
  <c r="K46" i="34"/>
  <c r="O46" i="34"/>
  <c r="R46" i="34"/>
  <c r="E48" i="34"/>
  <c r="F48" i="34"/>
  <c r="G48" i="34"/>
  <c r="H48" i="34"/>
  <c r="J48" i="34"/>
  <c r="K48" i="34"/>
  <c r="O48" i="34"/>
  <c r="R48" i="34"/>
  <c r="E50" i="34"/>
  <c r="E51" i="34"/>
  <c r="F51" i="34"/>
  <c r="G51" i="34"/>
  <c r="H51" i="34"/>
  <c r="J51" i="34"/>
  <c r="K51" i="34"/>
  <c r="O51" i="34"/>
  <c r="R51" i="34"/>
  <c r="E54" i="34"/>
  <c r="E55" i="34"/>
  <c r="F55" i="34"/>
  <c r="G55" i="34"/>
  <c r="H55" i="34"/>
  <c r="J55" i="34"/>
  <c r="K55" i="34"/>
  <c r="O55" i="34"/>
  <c r="R55" i="34"/>
  <c r="E32" i="34"/>
  <c r="F32" i="34"/>
  <c r="G32" i="34"/>
  <c r="H32" i="34"/>
  <c r="J32" i="34"/>
  <c r="K32" i="34"/>
  <c r="O32" i="34"/>
  <c r="R32" i="34"/>
  <c r="E34" i="34"/>
  <c r="F34" i="34"/>
  <c r="G34" i="34"/>
  <c r="H34" i="34"/>
  <c r="J34" i="34"/>
  <c r="K34" i="34"/>
  <c r="O34" i="34"/>
  <c r="R34" i="34"/>
  <c r="E35" i="34"/>
  <c r="F35" i="34"/>
  <c r="G35" i="34"/>
  <c r="H35" i="34"/>
  <c r="J35" i="34"/>
  <c r="K35" i="34"/>
  <c r="O35" i="34"/>
  <c r="R35" i="34"/>
  <c r="E36" i="34"/>
  <c r="F36" i="34"/>
  <c r="G36" i="34"/>
  <c r="H36" i="34"/>
  <c r="J36" i="34"/>
  <c r="K36" i="34"/>
  <c r="O36" i="34"/>
  <c r="E37" i="34"/>
  <c r="F37" i="34"/>
  <c r="G37" i="34"/>
  <c r="H37" i="34"/>
  <c r="J37" i="34"/>
  <c r="K37" i="34"/>
  <c r="O37" i="34"/>
  <c r="R37" i="34"/>
  <c r="E38" i="34"/>
  <c r="F38" i="34"/>
  <c r="G38" i="34"/>
  <c r="H38" i="34"/>
  <c r="J38" i="34"/>
  <c r="K38" i="34"/>
  <c r="O38" i="34"/>
  <c r="E19" i="34"/>
  <c r="F19" i="34"/>
  <c r="G19" i="34"/>
  <c r="H19" i="34"/>
  <c r="J19" i="34"/>
  <c r="K19" i="34"/>
  <c r="O19" i="34"/>
  <c r="E20" i="34"/>
  <c r="F20" i="34"/>
  <c r="G20" i="34"/>
  <c r="H20" i="34"/>
  <c r="J20" i="34"/>
  <c r="K20" i="34"/>
  <c r="O20" i="34"/>
  <c r="R20" i="34"/>
  <c r="E21" i="34"/>
  <c r="F21" i="34"/>
  <c r="G21" i="34"/>
  <c r="H21" i="34"/>
  <c r="J21" i="34"/>
  <c r="K21" i="34"/>
  <c r="O21" i="34"/>
  <c r="R21" i="34"/>
  <c r="E14" i="34"/>
  <c r="F14" i="34"/>
  <c r="G14" i="34"/>
  <c r="H14" i="34"/>
  <c r="J14" i="34"/>
  <c r="K14" i="34"/>
  <c r="O14" i="34"/>
  <c r="R14" i="34"/>
  <c r="E15" i="34"/>
  <c r="F15" i="34"/>
  <c r="G15" i="34"/>
  <c r="H15" i="34"/>
  <c r="J15" i="34"/>
  <c r="K15" i="34"/>
  <c r="O15" i="34"/>
  <c r="R15" i="34"/>
  <c r="E16" i="34"/>
  <c r="F16" i="34"/>
  <c r="G16" i="34"/>
  <c r="H16" i="34"/>
  <c r="J16" i="34"/>
  <c r="K16" i="34"/>
  <c r="O16" i="34"/>
  <c r="R16" i="34"/>
  <c r="E9" i="34"/>
  <c r="F9" i="34"/>
  <c r="G9" i="34"/>
  <c r="H9" i="34"/>
  <c r="J9" i="34"/>
  <c r="K9" i="34"/>
  <c r="O9" i="34"/>
  <c r="E10" i="34"/>
  <c r="F10" i="34"/>
  <c r="G10" i="34"/>
  <c r="H10" i="34"/>
  <c r="J10" i="34"/>
  <c r="K10" i="34"/>
  <c r="O10" i="34"/>
  <c r="E11" i="34"/>
  <c r="F11" i="34"/>
  <c r="G11" i="34"/>
  <c r="H11" i="34"/>
  <c r="J11" i="34"/>
  <c r="K11" i="34"/>
  <c r="O11" i="34"/>
  <c r="E12" i="34"/>
  <c r="F12" i="34"/>
  <c r="G12" i="34"/>
  <c r="H12" i="34"/>
  <c r="J12" i="34"/>
  <c r="K12" i="34"/>
  <c r="O12" i="34"/>
  <c r="P67" i="34" l="1"/>
  <c r="K18" i="32"/>
  <c r="K20" i="32"/>
  <c r="K22" i="32"/>
  <c r="L10" i="32"/>
  <c r="M10" i="32" s="1"/>
  <c r="L12" i="32"/>
  <c r="M12" i="32" s="1"/>
  <c r="L14" i="32"/>
  <c r="M14" i="32" s="1"/>
  <c r="L15" i="32"/>
  <c r="M15" i="32" s="1"/>
  <c r="L16" i="32"/>
  <c r="M16" i="32" s="1"/>
  <c r="L17" i="32"/>
  <c r="M17" i="32" s="1"/>
  <c r="L18" i="32"/>
  <c r="N18" i="32" s="1"/>
  <c r="L19" i="32"/>
  <c r="M19" i="32" s="1"/>
  <c r="L20" i="32"/>
  <c r="M20" i="32" s="1"/>
  <c r="L21" i="32"/>
  <c r="M21" i="32" s="1"/>
  <c r="L22" i="32"/>
  <c r="M22" i="32" s="1"/>
  <c r="L23" i="32"/>
  <c r="M23" i="32" s="1"/>
  <c r="L24" i="32"/>
  <c r="M24" i="32" s="1"/>
  <c r="L25" i="32"/>
  <c r="L26" i="32"/>
  <c r="M26" i="32" s="1"/>
  <c r="L27" i="32"/>
  <c r="M27" i="32" s="1"/>
  <c r="O18" i="32" l="1"/>
  <c r="P18" i="32"/>
  <c r="M25" i="32"/>
  <c r="N22" i="32"/>
  <c r="N20" i="32"/>
  <c r="M18" i="32"/>
  <c r="O20" i="32" l="1"/>
  <c r="P20" i="32"/>
  <c r="O22" i="32"/>
  <c r="P22" i="32"/>
  <c r="BG27" i="21"/>
  <c r="BI27" i="21" s="1"/>
  <c r="E93" i="14" l="1"/>
  <c r="I37" i="34" s="1"/>
  <c r="E94" i="14"/>
  <c r="I38" i="34" s="1"/>
  <c r="E92" i="14"/>
  <c r="I36" i="34" s="1"/>
  <c r="E88" i="14" l="1"/>
  <c r="I32" i="34" s="1"/>
  <c r="BG40" i="21" l="1"/>
  <c r="BI40" i="21" s="1"/>
  <c r="BG41" i="21"/>
  <c r="BG42" i="21"/>
  <c r="BI42" i="21" s="1"/>
  <c r="BG43" i="21"/>
  <c r="I38" i="14" s="1"/>
  <c r="E37" i="14"/>
  <c r="I14" i="34" s="1"/>
  <c r="E38" i="14"/>
  <c r="I15" i="34" s="1"/>
  <c r="O38" i="14" l="1"/>
  <c r="BH42" i="21"/>
  <c r="BI43" i="21"/>
  <c r="BH40" i="21"/>
  <c r="I37" i="14" s="1"/>
  <c r="BI41" i="21"/>
  <c r="BG123" i="21"/>
  <c r="BI123" i="21" s="1"/>
  <c r="BG124" i="21"/>
  <c r="BI124" i="21" s="1"/>
  <c r="O37" i="14" l="1"/>
  <c r="BH123" i="21"/>
  <c r="BJ124" i="21" s="1"/>
  <c r="J11" i="32"/>
  <c r="M15" i="34"/>
  <c r="M14" i="34"/>
  <c r="J10" i="32"/>
  <c r="N14" i="34" l="1"/>
  <c r="K11" i="32"/>
  <c r="N11" i="32"/>
  <c r="L15" i="34"/>
  <c r="S15" i="34" s="1"/>
  <c r="L14" i="34"/>
  <c r="S14" i="34" s="1"/>
  <c r="K10" i="32"/>
  <c r="N10" i="32"/>
  <c r="P10" i="32" s="1"/>
  <c r="N15" i="34"/>
  <c r="E91" i="14"/>
  <c r="BG139" i="21"/>
  <c r="BI139" i="21" s="1"/>
  <c r="BG140" i="21"/>
  <c r="BI140" i="21" s="1"/>
  <c r="BG135" i="21"/>
  <c r="BI135" i="21" s="1"/>
  <c r="BG136" i="21"/>
  <c r="BI136" i="21" s="1"/>
  <c r="BG137" i="21"/>
  <c r="BI137" i="21" s="1"/>
  <c r="BG138" i="21"/>
  <c r="BI138" i="21" s="1"/>
  <c r="BG141" i="21"/>
  <c r="BI141" i="21" s="1"/>
  <c r="BG142" i="21"/>
  <c r="BI142" i="21" s="1"/>
  <c r="BG143" i="21"/>
  <c r="BI143" i="21" s="1"/>
  <c r="BG144" i="21"/>
  <c r="BI144" i="21" s="1"/>
  <c r="BG145" i="21"/>
  <c r="BI145" i="21" s="1"/>
  <c r="BG19" i="21"/>
  <c r="BI19" i="21" s="1"/>
  <c r="BG20" i="21"/>
  <c r="BI20" i="21" s="1"/>
  <c r="E20" i="14"/>
  <c r="BH19" i="21" l="1"/>
  <c r="BH139" i="21"/>
  <c r="BJ142" i="21" s="1"/>
  <c r="O11" i="32"/>
  <c r="P11" i="32"/>
  <c r="O10" i="32"/>
  <c r="I35" i="34"/>
  <c r="I10" i="34"/>
  <c r="Q15" i="34"/>
  <c r="P15" i="34"/>
  <c r="Q14" i="34"/>
  <c r="P14" i="34"/>
  <c r="O91" i="14" l="1"/>
  <c r="I94" i="14"/>
  <c r="R38" i="34"/>
  <c r="J13" i="32"/>
  <c r="M10" i="34"/>
  <c r="M35" i="34"/>
  <c r="BG126" i="21"/>
  <c r="BI126" i="21" s="1"/>
  <c r="BG127" i="21"/>
  <c r="BI127" i="21" s="1"/>
  <c r="BG128" i="21"/>
  <c r="BI128" i="21" s="1"/>
  <c r="BG129" i="21"/>
  <c r="BI129" i="21" s="1"/>
  <c r="BG130" i="21"/>
  <c r="BI130" i="21" s="1"/>
  <c r="BG131" i="21"/>
  <c r="BI131" i="21" s="1"/>
  <c r="BG132" i="21"/>
  <c r="BI132" i="21" s="1"/>
  <c r="BG133" i="21"/>
  <c r="BI133" i="21" s="1"/>
  <c r="BG134" i="21"/>
  <c r="BI134" i="21" s="1"/>
  <c r="BG94" i="21"/>
  <c r="BI94" i="21" s="1"/>
  <c r="BG125" i="21"/>
  <c r="BI125" i="21" s="1"/>
  <c r="BG119" i="21"/>
  <c r="BI119" i="21" s="1"/>
  <c r="Q35" i="34" l="1"/>
  <c r="O94" i="14"/>
  <c r="BJ131" i="21"/>
  <c r="L38" i="34"/>
  <c r="S38" i="34" s="1"/>
  <c r="J16" i="32"/>
  <c r="N16" i="32" s="1"/>
  <c r="M38" i="34"/>
  <c r="BH125" i="21"/>
  <c r="N35" i="34"/>
  <c r="K13" i="32"/>
  <c r="N13" i="32"/>
  <c r="BH132" i="21"/>
  <c r="BJ136" i="21" s="1"/>
  <c r="L35" i="34"/>
  <c r="S35" i="34" s="1"/>
  <c r="L10" i="34"/>
  <c r="S10" i="34" s="1"/>
  <c r="N10" i="34"/>
  <c r="N38" i="34" l="1"/>
  <c r="P35" i="34"/>
  <c r="Q38" i="34"/>
  <c r="K16" i="32"/>
  <c r="I93" i="14"/>
  <c r="O13" i="32"/>
  <c r="P13" i="32"/>
  <c r="BJ128" i="21"/>
  <c r="O16" i="32"/>
  <c r="P16" i="32"/>
  <c r="Q10" i="34"/>
  <c r="P10" i="34"/>
  <c r="BG45" i="21"/>
  <c r="BI45" i="21" s="1"/>
  <c r="L37" i="34" l="1"/>
  <c r="S37" i="34" s="1"/>
  <c r="N37" i="34"/>
  <c r="O93" i="14"/>
  <c r="P38" i="34"/>
  <c r="O92" i="14"/>
  <c r="R36" i="34"/>
  <c r="M37" i="34"/>
  <c r="J15" i="32"/>
  <c r="N15" i="32" s="1"/>
  <c r="J14" i="32"/>
  <c r="N14" i="32" s="1"/>
  <c r="P14" i="32" s="1"/>
  <c r="M36" i="34"/>
  <c r="L36" i="34"/>
  <c r="S36" i="34" s="1"/>
  <c r="E12" i="14"/>
  <c r="BG8" i="21"/>
  <c r="BG7" i="21"/>
  <c r="BI7" i="21" s="1"/>
  <c r="Q36" i="34" l="1"/>
  <c r="Q37" i="34"/>
  <c r="N36" i="34"/>
  <c r="BH7" i="21"/>
  <c r="BI8" i="21"/>
  <c r="K15" i="32"/>
  <c r="K14" i="32"/>
  <c r="O15" i="32"/>
  <c r="P15" i="32"/>
  <c r="O14" i="32"/>
  <c r="P37" i="34" l="1"/>
  <c r="O12" i="14"/>
  <c r="P36" i="34"/>
  <c r="BG294" i="21" l="1"/>
  <c r="BI294" i="21" s="1"/>
  <c r="BG295" i="21"/>
  <c r="BI295" i="21" s="1"/>
  <c r="BG296" i="21"/>
  <c r="BI296" i="21" s="1"/>
  <c r="BG297" i="21"/>
  <c r="BI297" i="21" s="1"/>
  <c r="BG298" i="21"/>
  <c r="BI298" i="21" s="1"/>
  <c r="BG299" i="21"/>
  <c r="BI299" i="21" s="1"/>
  <c r="BG269" i="21"/>
  <c r="BI269" i="21" s="1"/>
  <c r="BG270" i="21"/>
  <c r="BI270" i="21" s="1"/>
  <c r="BG271" i="21"/>
  <c r="BI271" i="21" s="1"/>
  <c r="BG272" i="21"/>
  <c r="BI272" i="21" s="1"/>
  <c r="BG273" i="21"/>
  <c r="BI273" i="21" s="1"/>
  <c r="BG274" i="21"/>
  <c r="BI274" i="21" s="1"/>
  <c r="BG248" i="21"/>
  <c r="BG249" i="21"/>
  <c r="BI249" i="21" s="1"/>
  <c r="BG250" i="21"/>
  <c r="BI250" i="21" s="1"/>
  <c r="BG251" i="21"/>
  <c r="BI251" i="21" s="1"/>
  <c r="BG252" i="21"/>
  <c r="BI252" i="21" s="1"/>
  <c r="BG253" i="21"/>
  <c r="BI253" i="21" s="1"/>
  <c r="BH248" i="21" l="1"/>
  <c r="BI248" i="21"/>
  <c r="BH294" i="21"/>
  <c r="BH269" i="21"/>
  <c r="BG115" i="21" l="1"/>
  <c r="BI115" i="21" s="1"/>
  <c r="E90" i="14"/>
  <c r="I34" i="34" s="1"/>
  <c r="O90" i="14" l="1"/>
  <c r="M34" i="34"/>
  <c r="BG116" i="21"/>
  <c r="BH115" i="21" l="1"/>
  <c r="BI116" i="21"/>
  <c r="N34" i="34"/>
  <c r="L34" i="34"/>
  <c r="S34" i="34" s="1"/>
  <c r="O88" i="14" l="1"/>
  <c r="M32" i="34"/>
  <c r="Q34" i="34"/>
  <c r="P34" i="34"/>
  <c r="L32" i="34" l="1"/>
  <c r="S32" i="34" s="1"/>
  <c r="N32" i="34"/>
  <c r="BG51" i="21"/>
  <c r="BI51" i="21" s="1"/>
  <c r="BG16" i="21"/>
  <c r="BG14" i="21"/>
  <c r="BI14" i="21" s="1"/>
  <c r="BG12" i="21"/>
  <c r="BI12" i="21" s="1"/>
  <c r="BG10" i="21"/>
  <c r="BI10" i="21" s="1"/>
  <c r="BG4" i="21"/>
  <c r="BI4" i="21" s="1"/>
  <c r="BG31" i="21"/>
  <c r="BI31" i="21" s="1"/>
  <c r="BG22" i="21"/>
  <c r="BI16" i="21" l="1"/>
  <c r="BH15" i="21"/>
  <c r="BH11" i="21"/>
  <c r="BH9" i="21"/>
  <c r="BH13" i="21"/>
  <c r="BH3" i="21"/>
  <c r="Q32" i="34"/>
  <c r="P32" i="34"/>
  <c r="BG35" i="21" l="1"/>
  <c r="BI35" i="21" s="1"/>
  <c r="BG34" i="21"/>
  <c r="BI34" i="21" s="1"/>
  <c r="BG26" i="21"/>
  <c r="BI26" i="21" s="1"/>
  <c r="BG25" i="21"/>
  <c r="BI25" i="21" s="1"/>
  <c r="BG33" i="21" l="1"/>
  <c r="BI33" i="21" s="1"/>
  <c r="BH44" i="21" l="1"/>
  <c r="BG44" i="21"/>
  <c r="BI44" i="21" s="1"/>
  <c r="E39" i="14" l="1"/>
  <c r="E40" i="14"/>
  <c r="I39" i="14" l="1"/>
  <c r="I16" i="34"/>
  <c r="O39" i="14" l="1"/>
  <c r="J12" i="32"/>
  <c r="K12" i="32" s="1"/>
  <c r="M16" i="34"/>
  <c r="Q16" i="34" l="1"/>
  <c r="N16" i="34"/>
  <c r="N12" i="32"/>
  <c r="L16" i="34"/>
  <c r="S16" i="34" s="1"/>
  <c r="O12" i="32" l="1"/>
  <c r="P12" i="32"/>
  <c r="P16" i="34"/>
  <c r="F22" i="26" l="1"/>
  <c r="E66" i="14"/>
  <c r="BG103" i="21"/>
  <c r="BI103" i="21" s="1"/>
  <c r="I66" i="14" l="1"/>
  <c r="BG320" i="21"/>
  <c r="BG322" i="21"/>
  <c r="BG318" i="21"/>
  <c r="BG317" i="21"/>
  <c r="BI317" i="21" s="1"/>
  <c r="J66" i="14" l="1"/>
  <c r="H66" i="14"/>
  <c r="O66" i="14"/>
  <c r="O67" i="14"/>
  <c r="BI318" i="21"/>
  <c r="BH320" i="21"/>
  <c r="BI320" i="21"/>
  <c r="BH322" i="21"/>
  <c r="BI322" i="21"/>
  <c r="E70" i="14"/>
  <c r="I70" i="14" s="1"/>
  <c r="E68" i="14"/>
  <c r="L66" i="14" l="1"/>
  <c r="M66" i="14"/>
  <c r="O70" i="14"/>
  <c r="I68" i="14"/>
  <c r="I69" i="14"/>
  <c r="L27" i="34"/>
  <c r="S27" i="34" s="1"/>
  <c r="E155" i="14"/>
  <c r="BG215" i="21"/>
  <c r="BG214" i="21"/>
  <c r="BI214" i="21" s="1"/>
  <c r="BI215" i="21" l="1"/>
  <c r="BJ215" i="21"/>
  <c r="O68" i="14"/>
  <c r="O69" i="14"/>
  <c r="BH214" i="21"/>
  <c r="I55" i="34"/>
  <c r="I155" i="14" l="1"/>
  <c r="BG319" i="21"/>
  <c r="BI319" i="21" s="1"/>
  <c r="BG321" i="21"/>
  <c r="BI321" i="21" s="1"/>
  <c r="O155" i="14" l="1"/>
  <c r="L28" i="34"/>
  <c r="S28" i="34" s="1"/>
  <c r="L29" i="34"/>
  <c r="S29" i="34" s="1"/>
  <c r="J24" i="32"/>
  <c r="M55" i="34"/>
  <c r="E193" i="14"/>
  <c r="E192" i="14"/>
  <c r="E191" i="14"/>
  <c r="N55" i="34" l="1"/>
  <c r="N24" i="32"/>
  <c r="P24" i="32" s="1"/>
  <c r="K24" i="32"/>
  <c r="L55" i="34"/>
  <c r="S55" i="34" s="1"/>
  <c r="I69" i="34"/>
  <c r="I68" i="34"/>
  <c r="I70" i="34"/>
  <c r="L70" i="34" l="1"/>
  <c r="S70" i="34" s="1"/>
  <c r="P55" i="34"/>
  <c r="O24" i="32"/>
  <c r="M70" i="34"/>
  <c r="Q55" i="34"/>
  <c r="J27" i="32"/>
  <c r="K27" i="32" s="1"/>
  <c r="M69" i="34"/>
  <c r="J26" i="32"/>
  <c r="K26" i="32" s="1"/>
  <c r="M68" i="34"/>
  <c r="I42" i="34"/>
  <c r="BG162" i="21"/>
  <c r="BI162" i="21" s="1"/>
  <c r="Q70" i="34" l="1"/>
  <c r="N27" i="32"/>
  <c r="P27" i="32" s="1"/>
  <c r="N69" i="34"/>
  <c r="N26" i="32"/>
  <c r="O26" i="32" s="1"/>
  <c r="L69" i="34"/>
  <c r="S69" i="34" s="1"/>
  <c r="N70" i="34"/>
  <c r="L68" i="34"/>
  <c r="S68" i="34" s="1"/>
  <c r="N68" i="34"/>
  <c r="I41" i="34"/>
  <c r="BG168" i="21"/>
  <c r="BI168" i="21" s="1"/>
  <c r="BG167" i="21"/>
  <c r="BI167" i="21" s="1"/>
  <c r="BG166" i="21"/>
  <c r="BI166" i="21" s="1"/>
  <c r="BI165" i="21"/>
  <c r="BI164" i="21"/>
  <c r="BI163" i="21"/>
  <c r="P69" i="34" l="1"/>
  <c r="P68" i="34"/>
  <c r="BH163" i="21"/>
  <c r="Q68" i="34"/>
  <c r="O27" i="32"/>
  <c r="P70" i="34"/>
  <c r="Q69" i="34"/>
  <c r="P26" i="32"/>
  <c r="BI153" i="21"/>
  <c r="BI152" i="21"/>
  <c r="BI151" i="21"/>
  <c r="BI150" i="21"/>
  <c r="BI149" i="21"/>
  <c r="BG148" i="21"/>
  <c r="O114" i="14" l="1"/>
  <c r="BH148" i="21"/>
  <c r="I110" i="14" s="1"/>
  <c r="O110" i="14" l="1"/>
  <c r="H113" i="14"/>
  <c r="O113" i="14"/>
  <c r="M42" i="34"/>
  <c r="L109" i="14" l="1"/>
  <c r="M109" i="14"/>
  <c r="H109" i="14"/>
  <c r="R41" i="34"/>
  <c r="O109" i="14"/>
  <c r="M41" i="34"/>
  <c r="N42" i="34"/>
  <c r="L42" i="34"/>
  <c r="S42" i="34" s="1"/>
  <c r="Q41" i="34" l="1"/>
  <c r="N41" i="34"/>
  <c r="L41" i="34"/>
  <c r="S41" i="34" s="1"/>
  <c r="Q42" i="34"/>
  <c r="P42" i="34"/>
  <c r="P41" i="34" l="1"/>
  <c r="BG24" i="21" l="1"/>
  <c r="BI24" i="21" s="1"/>
  <c r="BG23" i="21"/>
  <c r="BI23" i="21" s="1"/>
  <c r="BG209" i="21" l="1"/>
  <c r="BI209" i="21" s="1"/>
  <c r="BH208" i="21" l="1"/>
  <c r="BG92" i="21"/>
  <c r="BI92" i="21" s="1"/>
  <c r="BG88" i="21"/>
  <c r="BI88" i="21" s="1"/>
  <c r="BG87" i="21"/>
  <c r="BI87" i="21" l="1"/>
  <c r="J10" i="30"/>
  <c r="J29" i="30"/>
  <c r="D4" i="31" s="1"/>
  <c r="J25" i="30"/>
  <c r="J24" i="30"/>
  <c r="J23" i="30"/>
  <c r="J22" i="30"/>
  <c r="J21" i="30"/>
  <c r="J20" i="30"/>
  <c r="J19" i="30"/>
  <c r="J18" i="30"/>
  <c r="J17" i="30"/>
  <c r="J16" i="30"/>
  <c r="J14" i="30"/>
  <c r="J15" i="30"/>
  <c r="J13" i="30"/>
  <c r="E30" i="31"/>
  <c r="B6" i="31"/>
  <c r="J30" i="30"/>
  <c r="D5" i="31" s="1"/>
  <c r="H12" i="30"/>
  <c r="H11" i="30"/>
  <c r="BG213" i="21"/>
  <c r="BI213" i="21" s="1"/>
  <c r="BG212" i="21"/>
  <c r="BI212" i="21" s="1"/>
  <c r="BG211" i="21"/>
  <c r="BI211" i="21" s="1"/>
  <c r="BG210" i="21"/>
  <c r="BI210" i="21" s="1"/>
  <c r="BG208" i="21"/>
  <c r="BI208" i="21" s="1"/>
  <c r="R23" i="25"/>
  <c r="R25" i="25"/>
  <c r="R27" i="25"/>
  <c r="R29" i="25"/>
  <c r="R31" i="25"/>
  <c r="R33" i="25"/>
  <c r="R35" i="25"/>
  <c r="R37" i="25"/>
  <c r="E64" i="14"/>
  <c r="O65" i="14" l="1"/>
  <c r="BH210" i="21"/>
  <c r="I152" i="14" s="1"/>
  <c r="BH212" i="21"/>
  <c r="I153" i="14" s="1"/>
  <c r="BG95" i="21"/>
  <c r="BI95" i="21" s="1"/>
  <c r="BG96" i="21"/>
  <c r="BI96" i="21" s="1"/>
  <c r="BG97" i="21"/>
  <c r="BI97" i="21" s="1"/>
  <c r="L53" i="34" l="1"/>
  <c r="S53" i="34" s="1"/>
  <c r="L52" i="34"/>
  <c r="S52" i="34" s="1"/>
  <c r="O153" i="14"/>
  <c r="O152" i="14"/>
  <c r="BH93" i="21"/>
  <c r="I64" i="14" s="1"/>
  <c r="J64" i="14" l="1"/>
  <c r="H64" i="14"/>
  <c r="O64" i="14"/>
  <c r="E151" i="14"/>
  <c r="J74" i="14" l="1"/>
  <c r="J86" i="14" s="1"/>
  <c r="J95" i="14" s="1"/>
  <c r="J158" i="14" s="1"/>
  <c r="J171" i="14" s="1"/>
  <c r="J200" i="14" s="1"/>
  <c r="J211" i="14" s="1"/>
  <c r="J220" i="14" s="1"/>
  <c r="L64" i="14"/>
  <c r="L74" i="14" s="1"/>
  <c r="L86" i="14" s="1"/>
  <c r="L95" i="14" s="1"/>
  <c r="I51" i="34"/>
  <c r="E185" i="14"/>
  <c r="E181" i="14"/>
  <c r="I48" i="34"/>
  <c r="I46" i="34"/>
  <c r="I44" i="34"/>
  <c r="E63" i="14"/>
  <c r="E62" i="14"/>
  <c r="BG185" i="21"/>
  <c r="BG180" i="21"/>
  <c r="BG293" i="21"/>
  <c r="BI293" i="21" s="1"/>
  <c r="BG292" i="21"/>
  <c r="BI292" i="21" s="1"/>
  <c r="BG291" i="21"/>
  <c r="BI291" i="21" s="1"/>
  <c r="BG290" i="21"/>
  <c r="BI290" i="21" s="1"/>
  <c r="BG289" i="21"/>
  <c r="BI289" i="21" s="1"/>
  <c r="BG288" i="21"/>
  <c r="BI288" i="21" s="1"/>
  <c r="BG287" i="21"/>
  <c r="BI287" i="21" s="1"/>
  <c r="BG268" i="21"/>
  <c r="BG267" i="21"/>
  <c r="BG266" i="21"/>
  <c r="BG265" i="21"/>
  <c r="BG264" i="21"/>
  <c r="BG263" i="21"/>
  <c r="BG262" i="21"/>
  <c r="BG242" i="21"/>
  <c r="BG243" i="21"/>
  <c r="BI243" i="21" s="1"/>
  <c r="BG244" i="21"/>
  <c r="BI244" i="21" s="1"/>
  <c r="BG245" i="21"/>
  <c r="BI245" i="21" s="1"/>
  <c r="BG246" i="21"/>
  <c r="BI246" i="21" s="1"/>
  <c r="BG247" i="21"/>
  <c r="BI247" i="21" s="1"/>
  <c r="BG224" i="21"/>
  <c r="BG225" i="21"/>
  <c r="BI225" i="21" s="1"/>
  <c r="BG226" i="21"/>
  <c r="BI226" i="21" s="1"/>
  <c r="BG227" i="21"/>
  <c r="BI227" i="21" s="1"/>
  <c r="BG228" i="21"/>
  <c r="BI228" i="21" s="1"/>
  <c r="BG89" i="21"/>
  <c r="BG90" i="21"/>
  <c r="BI90" i="21" s="1"/>
  <c r="BG91" i="21"/>
  <c r="BI91" i="21" s="1"/>
  <c r="BG80" i="21"/>
  <c r="BI80" i="21" s="1"/>
  <c r="BG81" i="21"/>
  <c r="BI81" i="21" s="1"/>
  <c r="BG82" i="21"/>
  <c r="BI82" i="21" s="1"/>
  <c r="BG83" i="21"/>
  <c r="BI83" i="21" s="1"/>
  <c r="BG84" i="21"/>
  <c r="BI84" i="21" s="1"/>
  <c r="BG85" i="21"/>
  <c r="BI85" i="21" s="1"/>
  <c r="BG241" i="21"/>
  <c r="BG222" i="21"/>
  <c r="L107" i="14" l="1"/>
  <c r="L137" i="14" s="1"/>
  <c r="L149" i="14" s="1"/>
  <c r="L158" i="14" s="1"/>
  <c r="L171" i="14" s="1"/>
  <c r="L200" i="14" s="1"/>
  <c r="L211" i="14" s="1"/>
  <c r="L220" i="14" s="1"/>
  <c r="M64" i="14"/>
  <c r="M74" i="14" s="1"/>
  <c r="M86" i="14" s="1"/>
  <c r="M95" i="14" s="1"/>
  <c r="BH241" i="21"/>
  <c r="BI242" i="21"/>
  <c r="BH222" i="21"/>
  <c r="BI224" i="21"/>
  <c r="I179" i="14"/>
  <c r="I178" i="14"/>
  <c r="I187" i="14"/>
  <c r="I183" i="14"/>
  <c r="H183" i="14" s="1"/>
  <c r="BI185" i="21"/>
  <c r="BH185" i="21"/>
  <c r="BI180" i="21"/>
  <c r="BH180" i="21"/>
  <c r="BI89" i="21"/>
  <c r="BH86" i="21"/>
  <c r="I63" i="14" s="1"/>
  <c r="BH79" i="21"/>
  <c r="I62" i="14" s="1"/>
  <c r="BH262" i="21"/>
  <c r="I181" i="14" s="1"/>
  <c r="L26" i="34"/>
  <c r="S26" i="34" s="1"/>
  <c r="M51" i="34"/>
  <c r="I182" i="14"/>
  <c r="J23" i="32"/>
  <c r="K23" i="32" s="1"/>
  <c r="I62" i="34"/>
  <c r="I65" i="34"/>
  <c r="I58" i="34"/>
  <c r="I60" i="34"/>
  <c r="BH287" i="21"/>
  <c r="M107" i="14" l="1"/>
  <c r="M137" i="14" s="1"/>
  <c r="M149" i="14" s="1"/>
  <c r="M158" i="14" s="1"/>
  <c r="M171" i="14" s="1"/>
  <c r="M200" i="14" s="1"/>
  <c r="M211" i="14" s="1"/>
  <c r="M220" i="14" s="1"/>
  <c r="H182" i="14"/>
  <c r="L64" i="34"/>
  <c r="S64" i="34" s="1"/>
  <c r="H181" i="14"/>
  <c r="J181" i="14"/>
  <c r="O179" i="14"/>
  <c r="O183" i="14"/>
  <c r="O182" i="14"/>
  <c r="O178" i="14"/>
  <c r="O186" i="14"/>
  <c r="O174" i="14"/>
  <c r="O181" i="14"/>
  <c r="O173" i="14"/>
  <c r="N65" i="34"/>
  <c r="O185" i="14"/>
  <c r="J25" i="32"/>
  <c r="M61" i="34"/>
  <c r="P51" i="34"/>
  <c r="M59" i="34"/>
  <c r="M58" i="34"/>
  <c r="M64" i="34"/>
  <c r="M66" i="34"/>
  <c r="M63" i="34"/>
  <c r="N23" i="32"/>
  <c r="N51" i="34"/>
  <c r="L51" i="34"/>
  <c r="S51" i="34" s="1"/>
  <c r="M60" i="34"/>
  <c r="M62" i="34"/>
  <c r="M65" i="34"/>
  <c r="O220" i="14" l="1"/>
  <c r="C3" i="19"/>
  <c r="Q63" i="34"/>
  <c r="Q66" i="34"/>
  <c r="Q64" i="34"/>
  <c r="L181" i="14"/>
  <c r="M181" i="14" s="1"/>
  <c r="N63" i="34"/>
  <c r="N59" i="34"/>
  <c r="N64" i="34"/>
  <c r="N46" i="34"/>
  <c r="J17" i="32"/>
  <c r="K17" i="32" s="1"/>
  <c r="N44" i="34"/>
  <c r="Q51" i="34"/>
  <c r="K25" i="32"/>
  <c r="N25" i="32"/>
  <c r="L48" i="34"/>
  <c r="S48" i="34" s="1"/>
  <c r="L63" i="34"/>
  <c r="S63" i="34" s="1"/>
  <c r="M44" i="34"/>
  <c r="M46" i="34"/>
  <c r="L59" i="34"/>
  <c r="S59" i="34" s="1"/>
  <c r="J19" i="32"/>
  <c r="N19" i="32" s="1"/>
  <c r="J21" i="32"/>
  <c r="N21" i="32" s="1"/>
  <c r="M48" i="34"/>
  <c r="O23" i="32"/>
  <c r="P23" i="32"/>
  <c r="L66" i="34"/>
  <c r="S66" i="34" s="1"/>
  <c r="L61" i="34"/>
  <c r="S61" i="34" s="1"/>
  <c r="N66" i="34"/>
  <c r="N61" i="34"/>
  <c r="L60" i="34"/>
  <c r="S60" i="34" s="1"/>
  <c r="L65" i="34"/>
  <c r="S65" i="34" s="1"/>
  <c r="L58" i="34"/>
  <c r="S58" i="34" s="1"/>
  <c r="P66" i="34"/>
  <c r="N48" i="34"/>
  <c r="N58" i="34"/>
  <c r="N60" i="34"/>
  <c r="L62" i="34"/>
  <c r="S62" i="34" s="1"/>
  <c r="N62" i="34"/>
  <c r="BG6" i="21"/>
  <c r="D3" i="19" l="1"/>
  <c r="L22" i="29"/>
  <c r="J24" i="29" s="1"/>
  <c r="P221" i="14"/>
  <c r="P61" i="34"/>
  <c r="BH5" i="21"/>
  <c r="BI6" i="21"/>
  <c r="N17" i="32"/>
  <c r="O17" i="32" s="1"/>
  <c r="P64" i="34"/>
  <c r="P63" i="34"/>
  <c r="P25" i="32"/>
  <c r="O25" i="32"/>
  <c r="L46" i="34"/>
  <c r="S46" i="34" s="1"/>
  <c r="P59" i="34"/>
  <c r="L44" i="34"/>
  <c r="S44" i="34" s="1"/>
  <c r="Q61" i="34"/>
  <c r="P46" i="34"/>
  <c r="P58" i="34"/>
  <c r="K21" i="32"/>
  <c r="K19" i="32"/>
  <c r="O19" i="32"/>
  <c r="P19" i="32"/>
  <c r="O21" i="32"/>
  <c r="P21" i="32"/>
  <c r="Q65" i="34"/>
  <c r="P65" i="34"/>
  <c r="P60" i="34"/>
  <c r="P62" i="34"/>
  <c r="BG49" i="21"/>
  <c r="BG48" i="21"/>
  <c r="BI48" i="21" s="1"/>
  <c r="L30" i="29" l="1"/>
  <c r="L31" i="29" s="1"/>
  <c r="D10" i="19"/>
  <c r="C29" i="19" s="1"/>
  <c r="D7" i="19"/>
  <c r="D6" i="19"/>
  <c r="Q59" i="34"/>
  <c r="I41" i="14"/>
  <c r="BI49" i="21"/>
  <c r="P17" i="32"/>
  <c r="P48" i="34"/>
  <c r="P44" i="34"/>
  <c r="Q46" i="34"/>
  <c r="Q58" i="34"/>
  <c r="Q44" i="34"/>
  <c r="Q62" i="34"/>
  <c r="Q60" i="34"/>
  <c r="BH48" i="21"/>
  <c r="E41" i="14"/>
  <c r="C12" i="19" l="1"/>
  <c r="D8" i="19"/>
  <c r="O41" i="14"/>
  <c r="Q48" i="34"/>
  <c r="D9" i="19" l="1"/>
  <c r="C20" i="19"/>
  <c r="GB13" i="24"/>
  <c r="BG76" i="21"/>
  <c r="BI76" i="21" s="1"/>
  <c r="C13" i="19" l="1"/>
  <c r="C22" i="19"/>
  <c r="C16" i="19"/>
  <c r="C15" i="19"/>
  <c r="C14" i="19"/>
  <c r="BG86" i="21"/>
  <c r="BI86" i="21" s="1"/>
  <c r="BG79" i="21"/>
  <c r="BI79" i="21" s="1"/>
  <c r="BG75" i="21"/>
  <c r="BI75" i="21" s="1"/>
  <c r="BG74" i="21"/>
  <c r="BI74" i="21" s="1"/>
  <c r="BG72" i="21"/>
  <c r="BI72" i="21" s="1"/>
  <c r="BG71" i="21"/>
  <c r="BI71" i="21" s="1"/>
  <c r="BG70" i="21"/>
  <c r="BG69" i="21"/>
  <c r="BI69" i="21" s="1"/>
  <c r="BG61" i="21"/>
  <c r="BI61" i="21" s="1"/>
  <c r="BG60" i="21"/>
  <c r="BI60" i="21" s="1"/>
  <c r="BG59" i="21"/>
  <c r="BI59" i="21" s="1"/>
  <c r="BG58" i="21"/>
  <c r="BI58" i="21" s="1"/>
  <c r="BG57" i="21"/>
  <c r="BI57" i="21" s="1"/>
  <c r="BG56" i="21"/>
  <c r="BI56" i="21" s="1"/>
  <c r="BG54" i="21"/>
  <c r="BI54" i="21" s="1"/>
  <c r="BH50" i="21"/>
  <c r="BG50" i="21"/>
  <c r="BI50" i="21" s="1"/>
  <c r="BG47" i="21"/>
  <c r="BI47" i="21" s="1"/>
  <c r="BG46" i="21"/>
  <c r="BI46" i="21" s="1"/>
  <c r="BG37" i="21"/>
  <c r="BI37" i="21" s="1"/>
  <c r="BG36" i="21"/>
  <c r="BI36" i="21" s="1"/>
  <c r="BK35" i="21"/>
  <c r="BJ35" i="21"/>
  <c r="BG32" i="21"/>
  <c r="BI32" i="21" s="1"/>
  <c r="BG30" i="21"/>
  <c r="BI30" i="21" s="1"/>
  <c r="BG29" i="21"/>
  <c r="BI29" i="21" s="1"/>
  <c r="BG28" i="21"/>
  <c r="BI28" i="21" s="1"/>
  <c r="BG21" i="21"/>
  <c r="BI21" i="21" s="1"/>
  <c r="BG17" i="21"/>
  <c r="BI17" i="21" s="1"/>
  <c r="BK16" i="21"/>
  <c r="BG15" i="21"/>
  <c r="BI15" i="21" s="1"/>
  <c r="BL14" i="21"/>
  <c r="BK14" i="21"/>
  <c r="BG13" i="21"/>
  <c r="BI13" i="21" s="1"/>
  <c r="BG11" i="21"/>
  <c r="BI11" i="21" s="1"/>
  <c r="BG9" i="21"/>
  <c r="BI9" i="21" s="1"/>
  <c r="BG5" i="21"/>
  <c r="BI5" i="21" s="1"/>
  <c r="BG3" i="21"/>
  <c r="BI3" i="21" s="1"/>
  <c r="E46" i="14"/>
  <c r="E45" i="14"/>
  <c r="E44" i="14"/>
  <c r="E43" i="14"/>
  <c r="I43" i="14" s="1"/>
  <c r="E22" i="14"/>
  <c r="I12" i="34" s="1"/>
  <c r="E21" i="14"/>
  <c r="I11" i="34" s="1"/>
  <c r="E19" i="14"/>
  <c r="E17" i="14"/>
  <c r="I17" i="14" s="1"/>
  <c r="E16" i="14"/>
  <c r="E14" i="14"/>
  <c r="E13" i="14"/>
  <c r="E11" i="14"/>
  <c r="F53" i="26"/>
  <c r="F51" i="26"/>
  <c r="F50" i="26"/>
  <c r="F48" i="26"/>
  <c r="F47" i="26"/>
  <c r="F44" i="26"/>
  <c r="F42" i="26"/>
  <c r="F41" i="26"/>
  <c r="F40" i="26"/>
  <c r="F39" i="26"/>
  <c r="F37" i="26"/>
  <c r="BI36" i="26"/>
  <c r="BK35" i="26" s="1"/>
  <c r="F36" i="26"/>
  <c r="BL35" i="26"/>
  <c r="BI35" i="26"/>
  <c r="F35" i="26"/>
  <c r="BI34" i="26"/>
  <c r="F34" i="26"/>
  <c r="BL33" i="26"/>
  <c r="BI33" i="26"/>
  <c r="BI32" i="26"/>
  <c r="BI31" i="26"/>
  <c r="BI30" i="26"/>
  <c r="F30" i="26"/>
  <c r="BI29" i="26"/>
  <c r="F29" i="26"/>
  <c r="BI28" i="26"/>
  <c r="F28" i="26"/>
  <c r="BI27" i="26"/>
  <c r="F27" i="26"/>
  <c r="F26" i="26"/>
  <c r="BL25" i="26"/>
  <c r="F25" i="26"/>
  <c r="F24" i="26"/>
  <c r="F23" i="26"/>
  <c r="F17" i="26"/>
  <c r="BJ10" i="26"/>
  <c r="BI10" i="26"/>
  <c r="F10" i="26" s="1"/>
  <c r="BJ9" i="26"/>
  <c r="BI9" i="26"/>
  <c r="O17" i="14" l="1"/>
  <c r="O43" i="14"/>
  <c r="BI70" i="21"/>
  <c r="BH69" i="21"/>
  <c r="I46" i="14" s="1"/>
  <c r="I40" i="14"/>
  <c r="T36" i="25"/>
  <c r="BH22" i="21"/>
  <c r="S36" i="25"/>
  <c r="BH54" i="21"/>
  <c r="I44" i="14" s="1"/>
  <c r="I45" i="14"/>
  <c r="I9" i="34"/>
  <c r="I19" i="34"/>
  <c r="I20" i="34"/>
  <c r="I21" i="34"/>
  <c r="BH31" i="21"/>
  <c r="I22" i="14" s="1"/>
  <c r="R14" i="25"/>
  <c r="R8" i="25"/>
  <c r="R17" i="25"/>
  <c r="R19" i="25"/>
  <c r="R18" i="25"/>
  <c r="F16" i="26"/>
  <c r="F9" i="26"/>
  <c r="BL23" i="26"/>
  <c r="BK23" i="26"/>
  <c r="R36" i="25"/>
  <c r="BH46" i="21"/>
  <c r="BM14" i="21"/>
  <c r="O28" i="24"/>
  <c r="O27" i="24"/>
  <c r="BL31" i="26"/>
  <c r="BK33" i="26"/>
  <c r="BL26" i="26"/>
  <c r="BK25" i="26"/>
  <c r="BK29" i="26"/>
  <c r="BL29" i="26"/>
  <c r="BK31" i="26"/>
  <c r="BK27" i="26"/>
  <c r="O22" i="14" l="1"/>
  <c r="O40" i="14"/>
  <c r="O46" i="14"/>
  <c r="O45" i="14"/>
  <c r="O44" i="14"/>
  <c r="O62" i="14"/>
  <c r="T32" i="25"/>
  <c r="R16" i="25"/>
  <c r="R19" i="34"/>
  <c r="R9" i="25"/>
  <c r="M20" i="34"/>
  <c r="M12" i="34"/>
  <c r="M21" i="34"/>
  <c r="M9" i="34"/>
  <c r="M19" i="34"/>
  <c r="M11" i="34"/>
  <c r="R10" i="25"/>
  <c r="R12" i="25"/>
  <c r="R34" i="25"/>
  <c r="S34" i="25"/>
  <c r="R32" i="25"/>
  <c r="S32" i="25"/>
  <c r="R30" i="25"/>
  <c r="S30" i="25"/>
  <c r="R28" i="25"/>
  <c r="S28" i="25"/>
  <c r="R26" i="25"/>
  <c r="S26" i="25"/>
  <c r="R24" i="25"/>
  <c r="S24" i="25"/>
  <c r="R22" i="25"/>
  <c r="S22" i="25"/>
  <c r="FF14" i="14"/>
  <c r="N11" i="34"/>
  <c r="FF17" i="14"/>
  <c r="FF11" i="14"/>
  <c r="FF16" i="14"/>
  <c r="Q32" i="25"/>
  <c r="Q33" i="25"/>
  <c r="Q29" i="25"/>
  <c r="Q28" i="25"/>
  <c r="Q26" i="25"/>
  <c r="Q27" i="25"/>
  <c r="Q25" i="25"/>
  <c r="T24" i="25"/>
  <c r="Q24" i="25"/>
  <c r="Q40" i="25"/>
  <c r="Q23" i="25"/>
  <c r="Q22" i="25"/>
  <c r="Q30" i="25"/>
  <c r="Q31" i="25"/>
  <c r="O63" i="14" l="1"/>
  <c r="T28" i="25"/>
  <c r="T26" i="25"/>
  <c r="T34" i="25"/>
  <c r="L24" i="34"/>
  <c r="S24" i="34" s="1"/>
  <c r="L19" i="34"/>
  <c r="S19" i="34" s="1"/>
  <c r="L20" i="34"/>
  <c r="S20" i="34" s="1"/>
  <c r="L9" i="34"/>
  <c r="S9" i="34" s="1"/>
  <c r="L21" i="34"/>
  <c r="S21" i="34" s="1"/>
  <c r="N21" i="34"/>
  <c r="N20" i="34"/>
  <c r="N19" i="34"/>
  <c r="N9" i="34"/>
  <c r="P11" i="34"/>
  <c r="C5" i="31"/>
  <c r="FF22" i="14"/>
  <c r="T22" i="25" l="1"/>
  <c r="L25" i="34"/>
  <c r="S25" i="34" s="1"/>
  <c r="L11" i="34"/>
  <c r="S11" i="34" s="1"/>
  <c r="L12" i="34"/>
  <c r="S12" i="34" s="1"/>
  <c r="P19" i="34"/>
  <c r="Q20" i="34"/>
  <c r="P20" i="34"/>
  <c r="P9" i="34"/>
  <c r="Q21" i="34"/>
  <c r="P21" i="34"/>
  <c r="N12" i="34"/>
  <c r="G12" i="30"/>
  <c r="J12" i="30" s="1"/>
  <c r="G11" i="30"/>
  <c r="J11" i="30" s="1"/>
  <c r="S73" i="34" l="1"/>
  <c r="S74" i="34" s="1"/>
  <c r="Q19" i="34"/>
  <c r="Q9" i="34"/>
  <c r="Q12" i="34"/>
  <c r="P12" i="34"/>
  <c r="Q11" i="34"/>
  <c r="T30" i="25"/>
  <c r="J26" i="30"/>
  <c r="J32" i="30" s="1"/>
  <c r="C6" i="19" l="1"/>
  <c r="J27" i="30"/>
  <c r="D3" i="31" s="1"/>
  <c r="D10" i="31" s="1"/>
  <c r="C29" i="31" s="1"/>
  <c r="Q24" i="29" l="1"/>
  <c r="FG47" i="14"/>
  <c r="FH47" i="14"/>
  <c r="D6" i="31"/>
  <c r="E4" i="31"/>
  <c r="D7" i="31"/>
  <c r="C12" i="31" s="1"/>
  <c r="C3" i="31" l="1"/>
  <c r="E5" i="31" s="1"/>
  <c r="D8" i="31"/>
  <c r="C20" i="31" s="1"/>
  <c r="E8" i="31"/>
  <c r="D9" i="31" l="1"/>
  <c r="C22" i="31" s="1"/>
  <c r="C19" i="31" l="1"/>
  <c r="C14" i="31"/>
  <c r="C15" i="31"/>
  <c r="G13" i="31"/>
  <c r="C16" i="31"/>
  <c r="C13" i="31"/>
  <c r="C18" i="31"/>
  <c r="C35" i="31" l="1"/>
  <c r="C36" i="31" s="1"/>
  <c r="C42" i="31" s="1"/>
  <c r="J33" i="30" l="1"/>
  <c r="T64" i="25" l="1"/>
  <c r="T65" i="25"/>
  <c r="R64" i="25"/>
  <c r="S64" i="25"/>
  <c r="Q65" i="25"/>
  <c r="R65" i="25" l="1"/>
  <c r="Q64" i="25"/>
  <c r="S65" i="25"/>
  <c r="C4" i="31"/>
  <c r="C6" i="31" s="1"/>
  <c r="C19" i="19" l="1"/>
  <c r="C18" i="19"/>
  <c r="C35" i="19" s="1"/>
  <c r="C36" i="19" s="1"/>
  <c r="E40" i="19" l="1"/>
</calcChain>
</file>

<file path=xl/sharedStrings.xml><?xml version="1.0" encoding="utf-8"?>
<sst xmlns="http://schemas.openxmlformats.org/spreadsheetml/2006/main" count="2169" uniqueCount="815">
  <si>
    <t>وزارة الاسكان والمرافق والمجتمعات العمرانية</t>
  </si>
  <si>
    <t>عدد العمارات</t>
  </si>
  <si>
    <t xml:space="preserve">هيئة المجتمعات العمرانية الجديدة  </t>
  </si>
  <si>
    <t xml:space="preserve">  جهاز مدينة العبور الجديدة</t>
  </si>
  <si>
    <t>رقم بند</t>
  </si>
  <si>
    <t>بنود الأعمال</t>
  </si>
  <si>
    <t>وحدة</t>
  </si>
  <si>
    <t>كمية المقايسة</t>
  </si>
  <si>
    <t>الكمية التعاقدية</t>
  </si>
  <si>
    <t>الفئة</t>
  </si>
  <si>
    <t>كمية الأعمال</t>
  </si>
  <si>
    <t xml:space="preserve">قيمة الأعمال  </t>
  </si>
  <si>
    <t>نسبة الصرف</t>
  </si>
  <si>
    <t>قيمة الخصم بالجنية</t>
  </si>
  <si>
    <t>صافى القيمة</t>
  </si>
  <si>
    <t>ملاحظات</t>
  </si>
  <si>
    <t>السابق</t>
  </si>
  <si>
    <t>الجارى</t>
  </si>
  <si>
    <t>الجملة</t>
  </si>
  <si>
    <t>بالجنية</t>
  </si>
  <si>
    <t>1-1</t>
  </si>
  <si>
    <t>م3</t>
  </si>
  <si>
    <t>م2</t>
  </si>
  <si>
    <t>الاجمالى</t>
  </si>
  <si>
    <t>ملاحظات  :-  المراجعه الماليه وخصم النسب المقرره طبقا للتعاقد مسئولية الاداره الماليه للجهاز</t>
  </si>
  <si>
    <t>يتم رفع جميع التعليات السابقة</t>
  </si>
  <si>
    <t xml:space="preserve">* الكميات المدرجة والمنفذة واعمال الحصر طبقا للمواصفات واصول الصناعة مسئولية الاستشارى المشرف على المشروع دون ادنى مسئولية على الجهاز </t>
  </si>
  <si>
    <t>مهندسو الشركة المنفذة</t>
  </si>
  <si>
    <t>مدير الموقع</t>
  </si>
  <si>
    <t>يعتمـــــــــــــــــــــــــــــــد رئيس الجهاز ,,,</t>
  </si>
  <si>
    <t>التوقيع  /</t>
  </si>
  <si>
    <t>ما قبله</t>
  </si>
  <si>
    <t>كجم</t>
  </si>
  <si>
    <t>عدد</t>
  </si>
  <si>
    <t>مقط</t>
  </si>
  <si>
    <t>بالعدد</t>
  </si>
  <si>
    <t xml:space="preserve">أولا - أعمـــــال الحفر والردم </t>
  </si>
  <si>
    <t xml:space="preserve">ثانيا - أعمـــال الخرســانات للأســـاسات </t>
  </si>
  <si>
    <t>ثالثا - اعمـــال المنشــأ العــلوي</t>
  </si>
  <si>
    <t xml:space="preserve">عاشرا -أعمــــال الحداده  </t>
  </si>
  <si>
    <t>م.ط</t>
  </si>
  <si>
    <t>9_3</t>
  </si>
  <si>
    <t>9_4</t>
  </si>
  <si>
    <t>9_2</t>
  </si>
  <si>
    <t>7_5</t>
  </si>
  <si>
    <t>7_6</t>
  </si>
  <si>
    <t>6_1</t>
  </si>
  <si>
    <t>6_2</t>
  </si>
  <si>
    <t>12_1</t>
  </si>
  <si>
    <t>12_2</t>
  </si>
  <si>
    <t>12_3</t>
  </si>
  <si>
    <t>12_4</t>
  </si>
  <si>
    <t>2_1</t>
  </si>
  <si>
    <t>2_2</t>
  </si>
  <si>
    <t>4_1</t>
  </si>
  <si>
    <t>4_2</t>
  </si>
  <si>
    <t>4_3</t>
  </si>
  <si>
    <t>4_4</t>
  </si>
  <si>
    <t>4_5</t>
  </si>
  <si>
    <t>7_7</t>
  </si>
  <si>
    <t>تاسعا  - أعمــــال الفتحات ( نجاره باب وشباك )</t>
  </si>
  <si>
    <t xml:space="preserve">الاستشاري المشرف على المشروع / </t>
  </si>
  <si>
    <t>مهندسو جهاز المدينة</t>
  </si>
  <si>
    <t xml:space="preserve">  رئيس مجموعة الاشراف</t>
  </si>
  <si>
    <t>التوقيع /</t>
  </si>
  <si>
    <t>يعتمـــــــــــــــــــــــــــــــد ،،،،،،</t>
  </si>
  <si>
    <t xml:space="preserve">  نائب رئيس الجهاز</t>
  </si>
  <si>
    <t xml:space="preserve"> رئيس الجهاز ,,,</t>
  </si>
  <si>
    <t>بالمتر المسطح  طبقة عازلة من البيتومين للاساسات  ومباني قصة الردم</t>
  </si>
  <si>
    <t>مدير المكتب الفنى</t>
  </si>
  <si>
    <t xml:space="preserve">   التوقيع /</t>
  </si>
  <si>
    <t>بالمتر المسطح توريد وتركيب قرميد نصف دائري</t>
  </si>
  <si>
    <t>مواسير قطر 1.5 بوصه</t>
  </si>
  <si>
    <t>مواسير قطر 2 بوصه</t>
  </si>
  <si>
    <t>التوقيع /                    التوقيع /</t>
  </si>
  <si>
    <t>مقاولة /   شركة  المهندس / احمد سعد حسن عبد الجواد للمقاولات المتكاملة</t>
  </si>
  <si>
    <t>1_4</t>
  </si>
  <si>
    <t xml:space="preserve"> 3 - 3 - 2</t>
  </si>
  <si>
    <t>م /    محمد دهشان</t>
  </si>
  <si>
    <t>البيان</t>
  </si>
  <si>
    <t>الحالي</t>
  </si>
  <si>
    <t>الصـــــــافي</t>
  </si>
  <si>
    <t xml:space="preserve">اعتيادي </t>
  </si>
  <si>
    <t>كهرباء</t>
  </si>
  <si>
    <t>تشوينات بعد خصم 25%</t>
  </si>
  <si>
    <t>الاجمـــــــــــــــــــالي</t>
  </si>
  <si>
    <t>الصافي بدون تشوينات</t>
  </si>
  <si>
    <t>الصافي بعد خصم التشوينات</t>
  </si>
  <si>
    <t>الاستقطاعات</t>
  </si>
  <si>
    <t>النسبة</t>
  </si>
  <si>
    <t>قيمة الاستقطاعات</t>
  </si>
  <si>
    <t>ضمان الاعمال</t>
  </si>
  <si>
    <t>تامين الاشغالات</t>
  </si>
  <si>
    <t>دمغة نقابة مهن هندسية</t>
  </si>
  <si>
    <t>دمغة نقابة مهن تطبيقية</t>
  </si>
  <si>
    <t>تامينات اجتماعية</t>
  </si>
  <si>
    <t>أرباح تجارية وصناعية</t>
  </si>
  <si>
    <t>ضريبة القيمة المضافة</t>
  </si>
  <si>
    <t>الاتحاد المصري</t>
  </si>
  <si>
    <t>تحيا مصر</t>
  </si>
  <si>
    <t>تراخيص</t>
  </si>
  <si>
    <t>غرامة تأخير</t>
  </si>
  <si>
    <t>تعليات لحين سداد التامينات</t>
  </si>
  <si>
    <t>محضر الاستلام</t>
  </si>
  <si>
    <t>تامين نهائي</t>
  </si>
  <si>
    <t>معلى للشركة في الدائنة</t>
  </si>
  <si>
    <t>عائد كميات / نسب سالبة</t>
  </si>
  <si>
    <t>معلى لحساب الشركة</t>
  </si>
  <si>
    <t>جملة الاستقطاعات</t>
  </si>
  <si>
    <t>الصافي بعد الاستقطاعات</t>
  </si>
  <si>
    <t xml:space="preserve">تاســعا  -أعمــــال الفتحات ( الالومنيوم )   </t>
  </si>
  <si>
    <t>جهاز تنمية مدينة العبور الجديدة</t>
  </si>
  <si>
    <t>المكتب الفنى</t>
  </si>
  <si>
    <t xml:space="preserve">القيمة التعاقدية (طبقا لأمر الإسناد)     :                </t>
  </si>
  <si>
    <t xml:space="preserve">  جنيهاً مصرياً</t>
  </si>
  <si>
    <t xml:space="preserve"> مدة العملية طبقا لأمر الإسناد       :    18 شهر</t>
  </si>
  <si>
    <t>اجمالى قيمة الاعمال المقرر تنفيذها طبقا للبرنامج الزمنى حتى</t>
  </si>
  <si>
    <t>نسبة الانجاز طبقا للبرنامج الزمنى  ( المستهدف  )</t>
  </si>
  <si>
    <t>صافى قيمة الاعمال المنفذة للمستخلص الحالى</t>
  </si>
  <si>
    <t xml:space="preserve"> جنيهاً مصرياً</t>
  </si>
  <si>
    <t xml:space="preserve"> أ-  التجاوز فى حدود ال 25% حتى تاريخه : </t>
  </si>
  <si>
    <t>لا يوجد</t>
  </si>
  <si>
    <t xml:space="preserve"> ب- التجاوز اكثر من ال25% حتى تاريخه  : </t>
  </si>
  <si>
    <t xml:space="preserve">   يعتمد """"""       </t>
  </si>
  <si>
    <t xml:space="preserve"> نائب رئيس الجهاز</t>
  </si>
  <si>
    <t>بند  / ارقام العمارات</t>
  </si>
  <si>
    <t xml:space="preserve">بند(1 - 1) بالمتر المكعب حفر لزوم الاساسات </t>
  </si>
  <si>
    <t>الكميه بالمقايسه</t>
  </si>
  <si>
    <t>الكميه المنفذه</t>
  </si>
  <si>
    <t>بند (2-1) بالمتر المكعب خرسانه عاديه للاساسات</t>
  </si>
  <si>
    <t>بند (2-2) بالمتر المكعب  خرسانه مسلحه للاساسات</t>
  </si>
  <si>
    <t>بند ( 3 - 3 ) أعمال الهيكل ( أسقف وسلالم )</t>
  </si>
  <si>
    <t>بوادي السلالم</t>
  </si>
  <si>
    <t>سقف الارضى</t>
  </si>
  <si>
    <t>سقف الاول</t>
  </si>
  <si>
    <t>سقف الثانى</t>
  </si>
  <si>
    <t>سقف الثالث</t>
  </si>
  <si>
    <t>سقف الرابع</t>
  </si>
  <si>
    <t>سقف الخامس</t>
  </si>
  <si>
    <t>طبان دروة السطح</t>
  </si>
  <si>
    <t>بند ( 3 - 3 ) أعمال الهيكل ( أعمدة )</t>
  </si>
  <si>
    <t>أعمدة أرضي</t>
  </si>
  <si>
    <t>اعمده الاول</t>
  </si>
  <si>
    <t>اعمده ثانى</t>
  </si>
  <si>
    <t>اعمده ثالت</t>
  </si>
  <si>
    <t>اعمده رابع</t>
  </si>
  <si>
    <t>اعمده خامس</t>
  </si>
  <si>
    <t>اعمده دروة السطح</t>
  </si>
  <si>
    <t>بند رقم(4-4)</t>
  </si>
  <si>
    <t>اعمال العزل للاساسات</t>
  </si>
  <si>
    <t xml:space="preserve">مهندس  الاشراف </t>
  </si>
  <si>
    <t>بند(1- 4) بالمتر المكعب تربة احلال للاساسات برمال من خارج الموقع</t>
  </si>
  <si>
    <t>د/  احمد سراج</t>
  </si>
  <si>
    <t>د / نبيل عوض الله</t>
  </si>
  <si>
    <t xml:space="preserve"> وزارة الإسكان والمرافق والمجتمعات العمرانية   
هيئة المجتمعات العمرانية الجديدة   
جهاز تنمية مدينة العبور الجديدة</t>
  </si>
  <si>
    <t xml:space="preserve">  استشارى المشروع  / مركز بحوث واستشارات التنمية ( هندسة الفيوم )</t>
  </si>
  <si>
    <t xml:space="preserve">مدير جهاز الإشراف           مدير ادارة الاسكان        المشرف العام على الاسكان والخدمات           مدير المكتب الفنى </t>
  </si>
  <si>
    <t>من القيمة التعاقدية</t>
  </si>
  <si>
    <t>البنود المستجدة  حتى تاريخه :</t>
  </si>
  <si>
    <t> مقاولة / شــركة المهندس / احمد سعد حسن للمقاولات المتكاملة</t>
  </si>
  <si>
    <t xml:space="preserve">اجمالى الكمية المنفذة </t>
  </si>
  <si>
    <t>اجمالى الكمية فى المستخلص</t>
  </si>
  <si>
    <t>مهندس  الشركة</t>
  </si>
  <si>
    <t>الصافي بعد خصم الضريبة 5%</t>
  </si>
  <si>
    <t>الدمغة النسبية</t>
  </si>
  <si>
    <t>الدمغة الإضافية</t>
  </si>
  <si>
    <t>عائد استثمار رصيد دفعة مقدمة</t>
  </si>
  <si>
    <t>تعلية بنود متجاوزة</t>
  </si>
  <si>
    <t xml:space="preserve">تعلية بنود مستجدة </t>
  </si>
  <si>
    <t>استهلاك الدفعة المقدمة</t>
  </si>
  <si>
    <t xml:space="preserve"> </t>
  </si>
  <si>
    <t>قيمة الاعمال المستهدفة طبقا للبرنامج الزمني حتي تاريخ 10/8/2022 هو 18.000.000 جنيها</t>
  </si>
  <si>
    <t xml:space="preserve">اللون الاصفر يدل علي ما تم تنفيذه </t>
  </si>
  <si>
    <t xml:space="preserve">اللون االبرتقالي يدل علي الجاري تنفيذه والمتوقع </t>
  </si>
  <si>
    <t>بند رقم(5-1)</t>
  </si>
  <si>
    <t xml:space="preserve"> مباني طوب اسمنتي مصمت لزوم قصة الردم</t>
  </si>
  <si>
    <t xml:space="preserve"> طوب طفلي لزوم حوائط الأدوار 25 سم العمارة بالكامل </t>
  </si>
  <si>
    <t xml:space="preserve"> طوب طفلي لزوم حوائط الأدوار 25 سم  للدور الارضى</t>
  </si>
  <si>
    <t xml:space="preserve"> طوب طفلي لزوم حوائط الأدوار 25 سم للدور الاول</t>
  </si>
  <si>
    <t xml:space="preserve"> طوب طفلي لزوم حوائط الأدوار 25 سم   للدور الثانى</t>
  </si>
  <si>
    <t xml:space="preserve"> طوب طفلي لزوم حوائط الأدوار 25 سم   للدور الثالث </t>
  </si>
  <si>
    <t xml:space="preserve"> طوب طفلي لزوم حوائط الأدوار  25 سم للدور الرابع</t>
  </si>
  <si>
    <t xml:space="preserve">  طوب طفلي لزوم حوائط الأدوار 25 سم   للدور الخامس</t>
  </si>
  <si>
    <t xml:space="preserve">بند رقم(5-2) طوب طفلي لزوم حوائط الأدوار 25 سم </t>
  </si>
  <si>
    <t xml:space="preserve">بند رقم(5-3) طوب طفلي لزوم حوائط الأدوار 12 سم </t>
  </si>
  <si>
    <t xml:space="preserve"> طوب طفلي لزوم حوائط الأدوار 12سم العمارة بالكامل </t>
  </si>
  <si>
    <t xml:space="preserve">  طوب طفلي لزوم حوائط الأدوار 12سم   للدور الارضى</t>
  </si>
  <si>
    <t xml:space="preserve">  طوب طفلي لزوم حوائط الأدوار 12سم  للدور الاول</t>
  </si>
  <si>
    <t xml:space="preserve"> طوب طفلي لزوم حوائط الأدوار 12سم    للدور الثانى</t>
  </si>
  <si>
    <t xml:space="preserve"> طوب طفلي لزوم حوائط الأدوار 12سم    للدور الثالث </t>
  </si>
  <si>
    <t xml:space="preserve"> طوب طفلي لزوم حوائط الأدوار 12سم  للدور الرابع</t>
  </si>
  <si>
    <t xml:space="preserve">   طوب طفلي لزوم حوائط الأدوار 12سم   للدور الخامس</t>
  </si>
  <si>
    <t xml:space="preserve">بند رقم(5-3-1)  طوب أسمنتي لزوم الحمامت ووالمطابخ </t>
  </si>
  <si>
    <t xml:space="preserve"> طوب أسمنتي لزوم الحمامات والمطابخ العمارة بالكامل </t>
  </si>
  <si>
    <t xml:space="preserve">  طوب أسمنتي لزوم الحمامات والمطابخ  للدور الارضى</t>
  </si>
  <si>
    <t xml:space="preserve"> طوب أسمنتي لزوم الحمامات والمطابخ  للدور الاول</t>
  </si>
  <si>
    <t xml:space="preserve"> طوب أسمنتي لزوم الحمامات والمطابخ للدور الثانى</t>
  </si>
  <si>
    <t xml:space="preserve">طوب أسمنتي لزوم الحمامات والمطابخ  للدور الثالث </t>
  </si>
  <si>
    <t xml:space="preserve"> طوب أسمنتي لزوم الحمامات والمطابخ  للدور الرابع</t>
  </si>
  <si>
    <t>طوب أسمنتي لزوم الحمامات والمطابخ للدور الخامس</t>
  </si>
  <si>
    <t>5-1</t>
  </si>
  <si>
    <t>5-2</t>
  </si>
  <si>
    <t>5-3</t>
  </si>
  <si>
    <t>5-3-1</t>
  </si>
  <si>
    <t>خامسا - اعمـــال المباني</t>
  </si>
  <si>
    <t xml:space="preserve">بند(1- 2) بالمتر المكعب ردم من ناتج الحفر </t>
  </si>
  <si>
    <t>بند رقم(6-1) بياض تخشين للحوائط الداخلية</t>
  </si>
  <si>
    <t xml:space="preserve"> بياض تخشين الحوائط الداخلية العمارة بالكامل </t>
  </si>
  <si>
    <t xml:space="preserve"> بياض تخشين الحوائط الداخلية  للدور الارضى</t>
  </si>
  <si>
    <t xml:space="preserve">  بياض تخشين الحوائط الداخلية  للدور الاول</t>
  </si>
  <si>
    <t xml:space="preserve"> بياض تخشين الحوائط الداخلية للدور الثانى</t>
  </si>
  <si>
    <t xml:space="preserve"> بياض تخشين الحوائط الداخلية  للدور الثالث </t>
  </si>
  <si>
    <t xml:space="preserve"> بياض تخشين الحوائط الداخلية للدور الرابع</t>
  </si>
  <si>
    <t xml:space="preserve"> بياض تخشين الحوائط الداخلية للدور الخامس</t>
  </si>
  <si>
    <t xml:space="preserve"> بياض تخشين الأسقف العمارة بالكامل </t>
  </si>
  <si>
    <t xml:space="preserve"> بياض تخشين الأسقف  للدور الارضى</t>
  </si>
  <si>
    <t xml:space="preserve">  بياض تخشين الأسقف للدور الاول</t>
  </si>
  <si>
    <t xml:space="preserve"> بياض تخشين الأسقف للدور الثانى</t>
  </si>
  <si>
    <t xml:space="preserve"> بياض تخشين الأسقف للدور الثالث </t>
  </si>
  <si>
    <t xml:space="preserve"> بياض تخشين الأسقف للدور الرابع</t>
  </si>
  <si>
    <t xml:space="preserve"> بياض تخشين الأسقف للدور الخامس</t>
  </si>
  <si>
    <t xml:space="preserve">بند رقم(6-2) بياض تخشين للأسقف </t>
  </si>
  <si>
    <t>يعتمد مدير مركز البحوث واستشارات التنمية</t>
  </si>
  <si>
    <t xml:space="preserve"> تم إسنادها طبقا للقانون رقم : 182 لسنة : 2018 بناء على أمر الإسناد رقم :  66   بتاريخ  15 /  9  / 2022</t>
  </si>
  <si>
    <t>تنفيذ عدد   54  عمارة ضمن المرحلة الخامسة بالحى الــ  15  بمدينة العبور الجديدة</t>
  </si>
  <si>
    <t>عملية رقم  (   3   )</t>
  </si>
  <si>
    <t xml:space="preserve">بند(1- 5) بالمتر المكعب تربة احلال اسفل الاساسات برمال وسن بنسبة 1:1 </t>
  </si>
  <si>
    <t>1_5</t>
  </si>
  <si>
    <t xml:space="preserve">  تاريخ البدء المقرر                  :     21 /  9   / 2022</t>
  </si>
  <si>
    <t>عملية رقم  (   3  )</t>
  </si>
  <si>
    <t>بموجب امر الاسناد رقم (66) بتاريخ 2022/9/15</t>
  </si>
  <si>
    <t xml:space="preserve">        التوقيع  /</t>
  </si>
  <si>
    <t xml:space="preserve">           التوقيع  /</t>
  </si>
  <si>
    <t xml:space="preserve">          التوقيع  /    </t>
  </si>
  <si>
    <t>الصافي المستحق بعد تعلية 3 %</t>
  </si>
  <si>
    <t xml:space="preserve"> 3 - 3 - 1</t>
  </si>
  <si>
    <t>مشروع  / عملية رقم 3 لإنشاء عدد 54عمارة إسكان اجتماعي - مدينة العبور  الجديدة الحى 15
 شركة المقاولات المسند اليها المشروع  /احمد سعد عبد الجواد
     بموجب امر إسناد رقم (66 )بتاريخ  2022/9/15</t>
  </si>
  <si>
    <t xml:space="preserve">رابعا -- أعمــــال الطبـقه العازله </t>
  </si>
  <si>
    <t>بند ( 3-1 ) بالمتر المسطح عمل دكة  خرسانة مسلحة</t>
  </si>
  <si>
    <t xml:space="preserve"> 3 -  1</t>
  </si>
  <si>
    <t xml:space="preserve">عناصر فى طلبية الحديد </t>
  </si>
  <si>
    <t>عناصر كانت موجودة  فى طلبية ال 1000 طن</t>
  </si>
  <si>
    <t>عناصر جديدة تم توفيرها من التنفيذ</t>
  </si>
  <si>
    <t xml:space="preserve"> تاريخ النهو المقرر                  :      21  /  3   / 2024</t>
  </si>
  <si>
    <t>مقاولة / شركة المهندس / احمد سعد حسن عبد الجواد للمقاولات المتكاملة</t>
  </si>
  <si>
    <t xml:space="preserve">  استشارى المشروع  / مركز بحوث واستشارات التنمية - كلية الهندسة -جامعة الفيوم</t>
  </si>
  <si>
    <t xml:space="preserve"> بموجب أمر إسناد رقم (   66  )     بتاريخ   15 /  9  / 2022</t>
  </si>
  <si>
    <t>بالعدد توريد وتركيب كوفريه عمومي من الصاج - 6 قواعد فيوز (الفيوز =250 أمبير )</t>
  </si>
  <si>
    <t xml:space="preserve">بالعدد توريد وتركيب صندوق توزيع بالادوار من الصاج بأبعاد 40*40سم وعمق 15 سم </t>
  </si>
  <si>
    <t xml:space="preserve">بالعدد توريد وتركيب كوفريه من الصاج لمداخل الشقق السكنيه </t>
  </si>
  <si>
    <t>صاج</t>
  </si>
  <si>
    <t>تشطيب</t>
  </si>
  <si>
    <t>بالعدد توريد وتركيب لوحه فرعيه للشقق</t>
  </si>
  <si>
    <t xml:space="preserve">بالعدد توريد وتركيب لوحه فرعيه  للخدمات لاناره المداخل والسلالم </t>
  </si>
  <si>
    <t>بالعدد توريد وتركيب لوحه عداد الشقه  ( صاج)</t>
  </si>
  <si>
    <t xml:space="preserve">بالمقطوعيه توريد وتركيب عدد 2 ماسوره بلاستيك قطر 29 بوصه ومسارها من لوحه الخدمات بالعماره وحتي سطح العماره </t>
  </si>
  <si>
    <t>بالمتر الطولي توريد وتركيب العامود الصاعد  4 (1*50) + 1(1*35)</t>
  </si>
  <si>
    <t>توريد وتركيب خط تغذية الشقة ولوحة الخدمات من موصلات نحاس قطاع 2( 1 × 16 ) + ( 1 × 16 ) مم</t>
  </si>
  <si>
    <t>دق وتركيب</t>
  </si>
  <si>
    <t>سحب سلك</t>
  </si>
  <si>
    <t xml:space="preserve">دق وتركيب </t>
  </si>
  <si>
    <t>توريد وتركيب مخرج إنارة بالسقف أو الحائط</t>
  </si>
  <si>
    <t>اسقف + دق وتركيب</t>
  </si>
  <si>
    <t>توريد وتركيب مخرج نجفة</t>
  </si>
  <si>
    <t>توريد وتركيب مخرج إنارة بالمدخل والسلم</t>
  </si>
  <si>
    <t>توريد وتركيب مخرج إنارة مدخل العمارة</t>
  </si>
  <si>
    <t>توريد وتركيب مخرج إنارة  مخرج جرس</t>
  </si>
  <si>
    <t>توريد وتركيب مخرج بريزة عادية</t>
  </si>
  <si>
    <t>توريد وتركيب مخرج بريزة قوى</t>
  </si>
  <si>
    <t>توريد وتركيب مخرج تكييف</t>
  </si>
  <si>
    <t>مخرج دائرة تلفون كاملة</t>
  </si>
  <si>
    <t>مخرج دائرة تلفزيون كاملة</t>
  </si>
  <si>
    <t>الاجمــــــــالي</t>
  </si>
  <si>
    <t xml:space="preserve">مهندسو جهاز المدينة                                             </t>
  </si>
  <si>
    <t>مهندس الشركة المنفذة                              مدير الموقع</t>
  </si>
  <si>
    <t>مهند س الكهرباء</t>
  </si>
  <si>
    <t xml:space="preserve">                                               التوقيع /                      </t>
  </si>
  <si>
    <t xml:space="preserve">توريد وتركيب مخرج اناره للمدخل او السلم  </t>
  </si>
  <si>
    <t>بالعدد توريد وتركيب مفتاح اناره داخل الحائط (سكه واحده)</t>
  </si>
  <si>
    <t>بالعدد توريد وتركيب مفتاح اناره داخل الحائط ( ثلاثه سكه)</t>
  </si>
  <si>
    <t>بالعدد توريد وتركيب مفتاح جرس داخل الحائط</t>
  </si>
  <si>
    <t xml:space="preserve">بالعدد توريد وتركيب مأخذ كهربائي  احادي الوجه سعه 10 امبير </t>
  </si>
  <si>
    <t xml:space="preserve">بالعدد توريد وتركيب مأخذ كهربائي  احادي الوجه للقوي سعه 16 امبير </t>
  </si>
  <si>
    <t>بالعدد توريد وتركيب مفتاح للتكييف</t>
  </si>
  <si>
    <t>توريد وتركيب وحده اضاءه جلوب 25*25</t>
  </si>
  <si>
    <t xml:space="preserve">توريد وتركيب جرس بيانو </t>
  </si>
  <si>
    <t xml:space="preserve">دائره تليفون كامله </t>
  </si>
  <si>
    <t>سلك</t>
  </si>
  <si>
    <t>خراطيم</t>
  </si>
  <si>
    <t>دائره مخرج تلفزيون</t>
  </si>
  <si>
    <t>توريد وتركيب وحده اضاءه جلوب لاناره المدخل</t>
  </si>
  <si>
    <t>بالعدد توريد وتركيب مفتاح اناره داخل الحائط ( ديفياتير )</t>
  </si>
  <si>
    <t xml:space="preserve">بالعدد توريد وتركيب مفتاح اناره داخل الحائط ( سكتين ) </t>
  </si>
  <si>
    <t>دق وتركيب + خراطيم</t>
  </si>
  <si>
    <t xml:space="preserve">توريد وتركيب مخرج تكييف ) </t>
  </si>
  <si>
    <t xml:space="preserve">توريد وتركيب مخرج بريزة قوى </t>
  </si>
  <si>
    <t xml:space="preserve">توريد وتركيب مخرج بريزة عادية </t>
  </si>
  <si>
    <t xml:space="preserve">توريد وتركيب مخرج جرس </t>
  </si>
  <si>
    <t>توريد وتركيب مخرج إنارة لمدخل العمارة ( أسقف أرضي )</t>
  </si>
  <si>
    <t xml:space="preserve">توريد وتركيب مخرج نجفه </t>
  </si>
  <si>
    <t xml:space="preserve">بالعدد توريد وتركيب لوحه عداد الشقه  </t>
  </si>
  <si>
    <t xml:space="preserve">اجمالي العمارات </t>
  </si>
  <si>
    <t>الاجمالي</t>
  </si>
  <si>
    <t>ارقام العمــــــــــــــــــــــــارات</t>
  </si>
  <si>
    <t>الموقف التنفيذي</t>
  </si>
  <si>
    <t>كمية العمارة الواحدة بالمقاسة</t>
  </si>
  <si>
    <t xml:space="preserve">الوحده </t>
  </si>
  <si>
    <t xml:space="preserve">بيــــــــــــــــان أعمال الكهـــــرباء </t>
  </si>
  <si>
    <t>رقم البند</t>
  </si>
  <si>
    <t xml:space="preserve">                                                       بأمر اسناد رقم ( 66) بتاريخ 15/9/2022                                                     </t>
  </si>
  <si>
    <t xml:space="preserve">                                                        مقاولة شركة المهندس / احمد سعد حسن للمقاولات المتكاملة                                                                                               </t>
  </si>
  <si>
    <t xml:space="preserve">    جهاز مدينة العبور الجديدة                                                                     </t>
  </si>
  <si>
    <t xml:space="preserve">                                                                مشروع انشاء  54 عمارة- المرحلة الخامسة الحي ( 15 ) - اسكان اجتماعي مدينة العبور الجديدة </t>
  </si>
  <si>
    <t>طبقا للمستخلص  رقم 8  لما كان فى 450 طن بسعر 17000 و 1200 طن بسعر  28000</t>
  </si>
  <si>
    <t>طوب أسمنتي لزوم الدراوى</t>
  </si>
  <si>
    <t>البند</t>
  </si>
  <si>
    <t>2-9</t>
  </si>
  <si>
    <t>حلوق ابواب الشقة  ب 2  ( 2*6 ) بوصة</t>
  </si>
  <si>
    <t>3-9</t>
  </si>
  <si>
    <t>4-9</t>
  </si>
  <si>
    <t>حلوق ابواب الغرف ب3 (2*7) بوصة</t>
  </si>
  <si>
    <t>حلوق ابواب الحمامات والمطابخ ب4 (2*7 ) بوصة</t>
  </si>
  <si>
    <t xml:space="preserve">  م /  مصطفى عبيد                                   </t>
  </si>
  <si>
    <t xml:space="preserve">بالمتر المسطح  طبقة عازلة افقية من الرطوبة من الاسفلتويد </t>
  </si>
  <si>
    <t>ضلف ابواب الغرف ب3 (2*7) بوصة</t>
  </si>
  <si>
    <t>ضلف ابواب الحمامات والمطابخ ب4 (2*7 ) بوصة</t>
  </si>
  <si>
    <t>بند رقم(5-4)</t>
  </si>
  <si>
    <t>اعمال عزل اسفلتويد</t>
  </si>
  <si>
    <t>م /  محمد عبدالله                                  م  /  عماد حماد</t>
  </si>
  <si>
    <t>ضلف ابواب الشقة  ب 2  ( 2*6 ) بوصة</t>
  </si>
  <si>
    <t>اجمالى قيمة الاعمال المنفذة حتى  المستخلص الحالي</t>
  </si>
  <si>
    <t>نسبة الانجاز المالى للاعمال من بدء العمل حتى المستخلص الحالى</t>
  </si>
  <si>
    <t>اجمالى قيمة الاعمال المنفذة حتى  المستخلص السابق</t>
  </si>
  <si>
    <t>نسبة الانجاز المالى للاعمال من بدء العمل حتى المستخلص السابق</t>
  </si>
  <si>
    <t>نسبة صافي قيمة الاعمال المنفذة للمستخلص الحالى</t>
  </si>
  <si>
    <t xml:space="preserve"> قيمة التشوينات  من بدء العمل حتي المستخلص الحالي</t>
  </si>
  <si>
    <r>
      <t>·</t>
    </r>
    <r>
      <rPr>
        <b/>
        <sz val="16"/>
        <color indexed="10"/>
        <rFont val="Arial"/>
        <family val="2"/>
      </rPr>
      <t xml:space="preserve">                     </t>
    </r>
    <r>
      <rPr>
        <b/>
        <sz val="16"/>
        <color indexed="8"/>
        <rFont val="Arial"/>
        <family val="2"/>
      </rPr>
      <t>عملية: إنشاء عدد ( 54  ) عمارة سكنية ضمن مشروع الإسكان الإجتماعى عملية (   3  )</t>
    </r>
  </si>
  <si>
    <r>
      <t>بالحى الخامس عشر</t>
    </r>
    <r>
      <rPr>
        <b/>
        <sz val="16"/>
        <color indexed="10"/>
        <rFont val="Arial"/>
        <family val="2"/>
      </rPr>
      <t xml:space="preserve"> </t>
    </r>
    <r>
      <rPr>
        <b/>
        <sz val="16"/>
        <color indexed="8"/>
        <rFont val="Arial"/>
        <family val="2"/>
      </rPr>
      <t>بمدينة  العبور الجديدة.</t>
    </r>
  </si>
  <si>
    <t xml:space="preserve">بيان مستخلص  جــــــــاري رقـــــــــم ( 14 )  </t>
  </si>
  <si>
    <t xml:space="preserve">بند رقم(12-1) بتوريد وتركيب مرحاض افرنجى </t>
  </si>
  <si>
    <t xml:space="preserve">توريد وتركيب مرحاض افرنجى </t>
  </si>
  <si>
    <t>الدور الارضى</t>
  </si>
  <si>
    <t>الدور الاول</t>
  </si>
  <si>
    <t>الدور الثانى</t>
  </si>
  <si>
    <t>الدور الثالث</t>
  </si>
  <si>
    <t xml:space="preserve">الدور الرابع </t>
  </si>
  <si>
    <t>الدور الخامس</t>
  </si>
  <si>
    <t xml:space="preserve">توريد وتركيب مرحاض حوض غسيل ايدى </t>
  </si>
  <si>
    <t>توريد وتركيب حوض قدم اكريلك</t>
  </si>
  <si>
    <t xml:space="preserve">بند رقم(12-3) بتوريد وتركيب  حوض قدم اكريلك </t>
  </si>
  <si>
    <t>توريد وتركيب مرحاض حوض مطبخ</t>
  </si>
  <si>
    <t>بند رقم(12-4) بتوريد وتركيب حوض مطبخ</t>
  </si>
  <si>
    <t xml:space="preserve">بند رقم(12-2) بتوريد وتركيب حوض غسيل ايدى </t>
  </si>
  <si>
    <t>سادسا  -- أعمــــال البياض</t>
  </si>
  <si>
    <t>بالمتر المسطح  توريد وعمل بياض تخشين للحوائط الداخلية  بسمك 2 سم</t>
  </si>
  <si>
    <t>بالمتر المسطح توريد وعمل بياض تخشين للاسقف بسمك 1.5 سم</t>
  </si>
  <si>
    <t>تاسعا  - اعمـــال الفتحات</t>
  </si>
  <si>
    <t xml:space="preserve">ثانى عشر   -- أعمــــال التركيبات الصحية </t>
  </si>
  <si>
    <t>بالعدد توريد وتركيب باب نموذج  ( ب 2 ) (حلوق)</t>
  </si>
  <si>
    <t>بالعدد توريد وتركيب باب نموذج  ( ب 3 ) ( حلوق )</t>
  </si>
  <si>
    <t>بالعدد توريد وتركيب باب نموذج  ( ب 4 ) ( حلوق )</t>
  </si>
  <si>
    <t>بالعدد توريد وتركيب مرحاض افرنجى( تغذية  )</t>
  </si>
  <si>
    <t>بالعدد توريد وتركيب حوض غسيل ايدى ( تغذية )</t>
  </si>
  <si>
    <t>بالعدد توريد وتركيب  حوض قدم اكريلك ( تغذية  )</t>
  </si>
  <si>
    <t>بالعدد توريد وتركيب  حوض مطبخ  ( تغذية  )</t>
  </si>
  <si>
    <t>بالكجم توريد وتركيب درابزين للسلالم والبلكونات والمناشر</t>
  </si>
  <si>
    <t>(10-3)توريد وتركيب سلم بحاري</t>
  </si>
  <si>
    <t>بند رقم(6-3) بياض تخشين للوجهات</t>
  </si>
  <si>
    <t>بياض تخشين للوجهات</t>
  </si>
  <si>
    <t>الواجهه الاماميه</t>
  </si>
  <si>
    <t>الواجهه الخلفيه</t>
  </si>
  <si>
    <t>الواجهه الجانبيه 1</t>
  </si>
  <si>
    <t>الواجهه الجانبيه2</t>
  </si>
  <si>
    <t>بالمتر المسطح بياض تخشين لزوم الوجهات</t>
  </si>
  <si>
    <t>عاشرا  -- أعمال الكريتال</t>
  </si>
  <si>
    <t>بند رقم(10-1)</t>
  </si>
  <si>
    <t>توريد وتركيب داربزين للسلالم والبلكونات والمناشر</t>
  </si>
  <si>
    <t>بند رقم(10-2)</t>
  </si>
  <si>
    <t>توريد وتركيب الحمايه للشبابيك وابواب البلكونات بالدور الارضي</t>
  </si>
  <si>
    <t>بند رقم(10-3)</t>
  </si>
  <si>
    <t>م</t>
  </si>
  <si>
    <t xml:space="preserve">اسقف </t>
  </si>
  <si>
    <t>اعمدة</t>
  </si>
  <si>
    <t>السعر</t>
  </si>
  <si>
    <t>اجمالى</t>
  </si>
  <si>
    <t>الكمية الحالية  المدرجة بالمستخلص</t>
  </si>
  <si>
    <t>خصم حديد المكافئ للكمية</t>
  </si>
  <si>
    <t>الصافى</t>
  </si>
  <si>
    <t xml:space="preserve">امر دفع </t>
  </si>
  <si>
    <t>تفصيل مستخلص 15 بتاريخ 1-1-2024</t>
  </si>
  <si>
    <t>طوب طفلى مكعب</t>
  </si>
  <si>
    <t>طوب طفلى مسطح</t>
  </si>
  <si>
    <t>طوب اسمنتى مسطح</t>
  </si>
  <si>
    <t>بياض حوائط</t>
  </si>
  <si>
    <t>بياض اسقف</t>
  </si>
  <si>
    <t>بياض واجهات\</t>
  </si>
  <si>
    <t>ب2 حلوق</t>
  </si>
  <si>
    <t>ب3 حلوق</t>
  </si>
  <si>
    <t>كريتال بلكونات ومناشر</t>
  </si>
  <si>
    <t>مرحاض افرنجى</t>
  </si>
  <si>
    <t>وض غسيل ايدى</t>
  </si>
  <si>
    <t xml:space="preserve">حوض قدم </t>
  </si>
  <si>
    <t>حوض مطبخ</t>
  </si>
  <si>
    <t>اجمالى مدنى  بعد خصم نسبة التعاقد 3%</t>
  </si>
  <si>
    <t>اجمالى كهرباء  بعد خصم نسبة التعاقد 3%</t>
  </si>
  <si>
    <t>اجمالى  مدنى</t>
  </si>
  <si>
    <t xml:space="preserve">اجمالى كهرباء  </t>
  </si>
  <si>
    <t>رفع نسبة الحفر 5 %</t>
  </si>
  <si>
    <t>عن الشركة</t>
  </si>
  <si>
    <t>عن الاستشاري</t>
  </si>
  <si>
    <t>5-7</t>
  </si>
  <si>
    <t>6-7</t>
  </si>
  <si>
    <t>7-7</t>
  </si>
  <si>
    <t>بالمترالمسطح توريد وتركيب سيراميك لزوم ارضية الحمامات والمطابخ</t>
  </si>
  <si>
    <t>بالمتر المسطح توريد وتركيب  سيراميك لزوم ارضية للغرف والصالات والطرقات والبلكونات</t>
  </si>
  <si>
    <t>بالمترالمسطح توريد وتركيب سيراميك لزوم حوائط الحمامات والمطابخ</t>
  </si>
  <si>
    <t>7-12</t>
  </si>
  <si>
    <t>مواسير قطر 110 مم</t>
  </si>
  <si>
    <t>مواسير قطر 85 مم</t>
  </si>
  <si>
    <t>1-10</t>
  </si>
  <si>
    <t>اعمال دهنات الادوار</t>
  </si>
  <si>
    <t>اعمال دهنات الحمامات والمطابخ</t>
  </si>
  <si>
    <t>ثامنا-- أعمــــال الدهانات</t>
  </si>
  <si>
    <t>8-1</t>
  </si>
  <si>
    <t>8-2</t>
  </si>
  <si>
    <t>أ - توريد وتركيب مواسيير UPVC  قطر 110 مم</t>
  </si>
  <si>
    <t>ب- توريد وتركيب مواسيير UPVC  قطر 85 مم</t>
  </si>
  <si>
    <t>ج- توريد وتركيب مواسيير UPVC  قطر 60 مم</t>
  </si>
  <si>
    <t>بند رقم(12-7) بتوريد وتركيب مواسير الصرف الخارجي</t>
  </si>
  <si>
    <t>مواسير قطر 110مم</t>
  </si>
  <si>
    <t>مواسير قطر 85مم</t>
  </si>
  <si>
    <t>مواسير قطر 60مم</t>
  </si>
  <si>
    <t>بند رقم (11-1)</t>
  </si>
  <si>
    <t>توريد وتركيب كسوه من البازلت</t>
  </si>
  <si>
    <t>الحادي عشر--اعمال متنوعه</t>
  </si>
  <si>
    <t>بالمتر المسطح توريد وتركيب كسوه من البازلت</t>
  </si>
  <si>
    <t>بند (6-5)</t>
  </si>
  <si>
    <t>بند (6-6)</t>
  </si>
  <si>
    <t>بياض تخشين لزوم حوائط السلالم</t>
  </si>
  <si>
    <t>بياض تخشين لزوم اسقف السلالم</t>
  </si>
  <si>
    <t>6-3</t>
  </si>
  <si>
    <t>6-5</t>
  </si>
  <si>
    <t>6-6</t>
  </si>
  <si>
    <t>بالمتر المسطح عمل بياض تخشين لزوم حوائط السلالم</t>
  </si>
  <si>
    <t>بالمتر المسطح عمل بياض تخشين لزوم اسقف السلالم</t>
  </si>
  <si>
    <t>11-1</t>
  </si>
  <si>
    <t>بند (6-4)</t>
  </si>
  <si>
    <t>بياض تخشين لزوم اسقف البلكونات والمناشر</t>
  </si>
  <si>
    <t>6-4</t>
  </si>
  <si>
    <t>بالمتر المسطح بياض تخشين لزوم اسقف البلكونات والمناشر</t>
  </si>
  <si>
    <t>بالمتر المسطح توريد ودهان حوائط واسقف الادوار
 (سيلر +سكينة اولى +سكينة ثانية )</t>
  </si>
  <si>
    <t>بالمتر المسطح توريد ودهان اسقف اسقف االمطابخ والحمامات
 (سيلر +سكينة اولى +سكينة ثانية )</t>
  </si>
  <si>
    <t>1-11</t>
  </si>
  <si>
    <t>3-4</t>
  </si>
  <si>
    <t xml:space="preserve">بالمتر المسطح طبقة افقية عازلة افقية للرطوبة بالحمامات  سمك 3 مم </t>
  </si>
  <si>
    <t xml:space="preserve">بالمتر المسطح  توريد وعمل طبقة عازلة افقيه للرطوبه بالحمامات </t>
  </si>
  <si>
    <t>بند رقم(4-3)</t>
  </si>
  <si>
    <t>اعمال العزل الحمامات</t>
  </si>
  <si>
    <t>بند (7-1)</t>
  </si>
  <si>
    <t>ترابيع رخام</t>
  </si>
  <si>
    <t>كسوه رخام للمدخل</t>
  </si>
  <si>
    <t>كسوه رخام للدرج</t>
  </si>
  <si>
    <t>بند (7-2)</t>
  </si>
  <si>
    <t>بند (7-3)</t>
  </si>
  <si>
    <t xml:space="preserve">سابعا --اعمال الارضيات والرخام والسيراميك </t>
  </si>
  <si>
    <t>7-3</t>
  </si>
  <si>
    <t>بالمتر الطولي توريد وتركيب كسوه رخام جلاله لدرج السلم</t>
  </si>
  <si>
    <t xml:space="preserve">تغذية </t>
  </si>
  <si>
    <t xml:space="preserve">تغذية  + صرف </t>
  </si>
  <si>
    <t>بالعدد توريد وتركيب مرحاض افرنجى( تغذية + صرف   )</t>
  </si>
  <si>
    <t>بالعدد توريد وتركيب حوض غسيل ايدى ( تغذية + صرف  )</t>
  </si>
  <si>
    <t>بالعدد توريد وتركيب  حوض قدم اكريلك ( تغذية + صرف  )</t>
  </si>
  <si>
    <t>بالعدد توريد وتركيب  حوض مطبخ  ( تغذية  + صرف )</t>
  </si>
  <si>
    <t>1-4</t>
  </si>
  <si>
    <t>بالمتر السطح طبقة افقية عازلة للرطوبة للاسطح بسمك 4 مم</t>
  </si>
  <si>
    <t>3-12</t>
  </si>
  <si>
    <t>بالعدد توريد وتركيب  حوض قدم اكريلك</t>
  </si>
  <si>
    <t>1_2</t>
  </si>
  <si>
    <t>بند(1-2) بالمتر المكعب  ردم من ناتج الحفر</t>
  </si>
  <si>
    <t xml:space="preserve">التوقيع /              </t>
  </si>
  <si>
    <t xml:space="preserve">* التشوينات المدرجه في عهدة الشركة لحين ادراجها باول مستخلص جاري </t>
  </si>
  <si>
    <t xml:space="preserve"> د.مهندس / احمد اسماعيل جبر</t>
  </si>
  <si>
    <t>7-1</t>
  </si>
  <si>
    <t>الارضي</t>
  </si>
  <si>
    <t>الاول</t>
  </si>
  <si>
    <t>الثاني</t>
  </si>
  <si>
    <t>الثالث</t>
  </si>
  <si>
    <t>الرابع</t>
  </si>
  <si>
    <t>الخامس</t>
  </si>
  <si>
    <t xml:space="preserve">بند رقم  (7-5) سيراميك ارضيات الغرف والصالات  والمداخل والطرقات </t>
  </si>
  <si>
    <t>7-4</t>
  </si>
  <si>
    <t>7-5</t>
  </si>
  <si>
    <t>7-6</t>
  </si>
  <si>
    <t>بالمتر المسطح توريد وتركيب بلاط سيراميك لارضيات الحمامات والمطابخ</t>
  </si>
  <si>
    <t>بالمتر المسطح توريد وتركيب بلاط سيراميك لحوائط الحمامات والمطابخ</t>
  </si>
  <si>
    <t>بالمتر المسطح توريد تركيب بلاط   سيراميك لارضيات للغرف والصالات والمداخل والطرقات</t>
  </si>
  <si>
    <t xml:space="preserve"> 3 - 2</t>
  </si>
  <si>
    <t>اعمال سيراميك الارضيات الحمامات والمطابخ</t>
  </si>
  <si>
    <t>اعمال سيراميك الارضيات الغرف والصالات</t>
  </si>
  <si>
    <t>اعمال سيراميك حوائط الحمامات والمطابخ</t>
  </si>
  <si>
    <t>بند (7-4)</t>
  </si>
  <si>
    <t>بلاط موزايكو للاسطح</t>
  </si>
  <si>
    <t>بالمتر المسطح توريد وعمل طبقه عزل افقيه للرطوبه</t>
  </si>
  <si>
    <t>بالمتر المسطح توريد وعمل طبقه عزل افقيه للحراره</t>
  </si>
  <si>
    <t>بند رقم(4-1)</t>
  </si>
  <si>
    <t>عزل الرطوبه للاسطح</t>
  </si>
  <si>
    <t>عزل الحراره</t>
  </si>
  <si>
    <t>بند ( 3-2 ) بالمتر المسطح عمل خرسانه خفيفه لتخليق ميول الاسطح</t>
  </si>
  <si>
    <t>بالمتر الطولي توريد وتركيب ترابيع  رخام للمدخل وبسطات السلالم</t>
  </si>
  <si>
    <t>بند رقم  (7-6) سيراميك ارضيات الحمامات والمطابخ</t>
  </si>
  <si>
    <t>بند رقم  (7-7) سيراميك حوائط الحمامات والمطابخ</t>
  </si>
  <si>
    <t xml:space="preserve">  التوقيع /                                                               </t>
  </si>
  <si>
    <t xml:space="preserve">مدير ادارة الاسكان </t>
  </si>
  <si>
    <t xml:space="preserve">مهندس الشركة المنفذة                       مدير الموقع  </t>
  </si>
  <si>
    <t xml:space="preserve">م /  محمد عبد الله                      م/ عماد حماد                 </t>
  </si>
  <si>
    <t>م / محمد دهشان</t>
  </si>
  <si>
    <t xml:space="preserve">د.مهندس / احمد اسماعيل جبر                                                                           </t>
  </si>
  <si>
    <t xml:space="preserve">التوقيع /                                                                                             </t>
  </si>
  <si>
    <t>اسم البند</t>
  </si>
  <si>
    <t>الكمية المدرجة فى بيان الاعمال</t>
  </si>
  <si>
    <t>الكمية المدرجة فى التشوينات</t>
  </si>
  <si>
    <t xml:space="preserve">بالوحدة </t>
  </si>
  <si>
    <t>بالعمارة</t>
  </si>
  <si>
    <t xml:space="preserve">كمية الحصر الختامية  ل 54 عمارة </t>
  </si>
  <si>
    <t>مجموع الكميات فى المستخلص والتشوينات</t>
  </si>
  <si>
    <t>قيمة الجارى</t>
  </si>
  <si>
    <t>2000</t>
  </si>
  <si>
    <t>1500</t>
  </si>
  <si>
    <t>1700</t>
  </si>
  <si>
    <t>1400</t>
  </si>
  <si>
    <t>اجمالى الجارى</t>
  </si>
  <si>
    <t>اجمالى الجارى بعد خصم التعاقد 3%</t>
  </si>
  <si>
    <t>بالعدد توريد وتركيب  حوض قدم اكريلك ( تغذية + صرف+تركيب جهاز  )</t>
  </si>
  <si>
    <t>تغذية  + صرف +جهاز</t>
  </si>
  <si>
    <t>بند (6-7)</t>
  </si>
  <si>
    <t>بياض تخشين لزوم  دراوى السطح</t>
  </si>
  <si>
    <t>بالمتر المسطح عمل بياض  دراى ميكس لزوم دراوى السطح</t>
  </si>
  <si>
    <t>توريد وتركيب سيفون بلاستيك</t>
  </si>
  <si>
    <t>الكمية بالمقايسة</t>
  </si>
  <si>
    <t>الكمية المنفذة</t>
  </si>
  <si>
    <t>بند رقم(12-5) بتوريد وتركيب  سيفون من البلاستيك</t>
  </si>
  <si>
    <t>بند رقم(12-8)</t>
  </si>
  <si>
    <t>توريد وتركيب جريجوري من البلاستيك</t>
  </si>
  <si>
    <t>مقطوعية</t>
  </si>
  <si>
    <t>توريد وتركيب سيفون من البلاستيك</t>
  </si>
  <si>
    <t>بالكجم توريد وتركيب سلم بحاري</t>
  </si>
  <si>
    <t>10-1</t>
  </si>
  <si>
    <t>10-3</t>
  </si>
  <si>
    <t>1701</t>
  </si>
  <si>
    <t>2-4</t>
  </si>
  <si>
    <t xml:space="preserve">بالمتر السطح طبقة افقية عازلة الحرارة للاسطح </t>
  </si>
  <si>
    <t>4-7</t>
  </si>
  <si>
    <t>بالمتر المسطح توريد وتركيب بلاط موزايكو للاسطح</t>
  </si>
  <si>
    <t>بالعدد توريد وتركيب باب نموذج  ( ب 3 ) ( حلوق + ضلف )</t>
  </si>
  <si>
    <t>بالعدد توريد وتركيب باب نموذج  ( ب 4 ) ( حلوق + ضلف )</t>
  </si>
  <si>
    <t>بالعدد توريد وتركيب باب نموذج  ( ب 2 ) (حلوق + ضلف)</t>
  </si>
  <si>
    <t xml:space="preserve">م / </t>
  </si>
  <si>
    <t>مدير المشاريع</t>
  </si>
  <si>
    <t>يعتمد مدير مركز بحوث واستشارات التنمية</t>
  </si>
  <si>
    <t>عدد العمارات تشوينات</t>
  </si>
  <si>
    <t xml:space="preserve">             نائب رئيس الجهاز</t>
  </si>
  <si>
    <t xml:space="preserve">     التوقيع /                                             </t>
  </si>
  <si>
    <t xml:space="preserve">     التوقيع /                                               </t>
  </si>
  <si>
    <t xml:space="preserve">     التوقيع /                                              </t>
  </si>
  <si>
    <t xml:space="preserve">     التوقيع /                                                </t>
  </si>
  <si>
    <t xml:space="preserve">     التوقيع /                                                   </t>
  </si>
  <si>
    <t>7-2</t>
  </si>
  <si>
    <t xml:space="preserve">بالمتر الطولي توريد وتركيب كسوه رخام لحوائط المدخل </t>
  </si>
  <si>
    <t>10-2</t>
  </si>
  <si>
    <t>بالكجم توريد وتركيب الحمايه لشبابيك وابواب الدور الارضي</t>
  </si>
  <si>
    <t>0.95</t>
  </si>
  <si>
    <t>380</t>
  </si>
  <si>
    <t>40</t>
  </si>
  <si>
    <t>0.85</t>
  </si>
  <si>
    <t>20</t>
  </si>
  <si>
    <t>3850</t>
  </si>
  <si>
    <t>0.7</t>
  </si>
  <si>
    <t>2300</t>
  </si>
  <si>
    <t>2750</t>
  </si>
  <si>
    <t>توريد باب نموذج ( ب5) upvc مقاس ( 0.8*2.2)</t>
  </si>
  <si>
    <t>توريد باب نموذج ( بش6) upvc مقاس  (   1.6*2.2 )</t>
  </si>
  <si>
    <t>توريد شباك نموذج ( ش2)  upvc  مقاس (  1*1.2)</t>
  </si>
  <si>
    <t>توريد شباك نموذج ( ش3)  upvc  مقاس (  0.6*0.7)</t>
  </si>
  <si>
    <t>9-9</t>
  </si>
  <si>
    <t>توريد شباك نموذج ( ش4)  upvc  مقاس (  0.9*0.7)</t>
  </si>
  <si>
    <t>توريد شباك نموذج ( ش5)  upvc  مقاس (  1.2*0.6)</t>
  </si>
  <si>
    <t>بالمتر المسطح بياض تخشين لزوم الوجهات ( بطانه )</t>
  </si>
  <si>
    <t>بالمتر المسطح بياض تخشين لزوم الوجهات ( بطانه + ضهاره  )</t>
  </si>
  <si>
    <t>بالمتر المسطح بياض تخشين لزوم اسقف البلكونات والمناشر (بطانه)</t>
  </si>
  <si>
    <t>بالمتر المسطح بياض تخشين لزوم اسقف البلكونات والمناشر (بطانه +ضهاره)</t>
  </si>
  <si>
    <t>بالمتر المسطح عمل بياض تخشين لزوم حوائط السلالم (بطانه + ضهاره)</t>
  </si>
  <si>
    <t>بالمتر المسطح عمل بياض تخشين لزوم حوائط السلالم (بطانه)</t>
  </si>
  <si>
    <t>بالمتر المسطح عمل بياض تخشين لزوم اسقف السلالم (بطانه)</t>
  </si>
  <si>
    <t>بالمتر المسطح عمل بياض تخشين لزوم اسقف السلالم (بطانه + ضهاره)</t>
  </si>
  <si>
    <t>بالمتر المسطح عمل بياض  دراى ميكس لزوم دراوى السطح (بطانه)</t>
  </si>
  <si>
    <t>بالمتر المسطح عمل بياض  دراى ميكس لزوم دراوى السطح (بطانه +ضهاره)</t>
  </si>
  <si>
    <t>بطانه+ ضهاره</t>
  </si>
  <si>
    <t>بطانه</t>
  </si>
  <si>
    <t>بطانه +ضهاره</t>
  </si>
  <si>
    <t>بند رقم(9-3) باب نموذج ب3 (حلوق)</t>
  </si>
  <si>
    <t>9-5</t>
  </si>
  <si>
    <t>9-6</t>
  </si>
  <si>
    <t>9-7</t>
  </si>
  <si>
    <t>9-8</t>
  </si>
  <si>
    <t>9-10</t>
  </si>
  <si>
    <t>باب نموذج ب5</t>
  </si>
  <si>
    <t>باب نموذج بش6</t>
  </si>
  <si>
    <t>شباك نموذج ش2</t>
  </si>
  <si>
    <t>شباك نموذج ش3</t>
  </si>
  <si>
    <t>شباك نموذج ش4</t>
  </si>
  <si>
    <t>شباك نموذج ش5</t>
  </si>
  <si>
    <r>
      <t xml:space="preserve">تنفيذ عدد  </t>
    </r>
    <r>
      <rPr>
        <b/>
        <u/>
        <sz val="85"/>
        <rFont val="Arial"/>
        <family val="2"/>
      </rPr>
      <t>54 عمارة</t>
    </r>
    <r>
      <rPr>
        <b/>
        <sz val="85"/>
        <rFont val="Arial"/>
        <family val="2"/>
      </rPr>
      <t xml:space="preserve"> ضمن المرحلة الخامسة بالحى الــ  15  بالمدينة </t>
    </r>
  </si>
  <si>
    <r>
      <rPr>
        <b/>
        <u/>
        <sz val="22"/>
        <rFont val="Arial"/>
        <family val="2"/>
      </rPr>
      <t xml:space="preserve"> بالمتر المكعب</t>
    </r>
    <r>
      <rPr>
        <b/>
        <sz val="22"/>
        <rFont val="Arial"/>
        <family val="2"/>
      </rPr>
      <t xml:space="preserve">  أعمال الحفر لزوم الاساسات</t>
    </r>
  </si>
  <si>
    <r>
      <t xml:space="preserve"> بالمتر المكعب </t>
    </r>
    <r>
      <rPr>
        <b/>
        <sz val="22"/>
        <rFont val="Arial"/>
        <family val="2"/>
      </rPr>
      <t>ردم من ناتج الحفر</t>
    </r>
  </si>
  <si>
    <r>
      <rPr>
        <b/>
        <u/>
        <sz val="22"/>
        <rFont val="Arial"/>
        <family val="2"/>
      </rPr>
      <t xml:space="preserve"> بالمتر المكعب</t>
    </r>
    <r>
      <rPr>
        <b/>
        <sz val="22"/>
        <rFont val="Arial"/>
        <family val="2"/>
      </rPr>
      <t xml:space="preserve">  تربة احلال للاساسات برمال من خارج الموقع</t>
    </r>
  </si>
  <si>
    <r>
      <rPr>
        <b/>
        <u/>
        <sz val="22"/>
        <rFont val="Arial"/>
        <family val="2"/>
      </rPr>
      <t xml:space="preserve"> بالمتر المكعب</t>
    </r>
    <r>
      <rPr>
        <b/>
        <sz val="22"/>
        <rFont val="Arial"/>
        <family val="2"/>
      </rPr>
      <t xml:space="preserve">  تربة احلال للاساسات رمل و سن بنسبة 1 : 1 من خارج الموقع</t>
    </r>
  </si>
  <si>
    <r>
      <rPr>
        <b/>
        <u/>
        <sz val="22"/>
        <rFont val="Arial"/>
        <family val="2"/>
      </rPr>
      <t>بالمتر المكعب</t>
    </r>
    <r>
      <rPr>
        <b/>
        <sz val="22"/>
        <rFont val="Arial"/>
        <family val="2"/>
      </rPr>
      <t xml:space="preserve">  خرسانة عادية للاساسات </t>
    </r>
  </si>
  <si>
    <r>
      <t xml:space="preserve"> </t>
    </r>
    <r>
      <rPr>
        <b/>
        <u/>
        <sz val="22"/>
        <rFont val="Arial"/>
        <family val="2"/>
      </rPr>
      <t>بالمتر المكعب</t>
    </r>
    <r>
      <rPr>
        <b/>
        <sz val="22"/>
        <rFont val="Arial"/>
        <family val="2"/>
      </rPr>
      <t xml:space="preserve">  خرسانة مسلحة لزوم القواعد والميدات</t>
    </r>
  </si>
  <si>
    <r>
      <rPr>
        <b/>
        <u/>
        <sz val="22"/>
        <rFont val="Arial"/>
        <family val="2"/>
      </rPr>
      <t>بالمتر المسطح</t>
    </r>
    <r>
      <rPr>
        <b/>
        <sz val="22"/>
        <rFont val="Arial"/>
        <family val="2"/>
      </rPr>
      <t xml:space="preserve">  عمل دكة من الخرسانة المسلحة </t>
    </r>
  </si>
  <si>
    <r>
      <rPr>
        <b/>
        <u/>
        <sz val="22"/>
        <rFont val="Arial"/>
        <family val="2"/>
      </rPr>
      <t>بالمتر المسطح</t>
    </r>
    <r>
      <rPr>
        <b/>
        <sz val="22"/>
        <rFont val="Arial"/>
        <family val="2"/>
      </rPr>
      <t xml:space="preserve">  عمل خرسانه خفيفه لتخليق ميول الاسطح</t>
    </r>
  </si>
  <si>
    <r>
      <t>ب</t>
    </r>
    <r>
      <rPr>
        <b/>
        <u/>
        <sz val="22"/>
        <rFont val="Arial"/>
        <family val="2"/>
      </rPr>
      <t>المتر المكعب</t>
    </r>
    <r>
      <rPr>
        <b/>
        <sz val="22"/>
        <rFont val="Arial"/>
        <family val="2"/>
      </rPr>
      <t xml:space="preserve">  خرسانة مسلحة لزوم الأسقف والسلالم والدراوي</t>
    </r>
  </si>
  <si>
    <r>
      <t xml:space="preserve"> ب</t>
    </r>
    <r>
      <rPr>
        <b/>
        <u/>
        <sz val="22"/>
        <rFont val="Arial"/>
        <family val="2"/>
      </rPr>
      <t>المتر المكعب</t>
    </r>
    <r>
      <rPr>
        <b/>
        <sz val="22"/>
        <rFont val="Arial"/>
        <family val="2"/>
      </rPr>
      <t xml:space="preserve">  خرسانة مسلحة لزوم الأعمدة</t>
    </r>
  </si>
  <si>
    <r>
      <rPr>
        <b/>
        <u/>
        <sz val="22"/>
        <rFont val="Arial"/>
        <family val="2"/>
      </rPr>
      <t>بالمترالمكعب</t>
    </r>
    <r>
      <rPr>
        <b/>
        <sz val="22"/>
        <rFont val="Arial"/>
        <family val="2"/>
      </rPr>
      <t xml:space="preserve"> مباني طوب اسمنتي مصمت لزوم قصة الردم</t>
    </r>
  </si>
  <si>
    <r>
      <rPr>
        <b/>
        <u/>
        <sz val="22"/>
        <rFont val="Arial"/>
        <family val="2"/>
      </rPr>
      <t>بالمترالمكعب</t>
    </r>
    <r>
      <rPr>
        <b/>
        <sz val="22"/>
        <rFont val="Arial"/>
        <family val="2"/>
      </rPr>
      <t xml:space="preserve"> مباني طوب طفلي مثقب مقاس 25*12*6 سم للادوار</t>
    </r>
  </si>
  <si>
    <r>
      <t xml:space="preserve"> ب</t>
    </r>
    <r>
      <rPr>
        <b/>
        <u/>
        <sz val="22"/>
        <rFont val="Arial"/>
        <family val="2"/>
      </rPr>
      <t>المتر المكعب</t>
    </r>
    <r>
      <rPr>
        <b/>
        <sz val="22"/>
        <rFont val="Arial"/>
        <family val="2"/>
      </rPr>
      <t xml:space="preserve">  خرسانة مسلحة لزوم الأسقف والسلالم والدراوي</t>
    </r>
  </si>
  <si>
    <r>
      <rPr>
        <b/>
        <u/>
        <sz val="22"/>
        <rFont val="Arial"/>
        <family val="2"/>
      </rPr>
      <t>بالمترالمربع</t>
    </r>
    <r>
      <rPr>
        <b/>
        <sz val="22"/>
        <rFont val="Arial"/>
        <family val="2"/>
      </rPr>
      <t xml:space="preserve"> مباني طوب طفلي مثقب مقاس 25*12*6 سم للادوار</t>
    </r>
  </si>
  <si>
    <r>
      <t>ب</t>
    </r>
    <r>
      <rPr>
        <b/>
        <u/>
        <sz val="22"/>
        <rFont val="Arial"/>
        <family val="2"/>
      </rPr>
      <t>المترالمربع</t>
    </r>
    <r>
      <rPr>
        <b/>
        <sz val="22"/>
        <rFont val="Arial"/>
        <family val="2"/>
      </rPr>
      <t xml:space="preserve"> مباني طوب اسمنتي مصمت مقاس 25*12*6 سم حمامات ومطابخ</t>
    </r>
  </si>
  <si>
    <t xml:space="preserve"> تاريخ النهو المعدل 2                 :     6 / 2   / 2025</t>
  </si>
  <si>
    <t xml:space="preserve">التوقيع /                  </t>
  </si>
  <si>
    <t xml:space="preserve">     التوقيع /                                                      التوقيع /                                                                             </t>
  </si>
  <si>
    <t>11-2</t>
  </si>
  <si>
    <t>بالمتر الطولي توريد وتركيب مواسير قطر 160 مم</t>
  </si>
  <si>
    <t>12-5</t>
  </si>
  <si>
    <t>12-6</t>
  </si>
  <si>
    <t>12-7</t>
  </si>
  <si>
    <t>12-8</t>
  </si>
  <si>
    <t>12-9</t>
  </si>
  <si>
    <t>توريد وتركيب جاليتراب من البلاستيك</t>
  </si>
  <si>
    <t>12-10</t>
  </si>
  <si>
    <t xml:space="preserve">توريد وانشاء غرف تفتيش60*60     </t>
  </si>
  <si>
    <t xml:space="preserve">توريد وانشاء غرف تفتيش60*90     </t>
  </si>
  <si>
    <t>12-12</t>
  </si>
  <si>
    <t>بالمقطوعية توريد وتنفيذ بطارية لتغذية الوحدات السكنية</t>
  </si>
  <si>
    <t>بند رقم (11-2)</t>
  </si>
  <si>
    <t>توريد وتركيب قرميد نصف دائري</t>
  </si>
  <si>
    <t>مواسير قطر 160مم</t>
  </si>
  <si>
    <t xml:space="preserve">بند 12-6 مواسير قطر 160مم </t>
  </si>
  <si>
    <t>بند رقم(12-9)</t>
  </si>
  <si>
    <t>بند رقم(12-10)</t>
  </si>
  <si>
    <t>توريد وتركيب غرف تفتيش 60*60</t>
  </si>
  <si>
    <t>توريد وتركيب غرف تفتيش 60*90</t>
  </si>
  <si>
    <t>بند رقم(12-12)</t>
  </si>
  <si>
    <t>توريد وتنفيذ بطارية لتغذية الوحدات السكنية</t>
  </si>
  <si>
    <t>1-12</t>
  </si>
  <si>
    <t>2-12</t>
  </si>
  <si>
    <t>4-12</t>
  </si>
  <si>
    <t>بالعدد توريد وتركيب مرحاض افرنجي</t>
  </si>
  <si>
    <t>بالعدد توريد وتركيب حوض غسيل ايدي</t>
  </si>
  <si>
    <t>بالعدد توريد وتركيب  حوض مطبخ استانلس</t>
  </si>
  <si>
    <t>بانوهات</t>
  </si>
  <si>
    <t>بالعدد توريد وتركيب باب نموذج  ( ب 2 ) (حلوق + ضلف +دهانات)</t>
  </si>
  <si>
    <t>بالعدد توريد وتركيب باب نموذج  ( ب 3 ) ( حلوق + ضلف +دهانات )</t>
  </si>
  <si>
    <t>بالعدد توريد وتركيب باب نموذج  ( ب 4 ) ( حلوق + ضلف+دهانات )</t>
  </si>
  <si>
    <t>توريد وتركيب مفتاح انارة سكة واحدة سعة 10 امبير</t>
  </si>
  <si>
    <t>اكسسوار</t>
  </si>
  <si>
    <t>توريد وتركيب مفتاح انارة سكتين سعة 10 امبير</t>
  </si>
  <si>
    <t>توريد وتركيب مفتاح انارة ثلاثة سكة سعة 10 امبير</t>
  </si>
  <si>
    <t>توريد وتركيب مفتاح انارة ديفاتير سعة 10 امبير</t>
  </si>
  <si>
    <t>توريد وتركيب مفتاح جرس سعة  10 امبير</t>
  </si>
  <si>
    <t xml:space="preserve">توريد وتركيب ماخذ كهربائي مجوف احادي الوجه سعه 10 امبير </t>
  </si>
  <si>
    <t>توريد وتركيب ماخذ كهربائي مجوف احادي الوجه سعه 10 امبير واتر بروف</t>
  </si>
  <si>
    <t>توريد وتركيب ماخذ كهربائي مجوف احادي الوجه للقوى سعه 16 امبير</t>
  </si>
  <si>
    <t>توريد وتركيب مفتاح تكييف</t>
  </si>
  <si>
    <t>توريد وتركيب جرس بيانو</t>
  </si>
  <si>
    <t>توريد وتركيب بريزة تليفون</t>
  </si>
  <si>
    <t>توريد وتركيب بريزة تلفزيون</t>
  </si>
  <si>
    <t>جلوب  حوض غسيل ايدي وباب الشقه</t>
  </si>
  <si>
    <t>بالعدد توريد وتركيب مأخذ كهربائي  احادي الوجه سعه 10 امبير ووتر بروف</t>
  </si>
  <si>
    <t>خراطييم + دق</t>
  </si>
  <si>
    <t>اجمالي ما قبله</t>
  </si>
  <si>
    <t>توريد وتركيب وحدة اضاءه جلوب 25*25</t>
  </si>
  <si>
    <t>توريد وتركيب وحدة اضاءة ديكوريه لزوم مدخل العمارة</t>
  </si>
  <si>
    <t xml:space="preserve">  مهندس المشروع بالجهاز                   مهندس الجهاز                    مدير اداره الكهرباء            مدير المكتب الفني </t>
  </si>
  <si>
    <t>توريد وتركيب خط تغذية الشقة  من موصلات نحاس قطاع 2( 1 × 16 ) + ( 1 × 16 ) مم</t>
  </si>
  <si>
    <t xml:space="preserve">بالمقطوعيه توريد وتركيب عدد 2 ماسوره بلاستيك قطر 29 بوصه </t>
  </si>
  <si>
    <t>جلوب كروي لزوم حوض غسيل الايدي وباب الشقة</t>
  </si>
  <si>
    <t xml:space="preserve"> التوقيع /    </t>
  </si>
  <si>
    <t xml:space="preserve">  مهندس المشروع بالجهاز          مهندس الجهاز                     مدير اداره الكهرباء            مدير المكتب الفني  </t>
  </si>
  <si>
    <t>ضلف</t>
  </si>
  <si>
    <t>عمارة</t>
  </si>
  <si>
    <t>دهان</t>
  </si>
  <si>
    <t>بند 9-2 -نموذج ب2</t>
  </si>
  <si>
    <t>بند 9-3 -نموذج ب3</t>
  </si>
  <si>
    <t>بند 9-2 حلوق ب2</t>
  </si>
  <si>
    <t>بند رقم(9-4) باب نموذج ب4 (حلوق)</t>
  </si>
  <si>
    <t>بند 9-4 -نموذج ب4</t>
  </si>
  <si>
    <t>9-1</t>
  </si>
  <si>
    <t>باب حديد مشغول</t>
  </si>
  <si>
    <t>بالمتر المسطح توريد ودهان حوائط واسقف الادوار
 (سيلر +سكينة اولى +سكينة ثانية+بطانة )</t>
  </si>
  <si>
    <t>بالمتر المسطح توريد ودهان اسقف اسقف االمطابخ والحمامات
 (سيلر +سكينة اولى +سكينة ثانية+بطانة )</t>
  </si>
  <si>
    <t>بالعدد توريد وتركيب باب حديد كريتال نموذج ب1 لزوم مدخل العمارة</t>
  </si>
  <si>
    <t xml:space="preserve">م/              </t>
  </si>
  <si>
    <t xml:space="preserve">م/               </t>
  </si>
  <si>
    <t xml:space="preserve">م/      </t>
  </si>
  <si>
    <t>م/</t>
  </si>
  <si>
    <t xml:space="preserve">م/ </t>
  </si>
  <si>
    <t xml:space="preserve">تاريخ بدء الاعمال  21 / 9 / 2022             تاريخ النهو المقرر    21 / 3 / 2024 </t>
  </si>
  <si>
    <t xml:space="preserve">م/    </t>
  </si>
  <si>
    <t>بالعدد توريد وتركيب مرحاض افرنجى( تغذية + صرف + تركيب جهاز  )</t>
  </si>
  <si>
    <t>بالعدد توريد وتركيب حوض غسيل ايدى ( تغذية + صرف+ جهاز  )</t>
  </si>
  <si>
    <t>بالعدد توريد وتركيب  حوض مطبخ  ( تغذية  + صرف +جهاز)</t>
  </si>
  <si>
    <t xml:space="preserve">تغذية  + صرف+جهاز </t>
  </si>
  <si>
    <t>مهندس الكهرباء</t>
  </si>
  <si>
    <t xml:space="preserve">            ا-جمال عوض                   م-احمد ابو الفتوح                  م/ خالد عبيد                  م/ فوزي شبل علام                                                                         </t>
  </si>
  <si>
    <t>بند رقم (11-3)</t>
  </si>
  <si>
    <t>توريد وتركيب بردوره ارصفه</t>
  </si>
  <si>
    <t>11-3</t>
  </si>
  <si>
    <t>بالمتر الطولي توريد وتركيب بردوره رصيف متوسطه</t>
  </si>
  <si>
    <t>12-11</t>
  </si>
  <si>
    <t xml:space="preserve">توريد وانشاء غرف محابس  قطر 2 بوصه 60*60   </t>
  </si>
  <si>
    <t>بند رقم(12-11)</t>
  </si>
  <si>
    <t>توريد تركيب غرف محابس</t>
  </si>
  <si>
    <t>حفر في اي نوع من انواع التربه</t>
  </si>
  <si>
    <t>ردم من خارج الموقع لتعلية المناسيب</t>
  </si>
  <si>
    <t>9</t>
  </si>
  <si>
    <t>مواسير قطر 8 بوصه</t>
  </si>
  <si>
    <t>10</t>
  </si>
  <si>
    <t>مطابق دائريه قطر 60 سم</t>
  </si>
  <si>
    <t>غرف تفتيش 60*90</t>
  </si>
  <si>
    <t>11</t>
  </si>
  <si>
    <t>اعمال تنسيق الموقع العام</t>
  </si>
  <si>
    <t>1</t>
  </si>
  <si>
    <t>2</t>
  </si>
  <si>
    <t>حفر في انوع من انواع التربه الي عمق اكبر من 50 سم</t>
  </si>
  <si>
    <t>ردم باتربه نظيفة موردة من خارج الموقع</t>
  </si>
  <si>
    <t>مواسير قطر 1.5 بوصة</t>
  </si>
  <si>
    <t>مواسير قطر 2 بوصة</t>
  </si>
  <si>
    <t>مواسير قطر 200 مم</t>
  </si>
  <si>
    <t xml:space="preserve">مطابق دائريه من الخرسانة العادية </t>
  </si>
  <si>
    <t>م / فوزي شبل علام</t>
  </si>
  <si>
    <t>4-11</t>
  </si>
  <si>
    <t>بالمتر المسطح توريد وتركيب بلاط انترلوك ملون</t>
  </si>
  <si>
    <t xml:space="preserve"> تاريخ النهو المعدل 3                 :     6 / 5   / 2025</t>
  </si>
  <si>
    <t xml:space="preserve"> تاريخ النهو المعدل 1                  :   20  / 9   / 2024</t>
  </si>
  <si>
    <t>الصافي بعد خصم الضريبه + التشوينات</t>
  </si>
  <si>
    <t xml:space="preserve">ابوبكر </t>
  </si>
  <si>
    <t>اجمالي  ما قبله</t>
  </si>
  <si>
    <t>توريد عامود انارة حدائق  بارتفاع 5 م</t>
  </si>
  <si>
    <t xml:space="preserve">اجمالي </t>
  </si>
  <si>
    <t>الاجمالي للتشوينات</t>
  </si>
  <si>
    <t xml:space="preserve">  مهندس المشروع بالجهاز                   مهندس الجهاز                         مدير اداره الكهرباء                                         مدير المكتب الفني </t>
  </si>
  <si>
    <t xml:space="preserve">التوقيع  /  </t>
  </si>
  <si>
    <t>تشوينات اعمال انارة الموقع العام</t>
  </si>
  <si>
    <t xml:space="preserve"> /  التوقيع /                                                      التوقيع        </t>
  </si>
  <si>
    <t xml:space="preserve">مهندس الشركة المنفذة                                              مدير الموقع  </t>
  </si>
  <si>
    <t>تاريخ بدء الاعمال  21 / 9 / 2022             تاريخ النهو المقرر 21 /3 / 2024                تاريخ النهو المعدل 2025/9/30</t>
  </si>
  <si>
    <t xml:space="preserve"> تاريخ النهو المعدل 2025/9/30</t>
  </si>
  <si>
    <t>بند رقم(8-1) دهانات حوائط الادوار س1+س2+ بطانه</t>
  </si>
  <si>
    <t>بند رقم(8-1) دهانات حوائط الادوار  س1 +س2 +بطانة +تشطيب</t>
  </si>
  <si>
    <t>بند رقم(8-2) دهانات س1+س2+يطانة</t>
  </si>
  <si>
    <t>بند رقم(8-2) دهانات س1+س2+بطانه +تشطيب</t>
  </si>
  <si>
    <t>بالمتر المسطح توريد ودهان حوائط واسقف الادوار
 (سيلر +سكينة اولى +سكينة ثانية+بطانة+تشطيب وجه 1 )</t>
  </si>
  <si>
    <t>بالمتر المسطح توريد ودهان اسقف اسقف االمطابخ والحمامات
 (سيلر +سكينة اولى +سكينة ثانية+بطانة+تشطيب وجه 1 )</t>
  </si>
  <si>
    <t>3</t>
  </si>
  <si>
    <t>كابل ارضي مسلح 4*16 مم2</t>
  </si>
  <si>
    <t>م0ط</t>
  </si>
  <si>
    <t xml:space="preserve"> تاريخ النهو المعدل 4                 :     30/ 9   / 2025</t>
  </si>
  <si>
    <t>ابوبكر</t>
  </si>
  <si>
    <t>جهاز +اكسسوار</t>
  </si>
  <si>
    <t xml:space="preserve"> جهاز+اكسسوار</t>
  </si>
  <si>
    <t>بالعدد توريد وتركيب باب نموذج  ( ب 2 ) (حلوق + ضلف +دهانات+ اكسسوار)</t>
  </si>
  <si>
    <t>بالعدد توريد وتركيب باب نموذج  ( ب 3 ) ( حلوق + ضلف +دهانات +اكسسوارات)</t>
  </si>
  <si>
    <t>بالعدد توريد وتركيب باب نموذج  ( ب 4 ) ( حلوق + ضلف+دهانات +اكسسوارات)</t>
  </si>
  <si>
    <t>بالعدد توريد وتركيب مرحاض افرنجى( تغذية + صرف + تركيب جهاز+اكسسوار  )</t>
  </si>
  <si>
    <t>بالعدد توريد وتركيب حوض غسيل ايدى ( تغذية + صرف+ جهاز +اكسسوار )</t>
  </si>
  <si>
    <t>بالعدد توريد وتركيب  حوض قدم اكريلك ( تغذية + صرف+تركيب جهاز+اكسسوارات  )</t>
  </si>
  <si>
    <t>بالعدد توريد وتركيب  حوض مطبخ  ( تغذية  + صرف +جهاز+اكسسوارات)</t>
  </si>
  <si>
    <t>طباعه</t>
  </si>
  <si>
    <t>توريد وتركيب اعمدة انارة</t>
  </si>
  <si>
    <t>قواعد</t>
  </si>
  <si>
    <t>توريد وتركيب عامود انارة حدائق ديكوري بارتفاع 5 م</t>
  </si>
  <si>
    <t>بالمتر المسطح توريد ودهان حوائط واسقف الادوار
 (سيلر +سكينة اولى +سكينة ثانية+بطانة+تشطيب وجه 1+وجه2 )</t>
  </si>
  <si>
    <t>بالمتر المسطح توريد ودهان اسقف اسقف االمطابخ والحمامات
 (سيلر +سكينة اولى +سكينة ثانية+بطانة+تشطيب وجه 1 +وجه2)</t>
  </si>
  <si>
    <t>بكار 31-7</t>
  </si>
  <si>
    <t>نننننننننننننننننننننننن</t>
  </si>
  <si>
    <t xml:space="preserve">                                                      بيان أعمال كهرباء مستخلص جارى رقم  (33 )                                                                   </t>
  </si>
  <si>
    <t xml:space="preserve">                                                   الاعمال من بدء العمل حتى31 / 8 / 2025                                                                     </t>
  </si>
  <si>
    <t xml:space="preserve">                                                التوقيع /</t>
  </si>
  <si>
    <t xml:space="preserve">                                                      التوقيع /                    </t>
  </si>
  <si>
    <t xml:space="preserve">  مهندس المشروع بالجهاز            مهندس الجهاز                     مدير اداره الكهرباء            مدير المكتب الفني  </t>
  </si>
  <si>
    <t xml:space="preserve">            ا-جمال عوض                 م-احمد ابو الفتوح                   م/ خالد عبيد                  م/ فوزي شبل علام                                                                         </t>
  </si>
  <si>
    <t>م /  اشرف عبد الوهاب بيومي</t>
  </si>
  <si>
    <t>عمور 1111111111</t>
  </si>
  <si>
    <t>مهندس ادارة الاسكان</t>
  </si>
  <si>
    <t>م/ محمد سعد ابو زيد</t>
  </si>
  <si>
    <t>المشرف العام على الاسكان والخدمات</t>
  </si>
  <si>
    <t>م/ عرفة احمد علي</t>
  </si>
  <si>
    <t xml:space="preserve">                                 م / وليد نبيل عبد العزيز                 </t>
  </si>
  <si>
    <t xml:space="preserve">  بيان اعمال مستخلص رقم ( 33) جارى - عملية ( 3 )</t>
  </si>
  <si>
    <t xml:space="preserve">  بيان اعمال مستخلص رقم (33) جارى - عملية ( 3 )</t>
  </si>
  <si>
    <t xml:space="preserve">تشوينات مستخلص جارى رقم  33  ) </t>
  </si>
  <si>
    <t>عمور 1111111111111</t>
  </si>
  <si>
    <t>مهندس الشركة</t>
  </si>
  <si>
    <t xml:space="preserve">             م / اشرف عبد الوهاب بيومي                                  </t>
  </si>
  <si>
    <t xml:space="preserve">            ا-جمال عوض                                                م-احمد ابو الفتوح                                          م/ خالد عبيد                              م/ فوزي شبل علام                                                                         </t>
  </si>
  <si>
    <t xml:space="preserve">       م /  محمد عبد الله                                                  م/ عماد حماد                 </t>
  </si>
  <si>
    <t>الله اكبر - النصر لغزة</t>
  </si>
  <si>
    <t>الله اكبر -تحيا غزة العزة - تحيا مصر</t>
  </si>
  <si>
    <r>
      <t>تقرير مراجعة المستخلص الجارى رقم (</t>
    </r>
    <r>
      <rPr>
        <b/>
        <u/>
        <sz val="16"/>
        <color indexed="10"/>
        <rFont val="Arial"/>
        <family val="2"/>
      </rPr>
      <t xml:space="preserve">33 </t>
    </r>
    <r>
      <rPr>
        <b/>
        <u/>
        <sz val="16"/>
        <color indexed="8"/>
        <rFont val="Arial"/>
        <family val="2"/>
      </rPr>
      <t xml:space="preserve">) عن الأعمال المنفذة من بدء العمل حتى </t>
    </r>
    <r>
      <rPr>
        <b/>
        <u/>
        <sz val="16"/>
        <color indexed="10"/>
        <rFont val="Arial"/>
        <family val="2"/>
      </rPr>
      <t xml:space="preserve">  2025/8/31</t>
    </r>
  </si>
  <si>
    <t xml:space="preserve">مستخلص جارى رقم ( 34 ) </t>
  </si>
  <si>
    <t>الاعمال المنفذة من    بدء العمل      الى    2025/10/31</t>
  </si>
  <si>
    <t xml:space="preserve">مستخلص كهرباء جارى رقم  (34 ) </t>
  </si>
  <si>
    <t>الاعمال المنفذه من  بدء العمل  الى   31-10-2025</t>
  </si>
  <si>
    <t>الاعمال المنفذة من    بدء العمل      الى   2025/10/31</t>
  </si>
  <si>
    <t xml:space="preserve">بيان مستخلص  جــــــــاري رقـــــــــم (34 )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</si>
</sst>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0.0"/>
    <numFmt numFmtId="165" formatCode="[$-F800]dddd\,\ mmmm\ dd\,\ yyyy"/>
    <numFmt numFmtId="166" formatCode="[$-2000000]0.00"/>
    <numFmt numFmtId="167" formatCode="[$-2000000]0"/>
    <numFmt numFmtId="168" formatCode="[$-2000000]0%"/>
    <numFmt numFmtId="169" formatCode="[$-2000000]0.0"/>
    <numFmt numFmtId="170" formatCode="0.000"/>
    <numFmt numFmtId="171" formatCode="[$-2000000]0,000,000.0"/>
    <numFmt numFmtId="172" formatCode="#,##0.000"/>
    <numFmt numFmtId="173" formatCode="#,##0.0"/>
    <numFmt numFmtId="174" formatCode="[$-2010000]yyyy/mm/dd;@"/>
    <numFmt numFmtId="175" formatCode="0.0%"/>
    <numFmt numFmtId="176" formatCode="0.00000%"/>
    <numFmt numFmtId="177" formatCode="0.000%"/>
    <numFmt numFmtId="178" formatCode="[$-2000000]0.000"/>
  </numFmts>
  <fonts count="129" x14ac:knownFonts="1">
    <font>
      <sz val="11"/>
      <color theme="1"/>
      <name val="Calibri"/>
      <family val="2"/>
      <charset val="178"/>
      <scheme val="minor"/>
    </font>
    <font>
      <sz val="18"/>
      <color theme="3"/>
      <name val="Calibri Light"/>
      <family val="2"/>
      <charset val="178"/>
      <scheme val="major"/>
    </font>
    <font>
      <sz val="10"/>
      <name val="Arial"/>
      <family val="2"/>
    </font>
    <font>
      <b/>
      <sz val="14"/>
      <name val="Arial"/>
      <family val="2"/>
    </font>
    <font>
      <b/>
      <sz val="16"/>
      <name val="Arial"/>
      <family val="2"/>
    </font>
    <font>
      <b/>
      <sz val="9"/>
      <name val="Arial"/>
      <family val="2"/>
    </font>
    <font>
      <b/>
      <sz val="12"/>
      <name val="Arial"/>
      <family val="2"/>
    </font>
    <font>
      <sz val="11"/>
      <color theme="1"/>
      <name val="Arial"/>
      <family val="2"/>
      <charset val="178"/>
    </font>
    <font>
      <sz val="11"/>
      <color theme="1"/>
      <name val="Calibri"/>
      <family val="2"/>
      <charset val="178"/>
      <scheme val="minor"/>
    </font>
    <font>
      <b/>
      <sz val="22"/>
      <name val="Arial"/>
      <family val="2"/>
    </font>
    <font>
      <b/>
      <sz val="48"/>
      <name val="Arial"/>
      <family val="2"/>
    </font>
    <font>
      <b/>
      <sz val="36"/>
      <name val="Arial"/>
      <family val="2"/>
    </font>
    <font>
      <b/>
      <sz val="48"/>
      <name val="Calibri"/>
      <family val="2"/>
      <scheme val="minor"/>
    </font>
    <font>
      <b/>
      <u/>
      <sz val="48"/>
      <name val="Calibri"/>
      <family val="2"/>
      <scheme val="minor"/>
    </font>
    <font>
      <b/>
      <sz val="36"/>
      <name val="Calibri"/>
      <family val="2"/>
      <scheme val="minor"/>
    </font>
    <font>
      <b/>
      <sz val="18"/>
      <name val="Arial"/>
      <family val="2"/>
    </font>
    <font>
      <b/>
      <sz val="16"/>
      <name val="Calibri"/>
      <family val="2"/>
      <scheme val="minor"/>
    </font>
    <font>
      <b/>
      <sz val="20"/>
      <name val="Arial"/>
      <family val="2"/>
    </font>
    <font>
      <sz val="11"/>
      <color theme="1"/>
      <name val="Arabic Typesetting"/>
      <family val="2"/>
      <charset val="178"/>
    </font>
    <font>
      <b/>
      <u/>
      <sz val="22"/>
      <name val="Arial"/>
      <family val="2"/>
    </font>
    <font>
      <b/>
      <sz val="24"/>
      <name val="Arial"/>
      <family val="2"/>
    </font>
    <font>
      <sz val="11"/>
      <color theme="1"/>
      <name val="Calibri"/>
      <family val="2"/>
      <scheme val="minor"/>
    </font>
    <font>
      <b/>
      <sz val="72"/>
      <color theme="1"/>
      <name val="Arial Narrow"/>
      <family val="2"/>
    </font>
    <font>
      <sz val="72"/>
      <color theme="1"/>
      <name val="Calibri"/>
      <family val="2"/>
      <charset val="178"/>
      <scheme val="minor"/>
    </font>
    <font>
      <b/>
      <sz val="60"/>
      <name val="Calibri"/>
      <family val="2"/>
      <scheme val="minor"/>
    </font>
    <font>
      <sz val="26"/>
      <name val="Calibri"/>
      <family val="2"/>
      <scheme val="minor"/>
    </font>
    <font>
      <sz val="11"/>
      <name val="Calibri"/>
      <family val="2"/>
      <charset val="178"/>
      <scheme val="minor"/>
    </font>
    <font>
      <sz val="36"/>
      <name val="Calibri"/>
      <family val="2"/>
      <charset val="178"/>
      <scheme val="minor"/>
    </font>
    <font>
      <sz val="48"/>
      <name val="Calibri"/>
      <family val="2"/>
      <charset val="178"/>
      <scheme val="minor"/>
    </font>
    <font>
      <sz val="28"/>
      <name val="Calibri"/>
      <family val="2"/>
      <charset val="178"/>
      <scheme val="minor"/>
    </font>
    <font>
      <b/>
      <sz val="60"/>
      <color theme="1"/>
      <name val="Calibri"/>
      <family val="2"/>
      <scheme val="minor"/>
    </font>
    <font>
      <sz val="36"/>
      <color theme="1"/>
      <name val="Calibri"/>
      <family val="2"/>
      <charset val="178"/>
      <scheme val="minor"/>
    </font>
    <font>
      <b/>
      <sz val="48"/>
      <color theme="1"/>
      <name val="Calibri"/>
      <family val="2"/>
      <scheme val="minor"/>
    </font>
    <font>
      <b/>
      <sz val="72"/>
      <color theme="1"/>
      <name val="Calibri"/>
      <family val="2"/>
      <scheme val="minor"/>
    </font>
    <font>
      <sz val="60"/>
      <color theme="1"/>
      <name val="Calibri"/>
      <family val="2"/>
      <charset val="178"/>
      <scheme val="minor"/>
    </font>
    <font>
      <sz val="60"/>
      <name val="Calibri"/>
      <family val="2"/>
      <charset val="178"/>
      <scheme val="minor"/>
    </font>
    <font>
      <sz val="45"/>
      <color theme="1"/>
      <name val="Calibri"/>
      <family val="2"/>
      <charset val="178"/>
      <scheme val="minor"/>
    </font>
    <font>
      <sz val="55"/>
      <color theme="1"/>
      <name val="Calibri"/>
      <family val="2"/>
      <scheme val="minor"/>
    </font>
    <font>
      <sz val="55"/>
      <color theme="1"/>
      <name val="Calibri"/>
      <family val="2"/>
      <charset val="178"/>
      <scheme val="minor"/>
    </font>
    <font>
      <b/>
      <sz val="12"/>
      <color theme="1"/>
      <name val="Arial"/>
      <family val="2"/>
    </font>
    <font>
      <b/>
      <u/>
      <sz val="16"/>
      <color theme="1"/>
      <name val="Arial"/>
      <family val="2"/>
    </font>
    <font>
      <b/>
      <u/>
      <sz val="16"/>
      <color indexed="10"/>
      <name val="Arial"/>
      <family val="2"/>
    </font>
    <font>
      <b/>
      <u/>
      <sz val="16"/>
      <color indexed="8"/>
      <name val="Arial"/>
      <family val="2"/>
    </font>
    <font>
      <b/>
      <sz val="80"/>
      <name val="Arial"/>
      <family val="2"/>
    </font>
    <font>
      <b/>
      <sz val="100"/>
      <name val="Arial"/>
      <family val="2"/>
    </font>
    <font>
      <sz val="26"/>
      <name val="Calibri"/>
      <family val="2"/>
      <charset val="178"/>
      <scheme val="minor"/>
    </font>
    <font>
      <sz val="44"/>
      <name val="Calibri"/>
      <family val="2"/>
      <scheme val="minor"/>
    </font>
    <font>
      <sz val="35"/>
      <name val="Calibri"/>
      <family val="2"/>
      <charset val="178"/>
      <scheme val="minor"/>
    </font>
    <font>
      <sz val="40"/>
      <name val="Calibri"/>
      <family val="2"/>
      <charset val="178"/>
      <scheme val="minor"/>
    </font>
    <font>
      <b/>
      <sz val="60"/>
      <name val="Arial"/>
      <family val="2"/>
    </font>
    <font>
      <sz val="48"/>
      <name val="Calibri"/>
      <family val="2"/>
      <scheme val="minor"/>
    </font>
    <font>
      <sz val="48"/>
      <name val="Segoe UI"/>
      <family val="2"/>
    </font>
    <font>
      <b/>
      <sz val="36"/>
      <color theme="1"/>
      <name val="Calibri"/>
      <family val="2"/>
      <scheme val="minor"/>
    </font>
    <font>
      <sz val="20"/>
      <color theme="1"/>
      <name val="Calibri"/>
      <family val="2"/>
      <charset val="178"/>
      <scheme val="minor"/>
    </font>
    <font>
      <b/>
      <sz val="72"/>
      <name val="Arial"/>
      <family val="2"/>
    </font>
    <font>
      <sz val="8"/>
      <name val="Calibri"/>
      <family val="2"/>
      <charset val="178"/>
      <scheme val="minor"/>
    </font>
    <font>
      <b/>
      <sz val="11"/>
      <color theme="1"/>
      <name val="Arial"/>
      <family val="2"/>
    </font>
    <font>
      <b/>
      <sz val="14"/>
      <color rgb="FFFF0000"/>
      <name val="Arial"/>
      <family val="2"/>
    </font>
    <font>
      <b/>
      <sz val="14"/>
      <color theme="1"/>
      <name val="Arial"/>
      <family val="2"/>
    </font>
    <font>
      <b/>
      <sz val="16"/>
      <color indexed="8"/>
      <name val="Arial"/>
      <family val="2"/>
    </font>
    <font>
      <b/>
      <sz val="16"/>
      <color theme="1"/>
      <name val="Arial"/>
      <family val="2"/>
    </font>
    <font>
      <b/>
      <sz val="24"/>
      <color theme="1"/>
      <name val="Calibri"/>
      <family val="2"/>
      <scheme val="minor"/>
    </font>
    <font>
      <b/>
      <sz val="16"/>
      <color rgb="FFFF0000"/>
      <name val="Arial"/>
      <family val="2"/>
    </font>
    <font>
      <b/>
      <sz val="16"/>
      <color indexed="10"/>
      <name val="Arial"/>
      <family val="2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theme="0" tint="-4.9989318521683403E-2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1"/>
      <color theme="0"/>
      <name val="Calibri"/>
      <family val="2"/>
      <charset val="178"/>
      <scheme val="minor"/>
    </font>
    <font>
      <b/>
      <sz val="12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u/>
      <sz val="48"/>
      <name val="Arial"/>
      <family val="2"/>
    </font>
    <font>
      <b/>
      <sz val="65"/>
      <name val="Arial"/>
      <family val="2"/>
    </font>
    <font>
      <sz val="48"/>
      <name val="Arial"/>
      <family val="2"/>
    </font>
    <font>
      <sz val="44"/>
      <name val="Arial"/>
      <family val="2"/>
    </font>
    <font>
      <sz val="26"/>
      <name val="Arial"/>
      <family val="2"/>
    </font>
    <font>
      <b/>
      <sz val="90"/>
      <name val="Arial"/>
      <family val="2"/>
    </font>
    <font>
      <b/>
      <sz val="85"/>
      <name val="Arial"/>
      <family val="2"/>
    </font>
    <font>
      <b/>
      <u/>
      <sz val="85"/>
      <name val="Arial"/>
      <family val="2"/>
    </font>
    <font>
      <b/>
      <sz val="55"/>
      <name val="Arial"/>
      <family val="2"/>
    </font>
    <font>
      <b/>
      <sz val="44"/>
      <name val="Arial"/>
      <family val="2"/>
    </font>
    <font>
      <b/>
      <sz val="72"/>
      <color theme="1"/>
      <name val="Arial"/>
      <family val="2"/>
    </font>
    <font>
      <sz val="72"/>
      <color theme="1"/>
      <name val="Arial"/>
      <family val="2"/>
    </font>
    <font>
      <b/>
      <sz val="60"/>
      <color theme="1"/>
      <name val="Arial"/>
      <family val="2"/>
    </font>
    <font>
      <b/>
      <sz val="48"/>
      <color theme="1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sz val="80"/>
      <color theme="1"/>
      <name val="Arial"/>
      <family val="2"/>
    </font>
    <font>
      <b/>
      <sz val="65"/>
      <color theme="1"/>
      <name val="Arial"/>
      <family val="2"/>
    </font>
    <font>
      <b/>
      <sz val="80"/>
      <color theme="1"/>
      <name val="Arial"/>
      <family val="2"/>
    </font>
    <font>
      <sz val="48"/>
      <color theme="1"/>
      <name val="Arial"/>
      <family val="2"/>
    </font>
    <font>
      <sz val="65"/>
      <color theme="1"/>
      <name val="Arial"/>
      <family val="2"/>
    </font>
    <font>
      <b/>
      <sz val="26"/>
      <name val="Arial"/>
      <family val="2"/>
    </font>
    <font>
      <b/>
      <sz val="11"/>
      <name val="Arial"/>
      <family val="2"/>
    </font>
    <font>
      <sz val="36"/>
      <name val="Arial"/>
      <family val="2"/>
    </font>
    <font>
      <sz val="28"/>
      <name val="Arial"/>
      <family val="2"/>
    </font>
    <font>
      <sz val="36"/>
      <color theme="1"/>
      <name val="Arial"/>
      <family val="2"/>
    </font>
    <font>
      <sz val="20"/>
      <color theme="1"/>
      <name val="Arial"/>
      <family val="2"/>
    </font>
    <font>
      <sz val="60"/>
      <color theme="1"/>
      <name val="Arial"/>
      <family val="2"/>
    </font>
    <font>
      <sz val="60"/>
      <name val="Arial"/>
      <family val="2"/>
    </font>
    <font>
      <sz val="45"/>
      <color theme="1"/>
      <name val="Arial"/>
      <family val="2"/>
    </font>
    <font>
      <sz val="55"/>
      <color theme="1"/>
      <name val="Arial"/>
      <family val="2"/>
    </font>
    <font>
      <b/>
      <sz val="100"/>
      <color theme="1"/>
      <name val="Arial"/>
      <family val="2"/>
    </font>
    <font>
      <sz val="30"/>
      <name val="Arial"/>
      <family val="2"/>
    </font>
    <font>
      <b/>
      <sz val="48"/>
      <name val="Segoe UI"/>
      <family val="2"/>
    </font>
    <font>
      <b/>
      <sz val="75"/>
      <name val="Arial"/>
      <family val="2"/>
    </font>
    <font>
      <sz val="75"/>
      <name val="Arial"/>
      <family val="2"/>
    </font>
    <font>
      <sz val="75"/>
      <name val="Calibri"/>
      <family val="2"/>
      <scheme val="minor"/>
    </font>
    <font>
      <sz val="65"/>
      <name val="Arial"/>
      <family val="2"/>
    </font>
    <font>
      <sz val="65"/>
      <name val="Calibri"/>
      <family val="2"/>
      <scheme val="minor"/>
    </font>
    <font>
      <sz val="65"/>
      <name val="Calibri"/>
      <family val="2"/>
      <charset val="178"/>
      <scheme val="minor"/>
    </font>
    <font>
      <b/>
      <sz val="68"/>
      <name val="Arial"/>
      <family val="2"/>
    </font>
    <font>
      <b/>
      <sz val="68"/>
      <name val="Calibri"/>
      <family val="2"/>
      <scheme val="minor"/>
    </font>
    <font>
      <sz val="68"/>
      <name val="Calibri"/>
      <family val="2"/>
      <scheme val="minor"/>
    </font>
    <font>
      <b/>
      <u/>
      <sz val="100"/>
      <name val="Arial"/>
      <family val="2"/>
    </font>
    <font>
      <b/>
      <sz val="25"/>
      <name val="Arial"/>
      <family val="2"/>
    </font>
    <font>
      <b/>
      <sz val="70"/>
      <name val="Arial"/>
      <family val="2"/>
    </font>
    <font>
      <sz val="70"/>
      <color theme="1"/>
      <name val="Arial"/>
      <family val="2"/>
    </font>
    <font>
      <b/>
      <sz val="60"/>
      <color rgb="FFFF0000"/>
      <name val="Arial"/>
      <family val="2"/>
    </font>
    <font>
      <b/>
      <sz val="72"/>
      <color rgb="FFFF0000"/>
      <name val="Arial"/>
      <family val="2"/>
    </font>
    <font>
      <b/>
      <sz val="52"/>
      <name val="Arial"/>
      <family val="2"/>
    </font>
    <font>
      <b/>
      <sz val="50"/>
      <name val="Arial"/>
      <family val="2"/>
    </font>
    <font>
      <b/>
      <sz val="45"/>
      <name val="Arial"/>
      <family val="2"/>
    </font>
    <font>
      <sz val="200"/>
      <color theme="1"/>
      <name val="Arial"/>
      <family val="2"/>
    </font>
    <font>
      <sz val="30"/>
      <color theme="1"/>
      <name val="Arial"/>
      <family val="2"/>
    </font>
    <font>
      <b/>
      <sz val="100"/>
      <name val="Calibri"/>
      <family val="2"/>
      <charset val="178"/>
      <scheme val="minor"/>
    </font>
    <font>
      <b/>
      <sz val="95"/>
      <name val="Arial"/>
      <family val="2"/>
    </font>
    <font>
      <b/>
      <sz val="75"/>
      <color theme="1"/>
      <name val="Arial"/>
      <family val="2"/>
    </font>
  </fonts>
  <fills count="2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BC8FDD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133">
    <border>
      <left/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double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indexed="64"/>
      </top>
      <bottom/>
      <diagonal/>
    </border>
    <border>
      <left/>
      <right style="double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ck">
        <color indexed="64"/>
      </left>
      <right style="double">
        <color indexed="64"/>
      </right>
      <top style="thick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thick">
        <color indexed="64"/>
      </top>
      <bottom style="double">
        <color indexed="64"/>
      </bottom>
      <diagonal/>
    </border>
    <border>
      <left style="double">
        <color indexed="64"/>
      </left>
      <right style="thick">
        <color indexed="64"/>
      </right>
      <top style="thick">
        <color indexed="64"/>
      </top>
      <bottom style="double">
        <color indexed="64"/>
      </bottom>
      <diagonal/>
    </border>
    <border>
      <left style="thick">
        <color indexed="64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ck">
        <color indexed="64"/>
      </right>
      <top style="double">
        <color auto="1"/>
      </top>
      <bottom style="double">
        <color auto="1"/>
      </bottom>
      <diagonal/>
    </border>
    <border>
      <left style="thick">
        <color indexed="64"/>
      </left>
      <right/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/>
      <right style="thick">
        <color indexed="64"/>
      </right>
      <top style="double">
        <color auto="1"/>
      </top>
      <bottom style="double">
        <color auto="1"/>
      </bottom>
      <diagonal/>
    </border>
    <border>
      <left style="thick">
        <color indexed="64"/>
      </left>
      <right style="double">
        <color indexed="64"/>
      </right>
      <top style="double">
        <color indexed="64"/>
      </top>
      <bottom style="thick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ck">
        <color indexed="64"/>
      </bottom>
      <diagonal/>
    </border>
    <border>
      <left style="double">
        <color indexed="64"/>
      </left>
      <right style="thick">
        <color indexed="64"/>
      </right>
      <top style="double">
        <color indexed="64"/>
      </top>
      <bottom style="thick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ck">
        <color indexed="64"/>
      </left>
      <right/>
      <top style="double">
        <color auto="1"/>
      </top>
      <bottom/>
      <diagonal/>
    </border>
    <border>
      <left/>
      <right style="thick">
        <color indexed="64"/>
      </right>
      <top style="double">
        <color auto="1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double">
        <color auto="1"/>
      </right>
      <top style="double">
        <color auto="1"/>
      </top>
      <bottom/>
      <diagonal/>
    </border>
    <border>
      <left style="thick">
        <color indexed="64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thick">
        <color indexed="64"/>
      </left>
      <right style="medium">
        <color auto="1"/>
      </right>
      <top style="medium">
        <color auto="1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ck">
        <color auto="1"/>
      </bottom>
      <diagonal/>
    </border>
    <border>
      <left style="thick">
        <color indexed="64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auto="1"/>
      </left>
      <right style="thick">
        <color auto="1"/>
      </right>
      <top style="medium">
        <color auto="1"/>
      </top>
      <bottom style="thick">
        <color auto="1"/>
      </bottom>
      <diagonal/>
    </border>
    <border>
      <left style="thick">
        <color indexed="64"/>
      </left>
      <right/>
      <top/>
      <bottom/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auto="1"/>
      </left>
      <right/>
      <top style="thin">
        <color indexed="64"/>
      </top>
      <bottom/>
      <diagonal/>
    </border>
    <border>
      <left style="thick">
        <color auto="1"/>
      </left>
      <right/>
      <top/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ck">
        <color auto="1"/>
      </top>
      <bottom style="medium">
        <color indexed="64"/>
      </bottom>
      <diagonal/>
    </border>
    <border>
      <left/>
      <right style="medium">
        <color indexed="64"/>
      </right>
      <top style="thick">
        <color auto="1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 style="thick">
        <color auto="1"/>
      </bottom>
      <diagonal/>
    </border>
    <border>
      <left style="thick">
        <color auto="1"/>
      </left>
      <right style="medium">
        <color auto="1"/>
      </right>
      <top style="thick">
        <color auto="1"/>
      </top>
      <bottom style="medium">
        <color auto="1"/>
      </bottom>
      <diagonal/>
    </border>
    <border>
      <left style="medium">
        <color auto="1"/>
      </left>
      <right style="thick">
        <color auto="1"/>
      </right>
      <top style="thick">
        <color auto="1"/>
      </top>
      <bottom style="medium">
        <color auto="1"/>
      </bottom>
      <diagonal/>
    </border>
    <border>
      <left style="medium">
        <color auto="1"/>
      </left>
      <right style="thick">
        <color auto="1"/>
      </right>
      <top style="medium">
        <color auto="1"/>
      </top>
      <bottom style="medium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auto="1"/>
      </left>
      <right style="thin">
        <color auto="1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auto="1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ck">
        <color indexed="64"/>
      </right>
      <top/>
      <bottom/>
      <diagonal/>
    </border>
    <border>
      <left style="thick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indexed="64"/>
      </left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/>
      <top style="thick">
        <color auto="1"/>
      </top>
      <bottom/>
      <diagonal/>
    </border>
    <border>
      <left/>
      <right style="medium">
        <color indexed="64"/>
      </right>
      <top style="thick">
        <color auto="1"/>
      </top>
      <bottom/>
      <diagonal/>
    </border>
    <border>
      <left style="medium">
        <color indexed="64"/>
      </left>
      <right/>
      <top/>
      <bottom style="thick">
        <color auto="1"/>
      </bottom>
      <diagonal/>
    </border>
    <border>
      <left/>
      <right style="medium">
        <color indexed="64"/>
      </right>
      <top/>
      <bottom style="thick">
        <color auto="1"/>
      </bottom>
      <diagonal/>
    </border>
    <border>
      <left style="thick">
        <color indexed="64"/>
      </left>
      <right/>
      <top/>
      <bottom style="double">
        <color auto="1"/>
      </bottom>
      <diagonal/>
    </border>
    <border>
      <left style="double">
        <color auto="1"/>
      </left>
      <right style="double">
        <color auto="1"/>
      </right>
      <top/>
      <bottom/>
      <diagonal/>
    </border>
    <border>
      <left/>
      <right/>
      <top style="thick">
        <color indexed="64"/>
      </top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/>
      <right style="thick">
        <color auto="1"/>
      </right>
      <top/>
      <bottom style="thin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n">
        <color auto="1"/>
      </left>
      <right/>
      <top style="thick">
        <color indexed="64"/>
      </top>
      <bottom style="thin">
        <color auto="1"/>
      </bottom>
      <diagonal/>
    </border>
    <border>
      <left/>
      <right/>
      <top style="thick">
        <color indexed="64"/>
      </top>
      <bottom style="thin">
        <color auto="1"/>
      </bottom>
      <diagonal/>
    </border>
    <border>
      <left/>
      <right style="thin">
        <color auto="1"/>
      </right>
      <top style="thick">
        <color indexed="64"/>
      </top>
      <bottom style="thin">
        <color auto="1"/>
      </bottom>
      <diagonal/>
    </border>
    <border>
      <left style="thick">
        <color indexed="64"/>
      </left>
      <right style="double">
        <color auto="1"/>
      </right>
      <top/>
      <bottom/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auto="1"/>
      </top>
      <bottom/>
      <diagonal/>
    </border>
    <border>
      <left style="thick">
        <color indexed="64"/>
      </left>
      <right/>
      <top style="thick">
        <color indexed="64"/>
      </top>
      <bottom style="double">
        <color indexed="64"/>
      </bottom>
      <diagonal/>
    </border>
    <border>
      <left/>
      <right/>
      <top style="thick">
        <color indexed="64"/>
      </top>
      <bottom style="double">
        <color indexed="64"/>
      </bottom>
      <diagonal/>
    </border>
    <border>
      <left/>
      <right style="thick">
        <color indexed="64"/>
      </right>
      <top style="thick">
        <color indexed="64"/>
      </top>
      <bottom style="double">
        <color indexed="64"/>
      </bottom>
      <diagonal/>
    </border>
  </borders>
  <cellStyleXfs count="11">
    <xf numFmtId="0" fontId="0" fillId="0" borderId="0"/>
    <xf numFmtId="0" fontId="1" fillId="0" borderId="0" applyNumberFormat="0" applyFill="0" applyBorder="0" applyAlignment="0" applyProtection="0"/>
    <xf numFmtId="0" fontId="2" fillId="0" borderId="0"/>
    <xf numFmtId="0" fontId="7" fillId="0" borderId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0" fontId="18" fillId="0" borderId="0"/>
    <xf numFmtId="0" fontId="8" fillId="0" borderId="0"/>
    <xf numFmtId="0" fontId="2" fillId="0" borderId="0"/>
    <xf numFmtId="0" fontId="21" fillId="0" borderId="0"/>
  </cellStyleXfs>
  <cellXfs count="1373">
    <xf numFmtId="0" fontId="0" fillId="0" borderId="0" xfId="0"/>
    <xf numFmtId="0" fontId="3" fillId="2" borderId="0" xfId="2" applyFont="1" applyFill="1" applyAlignment="1">
      <alignment horizontal="right"/>
    </xf>
    <xf numFmtId="0" fontId="3" fillId="2" borderId="0" xfId="2" applyFont="1" applyFill="1"/>
    <xf numFmtId="0" fontId="15" fillId="2" borderId="14" xfId="2" applyFont="1" applyFill="1" applyBorder="1" applyAlignment="1" applyProtection="1">
      <alignment horizontal="center" vertical="center"/>
      <protection locked="0"/>
    </xf>
    <xf numFmtId="0" fontId="4" fillId="2" borderId="0" xfId="2" applyFont="1" applyFill="1" applyProtection="1">
      <protection locked="0"/>
    </xf>
    <xf numFmtId="0" fontId="4" fillId="2" borderId="0" xfId="2" applyFont="1" applyFill="1" applyAlignment="1" applyProtection="1">
      <alignment vertical="center" readingOrder="2"/>
      <protection locked="0"/>
    </xf>
    <xf numFmtId="165" fontId="4" fillId="2" borderId="0" xfId="2" applyNumberFormat="1" applyFont="1" applyFill="1" applyAlignment="1" applyProtection="1">
      <alignment horizontal="center" vertical="center" readingOrder="2"/>
      <protection locked="0"/>
    </xf>
    <xf numFmtId="1" fontId="20" fillId="2" borderId="0" xfId="2" applyNumberFormat="1" applyFont="1" applyFill="1" applyProtection="1">
      <protection locked="0"/>
    </xf>
    <xf numFmtId="0" fontId="20" fillId="2" borderId="0" xfId="2" applyFont="1" applyFill="1" applyProtection="1">
      <protection locked="0"/>
    </xf>
    <xf numFmtId="1" fontId="20" fillId="2" borderId="0" xfId="2" applyNumberFormat="1" applyFont="1" applyFill="1" applyAlignment="1" applyProtection="1">
      <alignment vertical="center"/>
      <protection locked="0"/>
    </xf>
    <xf numFmtId="0" fontId="20" fillId="2" borderId="0" xfId="2" applyFont="1" applyFill="1" applyAlignment="1" applyProtection="1">
      <alignment vertical="center"/>
      <protection locked="0"/>
    </xf>
    <xf numFmtId="1" fontId="6" fillId="2" borderId="0" xfId="2" applyNumberFormat="1" applyFont="1" applyFill="1" applyProtection="1">
      <protection locked="0"/>
    </xf>
    <xf numFmtId="0" fontId="5" fillId="2" borderId="0" xfId="2" applyFont="1" applyFill="1" applyProtection="1">
      <protection locked="0"/>
    </xf>
    <xf numFmtId="1" fontId="3" fillId="2" borderId="0" xfId="2" applyNumberFormat="1" applyFont="1" applyFill="1" applyAlignment="1" applyProtection="1">
      <alignment vertical="center"/>
      <protection locked="0"/>
    </xf>
    <xf numFmtId="0" fontId="3" fillId="2" borderId="0" xfId="2" applyFont="1" applyFill="1" applyAlignment="1" applyProtection="1">
      <alignment vertical="center"/>
      <protection locked="0"/>
    </xf>
    <xf numFmtId="2" fontId="19" fillId="2" borderId="34" xfId="2" applyNumberFormat="1" applyFont="1" applyFill="1" applyBorder="1" applyAlignment="1">
      <alignment horizontal="center" vertical="center"/>
    </xf>
    <xf numFmtId="2" fontId="19" fillId="2" borderId="32" xfId="2" applyNumberFormat="1" applyFont="1" applyFill="1" applyBorder="1" applyAlignment="1">
      <alignment horizontal="center" vertical="center"/>
    </xf>
    <xf numFmtId="2" fontId="6" fillId="2" borderId="0" xfId="2" applyNumberFormat="1" applyFont="1" applyFill="1" applyAlignment="1" applyProtection="1">
      <alignment horizontal="center" vertical="center" readingOrder="2"/>
      <protection locked="0"/>
    </xf>
    <xf numFmtId="0" fontId="20" fillId="2" borderId="0" xfId="0" applyFont="1" applyFill="1" applyAlignment="1" applyProtection="1">
      <alignment readingOrder="2"/>
      <protection locked="0"/>
    </xf>
    <xf numFmtId="171" fontId="0" fillId="0" borderId="0" xfId="0" applyNumberFormat="1"/>
    <xf numFmtId="171" fontId="24" fillId="4" borderId="43" xfId="0" applyNumberFormat="1" applyFont="1" applyFill="1" applyBorder="1" applyAlignment="1">
      <alignment horizontal="center" vertical="center"/>
    </xf>
    <xf numFmtId="171" fontId="12" fillId="4" borderId="44" xfId="0" applyNumberFormat="1" applyFont="1" applyFill="1" applyBorder="1" applyAlignment="1">
      <alignment horizontal="center" vertical="center"/>
    </xf>
    <xf numFmtId="171" fontId="12" fillId="4" borderId="45" xfId="0" applyNumberFormat="1" applyFont="1" applyFill="1" applyBorder="1" applyAlignment="1">
      <alignment horizontal="center" vertical="center"/>
    </xf>
    <xf numFmtId="171" fontId="25" fillId="0" borderId="0" xfId="0" applyNumberFormat="1" applyFont="1"/>
    <xf numFmtId="172" fontId="13" fillId="2" borderId="44" xfId="0" applyNumberFormat="1" applyFont="1" applyFill="1" applyBorder="1" applyAlignment="1">
      <alignment horizontal="center" vertical="center"/>
    </xf>
    <xf numFmtId="172" fontId="13" fillId="0" borderId="45" xfId="0" applyNumberFormat="1" applyFont="1" applyBorder="1" applyAlignment="1">
      <alignment horizontal="center" vertical="center"/>
    </xf>
    <xf numFmtId="171" fontId="14" fillId="0" borderId="0" xfId="0" applyNumberFormat="1" applyFont="1" applyAlignment="1">
      <alignment vertical="center"/>
    </xf>
    <xf numFmtId="171" fontId="26" fillId="0" borderId="0" xfId="0" applyNumberFormat="1" applyFont="1"/>
    <xf numFmtId="171" fontId="27" fillId="0" borderId="0" xfId="0" applyNumberFormat="1" applyFont="1"/>
    <xf numFmtId="171" fontId="28" fillId="0" borderId="0" xfId="0" applyNumberFormat="1" applyFont="1"/>
    <xf numFmtId="172" fontId="13" fillId="8" borderId="44" xfId="0" applyNumberFormat="1" applyFont="1" applyFill="1" applyBorder="1" applyAlignment="1">
      <alignment horizontal="center" vertical="center"/>
    </xf>
    <xf numFmtId="172" fontId="13" fillId="8" borderId="45" xfId="0" applyNumberFormat="1" applyFont="1" applyFill="1" applyBorder="1" applyAlignment="1">
      <alignment horizontal="center" vertical="center"/>
    </xf>
    <xf numFmtId="172" fontId="13" fillId="9" borderId="45" xfId="0" applyNumberFormat="1" applyFont="1" applyFill="1" applyBorder="1" applyAlignment="1">
      <alignment horizontal="center" vertical="center"/>
    </xf>
    <xf numFmtId="10" fontId="27" fillId="0" borderId="0" xfId="0" applyNumberFormat="1" applyFont="1" applyAlignment="1">
      <alignment horizontal="center"/>
    </xf>
    <xf numFmtId="171" fontId="28" fillId="0" borderId="0" xfId="0" applyNumberFormat="1" applyFont="1" applyAlignment="1">
      <alignment horizontal="center"/>
    </xf>
    <xf numFmtId="171" fontId="30" fillId="10" borderId="43" xfId="0" applyNumberFormat="1" applyFont="1" applyFill="1" applyBorder="1" applyAlignment="1">
      <alignment horizontal="right" vertical="center"/>
    </xf>
    <xf numFmtId="171" fontId="30" fillId="10" borderId="44" xfId="0" applyNumberFormat="1" applyFont="1" applyFill="1" applyBorder="1" applyAlignment="1">
      <alignment horizontal="center" vertical="center"/>
    </xf>
    <xf numFmtId="171" fontId="31" fillId="0" borderId="0" xfId="0" applyNumberFormat="1" applyFont="1"/>
    <xf numFmtId="171" fontId="32" fillId="0" borderId="43" xfId="0" applyNumberFormat="1" applyFont="1" applyBorder="1" applyAlignment="1">
      <alignment vertical="center"/>
    </xf>
    <xf numFmtId="10" fontId="32" fillId="0" borderId="44" xfId="0" applyNumberFormat="1" applyFont="1" applyBorder="1" applyAlignment="1">
      <alignment horizontal="center" vertical="center"/>
    </xf>
    <xf numFmtId="171" fontId="12" fillId="0" borderId="43" xfId="0" applyNumberFormat="1" applyFont="1" applyBorder="1" applyAlignment="1">
      <alignment vertical="center"/>
    </xf>
    <xf numFmtId="171" fontId="34" fillId="0" borderId="0" xfId="0" applyNumberFormat="1" applyFont="1"/>
    <xf numFmtId="171" fontId="35" fillId="0" borderId="0" xfId="0" applyNumberFormat="1" applyFont="1"/>
    <xf numFmtId="171" fontId="0" fillId="0" borderId="28" xfId="0" applyNumberFormat="1" applyBorder="1"/>
    <xf numFmtId="171" fontId="0" fillId="0" borderId="26" xfId="0" applyNumberFormat="1" applyBorder="1"/>
    <xf numFmtId="171" fontId="36" fillId="0" borderId="0" xfId="0" applyNumberFormat="1" applyFont="1" applyAlignment="1">
      <alignment wrapText="1"/>
    </xf>
    <xf numFmtId="171" fontId="37" fillId="0" borderId="28" xfId="0" applyNumberFormat="1" applyFont="1" applyBorder="1"/>
    <xf numFmtId="171" fontId="37" fillId="0" borderId="0" xfId="0" applyNumberFormat="1" applyFont="1"/>
    <xf numFmtId="171" fontId="37" fillId="0" borderId="26" xfId="0" applyNumberFormat="1" applyFont="1" applyBorder="1"/>
    <xf numFmtId="171" fontId="38" fillId="0" borderId="0" xfId="0" applyNumberFormat="1" applyFont="1"/>
    <xf numFmtId="171" fontId="37" fillId="0" borderId="19" xfId="0" applyNumberFormat="1" applyFont="1" applyBorder="1"/>
    <xf numFmtId="171" fontId="37" fillId="0" borderId="7" xfId="0" applyNumberFormat="1" applyFont="1" applyBorder="1"/>
    <xf numFmtId="171" fontId="37" fillId="0" borderId="18" xfId="0" applyNumberFormat="1" applyFont="1" applyBorder="1"/>
    <xf numFmtId="171" fontId="38" fillId="0" borderId="23" xfId="0" applyNumberFormat="1" applyFont="1" applyBorder="1"/>
    <xf numFmtId="171" fontId="38" fillId="0" borderId="28" xfId="0" applyNumberFormat="1" applyFont="1" applyBorder="1"/>
    <xf numFmtId="171" fontId="38" fillId="0" borderId="26" xfId="0" applyNumberFormat="1" applyFont="1" applyBorder="1"/>
    <xf numFmtId="171" fontId="34" fillId="0" borderId="49" xfId="0" applyNumberFormat="1" applyFont="1" applyBorder="1"/>
    <xf numFmtId="171" fontId="23" fillId="0" borderId="47" xfId="0" applyNumberFormat="1" applyFont="1" applyBorder="1"/>
    <xf numFmtId="172" fontId="13" fillId="13" borderId="45" xfId="0" applyNumberFormat="1" applyFont="1" applyFill="1" applyBorder="1" applyAlignment="1">
      <alignment horizontal="center" vertical="center"/>
    </xf>
    <xf numFmtId="0" fontId="9" fillId="2" borderId="0" xfId="2" applyFont="1" applyFill="1"/>
    <xf numFmtId="0" fontId="9" fillId="2" borderId="0" xfId="2" applyFont="1" applyFill="1" applyProtection="1">
      <protection locked="0"/>
    </xf>
    <xf numFmtId="0" fontId="9" fillId="2" borderId="15" xfId="2" applyFont="1" applyFill="1" applyBorder="1"/>
    <xf numFmtId="2" fontId="9" fillId="2" borderId="0" xfId="2" applyNumberFormat="1" applyFont="1" applyFill="1"/>
    <xf numFmtId="0" fontId="9" fillId="0" borderId="0" xfId="2" applyFont="1"/>
    <xf numFmtId="0" fontId="9" fillId="2" borderId="16" xfId="2" applyFont="1" applyFill="1" applyBorder="1"/>
    <xf numFmtId="167" fontId="9" fillId="2" borderId="0" xfId="2" applyNumberFormat="1" applyFont="1" applyFill="1"/>
    <xf numFmtId="0" fontId="9" fillId="0" borderId="0" xfId="2" applyFont="1" applyAlignment="1">
      <alignment horizontal="center"/>
    </xf>
    <xf numFmtId="0" fontId="9" fillId="2" borderId="17" xfId="2" applyFont="1" applyFill="1" applyBorder="1"/>
    <xf numFmtId="1" fontId="9" fillId="4" borderId="0" xfId="2" applyNumberFormat="1" applyFont="1" applyFill="1" applyAlignment="1" applyProtection="1">
      <alignment vertical="center" readingOrder="2"/>
      <protection locked="0"/>
    </xf>
    <xf numFmtId="1" fontId="9" fillId="4" borderId="0" xfId="2" applyNumberFormat="1" applyFont="1" applyFill="1" applyAlignment="1" applyProtection="1">
      <alignment horizontal="right" vertical="center" readingOrder="2"/>
      <protection locked="0"/>
    </xf>
    <xf numFmtId="0" fontId="9" fillId="4" borderId="0" xfId="2" applyFont="1" applyFill="1" applyAlignment="1" applyProtection="1">
      <alignment vertical="center"/>
      <protection locked="0"/>
    </xf>
    <xf numFmtId="1" fontId="9" fillId="4" borderId="0" xfId="2" applyNumberFormat="1" applyFont="1" applyFill="1" applyAlignment="1" applyProtection="1">
      <alignment readingOrder="2"/>
      <protection locked="0"/>
    </xf>
    <xf numFmtId="1" fontId="9" fillId="4" borderId="0" xfId="2" applyNumberFormat="1" applyFont="1" applyFill="1" applyAlignment="1" applyProtection="1">
      <alignment horizontal="right" readingOrder="2"/>
      <protection locked="0"/>
    </xf>
    <xf numFmtId="1" fontId="9" fillId="4" borderId="0" xfId="2" applyNumberFormat="1" applyFont="1" applyFill="1" applyAlignment="1" applyProtection="1">
      <alignment vertical="center" shrinkToFit="1"/>
      <protection locked="0"/>
    </xf>
    <xf numFmtId="1" fontId="9" fillId="4" borderId="0" xfId="2" applyNumberFormat="1" applyFont="1" applyFill="1" applyAlignment="1" applyProtection="1">
      <alignment vertical="center"/>
      <protection locked="0"/>
    </xf>
    <xf numFmtId="1" fontId="9" fillId="4" borderId="0" xfId="2" applyNumberFormat="1" applyFont="1" applyFill="1" applyAlignment="1">
      <alignment readingOrder="2"/>
    </xf>
    <xf numFmtId="1" fontId="9" fillId="4" borderId="0" xfId="2" applyNumberFormat="1" applyFont="1" applyFill="1" applyAlignment="1">
      <alignment shrinkToFit="1"/>
    </xf>
    <xf numFmtId="1" fontId="9" fillId="4" borderId="0" xfId="2" applyNumberFormat="1" applyFont="1" applyFill="1"/>
    <xf numFmtId="1" fontId="9" fillId="4" borderId="0" xfId="2" applyNumberFormat="1" applyFont="1" applyFill="1" applyAlignment="1">
      <alignment horizontal="center" vertical="center" readingOrder="2"/>
    </xf>
    <xf numFmtId="0" fontId="9" fillId="4" borderId="0" xfId="2" applyFont="1" applyFill="1" applyProtection="1">
      <protection locked="0"/>
    </xf>
    <xf numFmtId="0" fontId="9" fillId="4" borderId="0" xfId="2" applyFont="1" applyFill="1" applyAlignment="1">
      <alignment horizontal="right" vertical="center" readingOrder="2"/>
    </xf>
    <xf numFmtId="0" fontId="9" fillId="4" borderId="0" xfId="2" applyFont="1" applyFill="1" applyAlignment="1">
      <alignment readingOrder="2"/>
    </xf>
    <xf numFmtId="166" fontId="9" fillId="2" borderId="0" xfId="2" applyNumberFormat="1" applyFont="1" applyFill="1"/>
    <xf numFmtId="167" fontId="26" fillId="0" borderId="0" xfId="4" applyNumberFormat="1" applyFont="1"/>
    <xf numFmtId="167" fontId="45" fillId="0" borderId="0" xfId="4" applyNumberFormat="1" applyFont="1"/>
    <xf numFmtId="167" fontId="25" fillId="0" borderId="0" xfId="4" applyNumberFormat="1" applyFont="1" applyAlignment="1">
      <alignment horizontal="center" vertical="center"/>
    </xf>
    <xf numFmtId="167" fontId="25" fillId="0" borderId="0" xfId="4" applyNumberFormat="1" applyFont="1"/>
    <xf numFmtId="167" fontId="46" fillId="18" borderId="0" xfId="4" applyNumberFormat="1" applyFont="1" applyFill="1"/>
    <xf numFmtId="167" fontId="47" fillId="2" borderId="0" xfId="4" applyNumberFormat="1" applyFont="1" applyFill="1"/>
    <xf numFmtId="167" fontId="48" fillId="18" borderId="69" xfId="4" applyNumberFormat="1" applyFont="1" applyFill="1" applyBorder="1" applyAlignment="1">
      <alignment wrapText="1"/>
    </xf>
    <xf numFmtId="167" fontId="48" fillId="18" borderId="0" xfId="4" applyNumberFormat="1" applyFont="1" applyFill="1" applyAlignment="1">
      <alignment horizontal="right"/>
    </xf>
    <xf numFmtId="167" fontId="48" fillId="18" borderId="0" xfId="4" applyNumberFormat="1" applyFont="1" applyFill="1" applyAlignment="1">
      <alignment horizontal="right" wrapText="1"/>
    </xf>
    <xf numFmtId="167" fontId="48" fillId="19" borderId="0" xfId="4" applyNumberFormat="1" applyFont="1" applyFill="1" applyAlignment="1">
      <alignment horizontal="right" wrapText="1"/>
    </xf>
    <xf numFmtId="167" fontId="48" fillId="18" borderId="0" xfId="4" applyNumberFormat="1" applyFont="1" applyFill="1" applyAlignment="1">
      <alignment wrapText="1"/>
    </xf>
    <xf numFmtId="167" fontId="25" fillId="0" borderId="22" xfId="4" applyNumberFormat="1" applyFont="1" applyBorder="1" applyAlignment="1">
      <alignment horizontal="center" vertical="center"/>
    </xf>
    <xf numFmtId="167" fontId="28" fillId="0" borderId="0" xfId="4" applyNumberFormat="1" applyFont="1"/>
    <xf numFmtId="167" fontId="50" fillId="0" borderId="0" xfId="4" applyNumberFormat="1" applyFont="1"/>
    <xf numFmtId="167" fontId="50" fillId="2" borderId="0" xfId="4" applyNumberFormat="1" applyFont="1" applyFill="1"/>
    <xf numFmtId="167" fontId="50" fillId="15" borderId="0" xfId="4" applyNumberFormat="1" applyFont="1" applyFill="1"/>
    <xf numFmtId="167" fontId="51" fillId="20" borderId="0" xfId="6" applyNumberFormat="1" applyFont="1" applyFill="1" applyAlignment="1">
      <alignment horizontal="center"/>
    </xf>
    <xf numFmtId="167" fontId="51" fillId="0" borderId="0" xfId="6" applyNumberFormat="1" applyFont="1" applyAlignment="1">
      <alignment horizontal="center"/>
    </xf>
    <xf numFmtId="171" fontId="52" fillId="0" borderId="0" xfId="0" applyNumberFormat="1" applyFont="1" applyAlignment="1">
      <alignment horizontal="center" vertical="center"/>
    </xf>
    <xf numFmtId="171" fontId="52" fillId="0" borderId="0" xfId="0" applyNumberFormat="1" applyFont="1" applyAlignment="1">
      <alignment horizontal="center" vertical="center" wrapText="1"/>
    </xf>
    <xf numFmtId="0" fontId="14" fillId="0" borderId="0" xfId="0" applyFont="1" applyAlignment="1">
      <alignment vertical="center"/>
    </xf>
    <xf numFmtId="10" fontId="53" fillId="0" borderId="0" xfId="0" applyNumberFormat="1" applyFont="1" applyAlignment="1">
      <alignment horizontal="center" vertical="center"/>
    </xf>
    <xf numFmtId="176" fontId="23" fillId="0" borderId="0" xfId="0" applyNumberFormat="1" applyFont="1"/>
    <xf numFmtId="176" fontId="23" fillId="0" borderId="0" xfId="0" applyNumberFormat="1" applyFont="1" applyAlignment="1">
      <alignment horizontal="center" vertical="center"/>
    </xf>
    <xf numFmtId="171" fontId="23" fillId="0" borderId="0" xfId="0" applyNumberFormat="1" applyFont="1"/>
    <xf numFmtId="0" fontId="54" fillId="2" borderId="0" xfId="2" applyFont="1" applyFill="1"/>
    <xf numFmtId="0" fontId="54" fillId="2" borderId="0" xfId="2" applyFont="1" applyFill="1" applyProtection="1">
      <protection locked="0"/>
    </xf>
    <xf numFmtId="2" fontId="54" fillId="2" borderId="0" xfId="2" applyNumberFormat="1" applyFont="1" applyFill="1" applyAlignment="1">
      <alignment horizontal="center" vertical="center"/>
    </xf>
    <xf numFmtId="0" fontId="54" fillId="2" borderId="0" xfId="2" applyFont="1" applyFill="1" applyAlignment="1" applyProtection="1">
      <alignment vertical="center"/>
      <protection locked="0"/>
    </xf>
    <xf numFmtId="176" fontId="32" fillId="7" borderId="44" xfId="0" applyNumberFormat="1" applyFont="1" applyFill="1" applyBorder="1" applyAlignment="1">
      <alignment horizontal="center" vertical="center"/>
    </xf>
    <xf numFmtId="10" fontId="32" fillId="7" borderId="44" xfId="0" applyNumberFormat="1" applyFont="1" applyFill="1" applyBorder="1" applyAlignment="1">
      <alignment horizontal="center" vertical="center"/>
    </xf>
    <xf numFmtId="0" fontId="56" fillId="0" borderId="0" xfId="7" applyFont="1"/>
    <xf numFmtId="0" fontId="57" fillId="0" borderId="0" xfId="7" applyFont="1" applyAlignment="1">
      <alignment vertical="center" readingOrder="2"/>
    </xf>
    <xf numFmtId="0" fontId="58" fillId="0" borderId="0" xfId="7" applyFont="1" applyAlignment="1">
      <alignment vertical="center" readingOrder="2"/>
    </xf>
    <xf numFmtId="0" fontId="56" fillId="0" borderId="0" xfId="7" applyFont="1" applyAlignment="1">
      <alignment horizontal="right"/>
    </xf>
    <xf numFmtId="0" fontId="4" fillId="0" borderId="56" xfId="7" applyFont="1" applyBorder="1" applyAlignment="1">
      <alignment vertical="center" readingOrder="2"/>
    </xf>
    <xf numFmtId="0" fontId="4" fillId="0" borderId="28" xfId="7" applyFont="1" applyBorder="1" applyAlignment="1">
      <alignment horizontal="center" vertical="center" readingOrder="2"/>
    </xf>
    <xf numFmtId="0" fontId="64" fillId="0" borderId="7" xfId="0" applyFont="1" applyBorder="1" applyAlignment="1">
      <alignment horizontal="center" vertical="center"/>
    </xf>
    <xf numFmtId="9" fontId="64" fillId="0" borderId="7" xfId="0" applyNumberFormat="1" applyFont="1" applyBorder="1" applyAlignment="1">
      <alignment horizontal="center" vertical="center"/>
    </xf>
    <xf numFmtId="4" fontId="64" fillId="0" borderId="7" xfId="0" applyNumberFormat="1" applyFont="1" applyBorder="1" applyAlignment="1">
      <alignment horizontal="center" vertical="center"/>
    </xf>
    <xf numFmtId="0" fontId="66" fillId="21" borderId="7" xfId="0" applyFont="1" applyFill="1" applyBorder="1" applyAlignment="1">
      <alignment horizontal="center" vertical="center"/>
    </xf>
    <xf numFmtId="4" fontId="64" fillId="11" borderId="7" xfId="0" applyNumberFormat="1" applyFont="1" applyFill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9" fontId="16" fillId="0" borderId="7" xfId="0" applyNumberFormat="1" applyFont="1" applyBorder="1" applyAlignment="1">
      <alignment horizontal="center" vertical="center"/>
    </xf>
    <xf numFmtId="4" fontId="67" fillId="7" borderId="7" xfId="0" applyNumberFormat="1" applyFont="1" applyFill="1" applyBorder="1" applyAlignment="1">
      <alignment horizontal="center" vertical="center"/>
    </xf>
    <xf numFmtId="2" fontId="54" fillId="2" borderId="0" xfId="2" applyNumberFormat="1" applyFont="1" applyFill="1" applyAlignment="1" applyProtection="1">
      <alignment vertical="center"/>
      <protection locked="0"/>
    </xf>
    <xf numFmtId="0" fontId="10" fillId="2" borderId="0" xfId="2" applyFont="1" applyFill="1" applyAlignment="1" applyProtection="1">
      <alignment horizontal="center" vertical="center"/>
      <protection locked="0"/>
    </xf>
    <xf numFmtId="0" fontId="54" fillId="2" borderId="0" xfId="2" applyFont="1" applyFill="1" applyAlignment="1">
      <alignment horizontal="center" vertical="center"/>
    </xf>
    <xf numFmtId="0" fontId="54" fillId="2" borderId="0" xfId="2" applyFont="1" applyFill="1" applyAlignment="1" applyProtection="1">
      <alignment horizontal="center" vertical="center"/>
      <protection locked="0"/>
    </xf>
    <xf numFmtId="0" fontId="56" fillId="0" borderId="0" xfId="7" applyFont="1" applyAlignment="1">
      <alignment horizontal="center" vertical="center" wrapText="1"/>
    </xf>
    <xf numFmtId="1" fontId="9" fillId="4" borderId="12" xfId="2" applyNumberFormat="1" applyFont="1" applyFill="1" applyBorder="1" applyAlignment="1" applyProtection="1">
      <alignment vertical="center" readingOrder="2"/>
      <protection locked="0"/>
    </xf>
    <xf numFmtId="1" fontId="9" fillId="4" borderId="12" xfId="2" applyNumberFormat="1" applyFont="1" applyFill="1" applyBorder="1" applyAlignment="1" applyProtection="1">
      <alignment horizontal="center" vertical="center" readingOrder="2"/>
      <protection locked="0"/>
    </xf>
    <xf numFmtId="1" fontId="9" fillId="4" borderId="0" xfId="2" applyNumberFormat="1" applyFont="1" applyFill="1" applyBorder="1" applyAlignment="1" applyProtection="1">
      <alignment vertical="center" readingOrder="2"/>
      <protection locked="0"/>
    </xf>
    <xf numFmtId="0" fontId="0" fillId="0" borderId="0" xfId="0" applyAlignment="1">
      <alignment horizontal="center" vertical="center"/>
    </xf>
    <xf numFmtId="0" fontId="0" fillId="0" borderId="7" xfId="0" applyBorder="1" applyAlignment="1">
      <alignment horizontal="center" vertical="center"/>
    </xf>
    <xf numFmtId="164" fontId="0" fillId="0" borderId="7" xfId="0" applyNumberFormat="1" applyBorder="1" applyAlignment="1">
      <alignment horizontal="center" vertical="center"/>
    </xf>
    <xf numFmtId="0" fontId="0" fillId="7" borderId="7" xfId="0" applyFill="1" applyBorder="1" applyAlignment="1">
      <alignment horizontal="center" vertical="center"/>
    </xf>
    <xf numFmtId="0" fontId="68" fillId="22" borderId="7" xfId="0" applyFont="1" applyFill="1" applyBorder="1" applyAlignment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4" fontId="0" fillId="0" borderId="7" xfId="0" applyNumberFormat="1" applyBorder="1" applyAlignment="1">
      <alignment horizontal="center" vertical="center"/>
    </xf>
    <xf numFmtId="49" fontId="0" fillId="7" borderId="7" xfId="0" applyNumberFormat="1" applyFill="1" applyBorder="1" applyAlignment="1">
      <alignment horizontal="center" vertical="center"/>
    </xf>
    <xf numFmtId="0" fontId="68" fillId="23" borderId="7" xfId="0" applyFont="1" applyFill="1" applyBorder="1" applyAlignment="1">
      <alignment horizontal="center" vertical="center"/>
    </xf>
    <xf numFmtId="4" fontId="68" fillId="23" borderId="7" xfId="0" applyNumberFormat="1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" fontId="10" fillId="4" borderId="0" xfId="2" applyNumberFormat="1" applyFont="1" applyFill="1" applyBorder="1" applyAlignment="1" applyProtection="1">
      <alignment vertical="center" readingOrder="2"/>
      <protection locked="0"/>
    </xf>
    <xf numFmtId="0" fontId="0" fillId="0" borderId="7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164" fontId="0" fillId="0" borderId="7" xfId="0" applyNumberFormat="1" applyFill="1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0" fontId="0" fillId="0" borderId="7" xfId="0" applyFill="1" applyBorder="1" applyAlignment="1">
      <alignment horizontal="center" vertical="center" wrapText="1"/>
    </xf>
    <xf numFmtId="0" fontId="69" fillId="22" borderId="7" xfId="0" applyFont="1" applyFill="1" applyBorder="1" applyAlignment="1">
      <alignment horizontal="center" vertical="center" wrapText="1"/>
    </xf>
    <xf numFmtId="2" fontId="54" fillId="2" borderId="14" xfId="2" applyNumberFormat="1" applyFont="1" applyFill="1" applyBorder="1" applyAlignment="1">
      <alignment horizontal="center" vertical="center"/>
    </xf>
    <xf numFmtId="2" fontId="54" fillId="2" borderId="0" xfId="2" applyNumberFormat="1" applyFont="1" applyFill="1" applyAlignment="1">
      <alignment horizontal="center"/>
    </xf>
    <xf numFmtId="49" fontId="0" fillId="10" borderId="7" xfId="0" applyNumberFormat="1" applyFill="1" applyBorder="1" applyAlignment="1">
      <alignment horizontal="center" vertical="center"/>
    </xf>
    <xf numFmtId="4" fontId="0" fillId="10" borderId="7" xfId="0" applyNumberFormat="1" applyFill="1" applyBorder="1" applyAlignment="1">
      <alignment horizontal="center" vertical="center"/>
    </xf>
    <xf numFmtId="2" fontId="9" fillId="2" borderId="0" xfId="2" applyNumberFormat="1" applyFont="1" applyFill="1" applyAlignment="1">
      <alignment horizontal="center" vertical="center"/>
    </xf>
    <xf numFmtId="0" fontId="9" fillId="2" borderId="0" xfId="2" applyFont="1" applyFill="1" applyAlignment="1">
      <alignment horizontal="center"/>
    </xf>
    <xf numFmtId="0" fontId="10" fillId="2" borderId="0" xfId="2" applyFont="1" applyFill="1" applyAlignment="1">
      <alignment horizontal="center" vertical="center"/>
    </xf>
    <xf numFmtId="0" fontId="9" fillId="4" borderId="0" xfId="2" applyFont="1" applyFill="1" applyAlignment="1">
      <alignment horizontal="center" vertical="center" readingOrder="2"/>
    </xf>
    <xf numFmtId="167" fontId="10" fillId="2" borderId="0" xfId="6" applyNumberFormat="1" applyFont="1" applyFill="1" applyAlignment="1">
      <alignment horizontal="center"/>
    </xf>
    <xf numFmtId="167" fontId="10" fillId="0" borderId="0" xfId="6" applyNumberFormat="1" applyFont="1" applyAlignment="1">
      <alignment horizontal="center" vertical="center"/>
    </xf>
    <xf numFmtId="167" fontId="10" fillId="4" borderId="0" xfId="6" applyNumberFormat="1" applyFont="1" applyFill="1" applyAlignment="1">
      <alignment horizontal="center" wrapText="1"/>
    </xf>
    <xf numFmtId="167" fontId="10" fillId="4" borderId="0" xfId="6" applyNumberFormat="1" applyFont="1" applyFill="1" applyAlignment="1">
      <alignment horizontal="center" vertical="center" wrapText="1"/>
    </xf>
    <xf numFmtId="167" fontId="10" fillId="4" borderId="0" xfId="6" applyNumberFormat="1" applyFont="1" applyFill="1" applyAlignment="1">
      <alignment vertical="center" wrapText="1"/>
    </xf>
    <xf numFmtId="167" fontId="10" fillId="4" borderId="0" xfId="6" applyNumberFormat="1" applyFont="1" applyFill="1" applyAlignment="1" applyProtection="1">
      <alignment vertical="center" wrapText="1"/>
      <protection locked="0"/>
    </xf>
    <xf numFmtId="167" fontId="10" fillId="4" borderId="0" xfId="6" applyNumberFormat="1" applyFont="1" applyFill="1" applyAlignment="1" applyProtection="1">
      <alignment vertical="center"/>
      <protection locked="0"/>
    </xf>
    <xf numFmtId="167" fontId="10" fillId="2" borderId="0" xfId="6" applyNumberFormat="1" applyFont="1" applyFill="1" applyAlignment="1" applyProtection="1">
      <alignment vertical="center"/>
      <protection locked="0"/>
    </xf>
    <xf numFmtId="167" fontId="10" fillId="20" borderId="0" xfId="6" applyNumberFormat="1" applyFont="1" applyFill="1" applyAlignment="1">
      <alignment horizontal="center" vertical="center"/>
    </xf>
    <xf numFmtId="167" fontId="10" fillId="15" borderId="0" xfId="4" applyNumberFormat="1" applyFont="1" applyFill="1" applyAlignment="1">
      <alignment vertical="center" wrapText="1"/>
    </xf>
    <xf numFmtId="167" fontId="10" fillId="15" borderId="0" xfId="4" applyNumberFormat="1" applyFont="1" applyFill="1" applyAlignment="1">
      <alignment horizontal="center" vertical="center"/>
    </xf>
    <xf numFmtId="167" fontId="10" fillId="2" borderId="0" xfId="4" applyNumberFormat="1" applyFont="1" applyFill="1" applyAlignment="1">
      <alignment horizontal="center" vertical="center" readingOrder="2"/>
    </xf>
    <xf numFmtId="167" fontId="10" fillId="0" borderId="25" xfId="4" applyNumberFormat="1" applyFont="1" applyBorder="1" applyAlignment="1">
      <alignment horizontal="center" vertical="center"/>
    </xf>
    <xf numFmtId="167" fontId="10" fillId="0" borderId="22" xfId="4" applyNumberFormat="1" applyFont="1" applyBorder="1" applyAlignment="1">
      <alignment horizontal="center" vertical="center"/>
    </xf>
    <xf numFmtId="167" fontId="10" fillId="2" borderId="8" xfId="4" applyNumberFormat="1" applyFont="1" applyFill="1" applyBorder="1" applyAlignment="1">
      <alignment horizontal="center" vertical="center" readingOrder="2"/>
    </xf>
    <xf numFmtId="167" fontId="10" fillId="16" borderId="71" xfId="4" applyNumberFormat="1" applyFont="1" applyFill="1" applyBorder="1" applyAlignment="1">
      <alignment horizontal="center" vertical="center"/>
    </xf>
    <xf numFmtId="167" fontId="10" fillId="2" borderId="23" xfId="4" applyNumberFormat="1" applyFont="1" applyFill="1" applyBorder="1" applyAlignment="1">
      <alignment horizontal="center" vertical="center"/>
    </xf>
    <xf numFmtId="167" fontId="10" fillId="0" borderId="71" xfId="4" applyNumberFormat="1" applyFont="1" applyBorder="1" applyAlignment="1">
      <alignment horizontal="center" vertical="center"/>
    </xf>
    <xf numFmtId="167" fontId="10" fillId="0" borderId="70" xfId="4" applyNumberFormat="1" applyFont="1" applyBorder="1" applyAlignment="1">
      <alignment horizontal="center" vertical="center"/>
    </xf>
    <xf numFmtId="167" fontId="10" fillId="2" borderId="0" xfId="4" applyNumberFormat="1" applyFont="1" applyFill="1" applyAlignment="1">
      <alignment horizontal="center" vertical="center"/>
    </xf>
    <xf numFmtId="167" fontId="10" fillId="0" borderId="59" xfId="4" applyNumberFormat="1" applyFont="1" applyBorder="1" applyAlignment="1">
      <alignment horizontal="center" vertical="center"/>
    </xf>
    <xf numFmtId="167" fontId="10" fillId="0" borderId="28" xfId="4" applyNumberFormat="1" applyFont="1" applyBorder="1" applyAlignment="1">
      <alignment horizontal="center" vertical="center"/>
    </xf>
    <xf numFmtId="167" fontId="74" fillId="2" borderId="0" xfId="4" applyNumberFormat="1" applyFont="1" applyFill="1"/>
    <xf numFmtId="167" fontId="74" fillId="2" borderId="25" xfId="4" applyNumberFormat="1" applyFont="1" applyFill="1" applyBorder="1" applyAlignment="1">
      <alignment horizontal="center" vertical="center"/>
    </xf>
    <xf numFmtId="167" fontId="74" fillId="0" borderId="0" xfId="4" applyNumberFormat="1" applyFont="1"/>
    <xf numFmtId="167" fontId="74" fillId="0" borderId="22" xfId="4" applyNumberFormat="1" applyFont="1" applyBorder="1" applyAlignment="1">
      <alignment horizontal="center" vertical="center"/>
    </xf>
    <xf numFmtId="167" fontId="75" fillId="18" borderId="0" xfId="4" applyNumberFormat="1" applyFont="1" applyFill="1"/>
    <xf numFmtId="167" fontId="76" fillId="0" borderId="0" xfId="4" applyNumberFormat="1" applyFont="1"/>
    <xf numFmtId="167" fontId="76" fillId="0" borderId="22" xfId="4" applyNumberFormat="1" applyFont="1" applyBorder="1" applyAlignment="1">
      <alignment horizontal="center" vertical="center"/>
    </xf>
    <xf numFmtId="167" fontId="78" fillId="3" borderId="9" xfId="2" applyNumberFormat="1" applyFont="1" applyFill="1" applyBorder="1" applyAlignment="1" applyProtection="1">
      <alignment vertical="center" wrapText="1" readingOrder="2"/>
      <protection locked="0"/>
    </xf>
    <xf numFmtId="167" fontId="78" fillId="3" borderId="7" xfId="2" applyNumberFormat="1" applyFont="1" applyFill="1" applyBorder="1" applyAlignment="1" applyProtection="1">
      <alignment horizontal="center" vertical="center"/>
      <protection locked="0"/>
    </xf>
    <xf numFmtId="167" fontId="49" fillId="3" borderId="7" xfId="2" applyNumberFormat="1" applyFont="1" applyFill="1" applyBorder="1" applyProtection="1">
      <protection locked="0"/>
    </xf>
    <xf numFmtId="167" fontId="78" fillId="3" borderId="9" xfId="2" applyNumberFormat="1" applyFont="1" applyFill="1" applyBorder="1" applyAlignment="1" applyProtection="1">
      <alignment vertical="center" readingOrder="2"/>
      <protection locked="0"/>
    </xf>
    <xf numFmtId="167" fontId="78" fillId="3" borderId="7" xfId="2" applyNumberFormat="1" applyFont="1" applyFill="1" applyBorder="1" applyProtection="1">
      <protection locked="0"/>
    </xf>
    <xf numFmtId="167" fontId="78" fillId="3" borderId="9" xfId="2" applyNumberFormat="1" applyFont="1" applyFill="1" applyBorder="1" applyAlignment="1" applyProtection="1">
      <alignment horizontal="center" vertical="center" readingOrder="2"/>
      <protection locked="0"/>
    </xf>
    <xf numFmtId="167" fontId="78" fillId="15" borderId="9" xfId="0" applyNumberFormat="1" applyFont="1" applyFill="1" applyBorder="1" applyAlignment="1">
      <alignment readingOrder="2"/>
    </xf>
    <xf numFmtId="167" fontId="78" fillId="15" borderId="7" xfId="0" applyNumberFormat="1" applyFont="1" applyFill="1" applyBorder="1" applyAlignment="1">
      <alignment readingOrder="2"/>
    </xf>
    <xf numFmtId="167" fontId="80" fillId="15" borderId="7" xfId="0" applyNumberFormat="1" applyFont="1" applyFill="1" applyBorder="1" applyAlignment="1">
      <alignment readingOrder="2"/>
    </xf>
    <xf numFmtId="167" fontId="79" fillId="15" borderId="9" xfId="0" applyNumberFormat="1" applyFont="1" applyFill="1" applyBorder="1" applyAlignment="1">
      <alignment horizontal="center" vertical="center" readingOrder="2"/>
    </xf>
    <xf numFmtId="171" fontId="83" fillId="0" borderId="0" xfId="0" applyNumberFormat="1" applyFont="1"/>
    <xf numFmtId="171" fontId="49" fillId="4" borderId="43" xfId="0" applyNumberFormat="1" applyFont="1" applyFill="1" applyBorder="1" applyAlignment="1">
      <alignment horizontal="center" vertical="center"/>
    </xf>
    <xf numFmtId="171" fontId="10" fillId="4" borderId="44" xfId="0" applyNumberFormat="1" applyFont="1" applyFill="1" applyBorder="1" applyAlignment="1">
      <alignment horizontal="center" vertical="center"/>
    </xf>
    <xf numFmtId="171" fontId="10" fillId="4" borderId="45" xfId="0" applyNumberFormat="1" applyFont="1" applyFill="1" applyBorder="1" applyAlignment="1">
      <alignment horizontal="center" vertical="center"/>
    </xf>
    <xf numFmtId="172" fontId="72" fillId="2" borderId="44" xfId="0" applyNumberFormat="1" applyFont="1" applyFill="1" applyBorder="1" applyAlignment="1">
      <alignment horizontal="center" vertical="center"/>
    </xf>
    <xf numFmtId="172" fontId="72" fillId="8" borderId="44" xfId="0" applyNumberFormat="1" applyFont="1" applyFill="1" applyBorder="1" applyAlignment="1">
      <alignment horizontal="center" vertical="center"/>
    </xf>
    <xf numFmtId="171" fontId="11" fillId="0" borderId="0" xfId="0" applyNumberFormat="1" applyFont="1" applyAlignment="1">
      <alignment vertical="center"/>
    </xf>
    <xf numFmtId="171" fontId="84" fillId="10" borderId="43" xfId="0" applyNumberFormat="1" applyFont="1" applyFill="1" applyBorder="1" applyAlignment="1">
      <alignment horizontal="right" vertical="center"/>
    </xf>
    <xf numFmtId="171" fontId="85" fillId="0" borderId="43" xfId="0" applyNumberFormat="1" applyFont="1" applyBorder="1" applyAlignment="1">
      <alignment vertical="center"/>
    </xf>
    <xf numFmtId="10" fontId="85" fillId="0" borderId="44" xfId="0" applyNumberFormat="1" applyFont="1" applyBorder="1" applyAlignment="1">
      <alignment horizontal="center" vertical="center"/>
    </xf>
    <xf numFmtId="176" fontId="85" fillId="2" borderId="44" xfId="0" applyNumberFormat="1" applyFont="1" applyFill="1" applyBorder="1" applyAlignment="1">
      <alignment horizontal="center" vertical="center"/>
    </xf>
    <xf numFmtId="0" fontId="11" fillId="0" borderId="0" xfId="0" applyFont="1" applyAlignment="1">
      <alignment vertical="center"/>
    </xf>
    <xf numFmtId="10" fontId="85" fillId="2" borderId="44" xfId="0" applyNumberFormat="1" applyFont="1" applyFill="1" applyBorder="1" applyAlignment="1">
      <alignment horizontal="center" vertical="center"/>
    </xf>
    <xf numFmtId="171" fontId="10" fillId="0" borderId="43" xfId="0" applyNumberFormat="1" applyFont="1" applyBorder="1" applyAlignment="1">
      <alignment vertical="center"/>
    </xf>
    <xf numFmtId="171" fontId="86" fillId="0" borderId="0" xfId="0" applyNumberFormat="1" applyFont="1"/>
    <xf numFmtId="171" fontId="87" fillId="0" borderId="0" xfId="0" applyNumberFormat="1" applyFont="1"/>
    <xf numFmtId="0" fontId="9" fillId="2" borderId="24" xfId="2" applyFont="1" applyFill="1" applyBorder="1" applyAlignment="1">
      <alignment readingOrder="2"/>
    </xf>
    <xf numFmtId="0" fontId="9" fillId="2" borderId="24" xfId="2" applyFont="1" applyFill="1" applyBorder="1" applyAlignment="1">
      <alignment shrinkToFit="1"/>
    </xf>
    <xf numFmtId="1" fontId="9" fillId="2" borderId="24" xfId="2" applyNumberFormat="1" applyFont="1" applyFill="1" applyBorder="1"/>
    <xf numFmtId="1" fontId="9" fillId="2" borderId="24" xfId="2" applyNumberFormat="1" applyFont="1" applyFill="1" applyBorder="1" applyAlignment="1">
      <alignment readingOrder="2"/>
    </xf>
    <xf numFmtId="166" fontId="9" fillId="2" borderId="24" xfId="2" applyNumberFormat="1" applyFont="1" applyFill="1" applyBorder="1" applyAlignment="1">
      <alignment readingOrder="2"/>
    </xf>
    <xf numFmtId="168" fontId="9" fillId="2" borderId="24" xfId="2" applyNumberFormat="1" applyFont="1" applyFill="1" applyBorder="1" applyAlignment="1">
      <alignment horizontal="center" vertical="center" readingOrder="2"/>
    </xf>
    <xf numFmtId="0" fontId="9" fillId="2" borderId="0" xfId="2" applyFont="1" applyFill="1" applyBorder="1" applyAlignment="1">
      <alignment readingOrder="2"/>
    </xf>
    <xf numFmtId="2" fontId="9" fillId="3" borderId="39" xfId="0" applyNumberFormat="1" applyFont="1" applyFill="1" applyBorder="1" applyAlignment="1">
      <alignment horizontal="center" vertical="center" readingOrder="2"/>
    </xf>
    <xf numFmtId="2" fontId="9" fillId="3" borderId="0" xfId="0" applyNumberFormat="1" applyFont="1" applyFill="1" applyBorder="1" applyAlignment="1">
      <alignment horizontal="center" vertical="center" readingOrder="2"/>
    </xf>
    <xf numFmtId="0" fontId="9" fillId="2" borderId="0" xfId="0" applyFont="1" applyFill="1" applyAlignment="1">
      <alignment readingOrder="2"/>
    </xf>
    <xf numFmtId="166" fontId="9" fillId="3" borderId="24" xfId="0" applyNumberFormat="1" applyFont="1" applyFill="1" applyBorder="1" applyAlignment="1">
      <alignment horizontal="center" vertical="center" readingOrder="2"/>
    </xf>
    <xf numFmtId="2" fontId="9" fillId="3" borderId="24" xfId="0" applyNumberFormat="1" applyFont="1" applyFill="1" applyBorder="1" applyAlignment="1">
      <alignment horizontal="center" vertical="center" readingOrder="2"/>
    </xf>
    <xf numFmtId="0" fontId="9" fillId="0" borderId="0" xfId="0" applyFont="1" applyAlignment="1">
      <alignment readingOrder="2"/>
    </xf>
    <xf numFmtId="0" fontId="9" fillId="5" borderId="7" xfId="2" applyFont="1" applyFill="1" applyBorder="1" applyAlignment="1">
      <alignment vertical="center" readingOrder="2"/>
    </xf>
    <xf numFmtId="0" fontId="9" fillId="5" borderId="7" xfId="2" applyFont="1" applyFill="1" applyBorder="1" applyAlignment="1">
      <alignment horizontal="center" vertical="center" readingOrder="2"/>
    </xf>
    <xf numFmtId="166" fontId="9" fillId="5" borderId="7" xfId="2" applyNumberFormat="1" applyFont="1" applyFill="1" applyBorder="1" applyAlignment="1">
      <alignment horizontal="center" vertical="center" readingOrder="2"/>
    </xf>
    <xf numFmtId="1" fontId="9" fillId="5" borderId="7" xfId="2" applyNumberFormat="1" applyFont="1" applyFill="1" applyBorder="1" applyAlignment="1">
      <alignment horizontal="center" vertical="center" readingOrder="2"/>
    </xf>
    <xf numFmtId="168" fontId="9" fillId="5" borderId="7" xfId="2" applyNumberFormat="1" applyFont="1" applyFill="1" applyBorder="1" applyAlignment="1">
      <alignment horizontal="center" vertical="center" readingOrder="2"/>
    </xf>
    <xf numFmtId="4" fontId="9" fillId="5" borderId="7" xfId="2" applyNumberFormat="1" applyFont="1" applyFill="1" applyBorder="1" applyAlignment="1">
      <alignment horizontal="center" vertical="center" readingOrder="2"/>
    </xf>
    <xf numFmtId="0" fontId="9" fillId="5" borderId="7" xfId="2" applyFont="1" applyFill="1" applyBorder="1" applyAlignment="1">
      <alignment horizontal="right" readingOrder="2"/>
    </xf>
    <xf numFmtId="49" fontId="9" fillId="2" borderId="7" xfId="0" applyNumberFormat="1" applyFont="1" applyFill="1" applyBorder="1" applyAlignment="1" applyProtection="1">
      <alignment horizontal="center" vertical="center" readingOrder="2"/>
      <protection locked="0"/>
    </xf>
    <xf numFmtId="0" fontId="9" fillId="2" borderId="7" xfId="2" applyFont="1" applyFill="1" applyBorder="1" applyAlignment="1" applyProtection="1">
      <alignment horizontal="right" vertical="center" shrinkToFit="1" readingOrder="2"/>
      <protection locked="0"/>
    </xf>
    <xf numFmtId="1" fontId="9" fillId="2" borderId="7" xfId="2" applyNumberFormat="1" applyFont="1" applyFill="1" applyBorder="1" applyAlignment="1" applyProtection="1">
      <alignment horizontal="center" vertical="center" readingOrder="2"/>
      <protection locked="0"/>
    </xf>
    <xf numFmtId="167" fontId="9" fillId="2" borderId="7" xfId="2" applyNumberFormat="1" applyFont="1" applyFill="1" applyBorder="1" applyAlignment="1" applyProtection="1">
      <alignment horizontal="center" vertical="center" readingOrder="2"/>
      <protection locked="0"/>
    </xf>
    <xf numFmtId="167" fontId="9" fillId="2" borderId="7" xfId="2" applyNumberFormat="1" applyFont="1" applyFill="1" applyBorder="1" applyAlignment="1">
      <alignment horizontal="center" vertical="center" readingOrder="2"/>
    </xf>
    <xf numFmtId="169" fontId="9" fillId="2" borderId="7" xfId="2" applyNumberFormat="1" applyFont="1" applyFill="1" applyBorder="1" applyAlignment="1">
      <alignment horizontal="center" vertical="center" readingOrder="2"/>
    </xf>
    <xf numFmtId="168" fontId="9" fillId="2" borderId="7" xfId="2" applyNumberFormat="1" applyFont="1" applyFill="1" applyBorder="1" applyAlignment="1" applyProtection="1">
      <alignment horizontal="center" vertical="center" readingOrder="2"/>
      <protection locked="0"/>
    </xf>
    <xf numFmtId="0" fontId="9" fillId="2" borderId="7" xfId="2" applyFont="1" applyFill="1" applyBorder="1" applyAlignment="1" applyProtection="1">
      <alignment horizontal="center" vertical="center" readingOrder="2"/>
      <protection locked="0"/>
    </xf>
    <xf numFmtId="0" fontId="9" fillId="2" borderId="3" xfId="2" applyFont="1" applyFill="1" applyBorder="1" applyAlignment="1" applyProtection="1">
      <alignment horizontal="center" vertical="center" readingOrder="2"/>
      <protection locked="0"/>
    </xf>
    <xf numFmtId="0" fontId="19" fillId="2" borderId="7" xfId="2" applyFont="1" applyFill="1" applyBorder="1" applyAlignment="1" applyProtection="1">
      <alignment horizontal="right" vertical="center" shrinkToFit="1" readingOrder="2"/>
      <protection locked="0"/>
    </xf>
    <xf numFmtId="0" fontId="9" fillId="2" borderId="7" xfId="2" applyFont="1" applyFill="1" applyBorder="1" applyAlignment="1" applyProtection="1">
      <alignment horizontal="right" vertical="center" wrapText="1" shrinkToFit="1" readingOrder="2"/>
      <protection locked="0"/>
    </xf>
    <xf numFmtId="167" fontId="9" fillId="5" borderId="7" xfId="2" applyNumberFormat="1" applyFont="1" applyFill="1" applyBorder="1" applyAlignment="1">
      <alignment vertical="center" readingOrder="2"/>
    </xf>
    <xf numFmtId="167" fontId="9" fillId="5" borderId="7" xfId="2" applyNumberFormat="1" applyFont="1" applyFill="1" applyBorder="1" applyAlignment="1" applyProtection="1">
      <alignment horizontal="center" vertical="center" readingOrder="2"/>
      <protection locked="0"/>
    </xf>
    <xf numFmtId="167" fontId="9" fillId="5" borderId="7" xfId="2" applyNumberFormat="1" applyFont="1" applyFill="1" applyBorder="1" applyAlignment="1">
      <alignment horizontal="center" vertical="center" readingOrder="2"/>
    </xf>
    <xf numFmtId="169" fontId="9" fillId="5" borderId="7" xfId="2" applyNumberFormat="1" applyFont="1" applyFill="1" applyBorder="1" applyAlignment="1">
      <alignment horizontal="center" vertical="center" readingOrder="2"/>
    </xf>
    <xf numFmtId="167" fontId="9" fillId="5" borderId="7" xfId="2" applyNumberFormat="1" applyFont="1" applyFill="1" applyBorder="1" applyAlignment="1" applyProtection="1">
      <alignment vertical="center" readingOrder="2"/>
      <protection locked="0"/>
    </xf>
    <xf numFmtId="168" fontId="9" fillId="5" borderId="7" xfId="2" applyNumberFormat="1" applyFont="1" applyFill="1" applyBorder="1" applyAlignment="1" applyProtection="1">
      <alignment horizontal="center" vertical="center" readingOrder="2"/>
      <protection locked="0"/>
    </xf>
    <xf numFmtId="0" fontId="9" fillId="0" borderId="7" xfId="2" applyFont="1" applyBorder="1" applyAlignment="1">
      <alignment horizontal="right" vertical="center" readingOrder="2"/>
    </xf>
    <xf numFmtId="0" fontId="9" fillId="0" borderId="7" xfId="2" applyFont="1" applyBorder="1" applyAlignment="1">
      <alignment horizontal="center" vertical="center" readingOrder="2"/>
    </xf>
    <xf numFmtId="167" fontId="9" fillId="0" borderId="7" xfId="2" applyNumberFormat="1" applyFont="1" applyBorder="1" applyAlignment="1" applyProtection="1">
      <alignment horizontal="center" vertical="center" readingOrder="2"/>
      <protection locked="0"/>
    </xf>
    <xf numFmtId="167" fontId="9" fillId="0" borderId="7" xfId="2" applyNumberFormat="1" applyFont="1" applyBorder="1" applyAlignment="1">
      <alignment horizontal="center" vertical="center" readingOrder="2"/>
    </xf>
    <xf numFmtId="0" fontId="9" fillId="0" borderId="7" xfId="2" applyFont="1" applyBorder="1" applyAlignment="1">
      <alignment horizontal="right" readingOrder="2"/>
    </xf>
    <xf numFmtId="166" fontId="9" fillId="4" borderId="0" xfId="2" applyNumberFormat="1" applyFont="1" applyFill="1" applyAlignment="1">
      <alignment horizontal="center" vertical="center" readingOrder="2"/>
    </xf>
    <xf numFmtId="0" fontId="9" fillId="4" borderId="0" xfId="2" applyFont="1" applyFill="1" applyAlignment="1">
      <alignment horizontal="justify" vertical="center" readingOrder="2"/>
    </xf>
    <xf numFmtId="0" fontId="9" fillId="4" borderId="0" xfId="2" applyFont="1" applyFill="1" applyAlignment="1">
      <alignment horizontal="justify" vertical="center" shrinkToFit="1" readingOrder="2"/>
    </xf>
    <xf numFmtId="0" fontId="9" fillId="4" borderId="0" xfId="2" applyFont="1" applyFill="1" applyAlignment="1" applyProtection="1">
      <alignment horizontal="justify" vertical="center" readingOrder="2"/>
      <protection locked="0"/>
    </xf>
    <xf numFmtId="0" fontId="9" fillId="4" borderId="0" xfId="2" applyFont="1" applyFill="1" applyAlignment="1" applyProtection="1">
      <alignment horizontal="justify" vertical="center" shrinkToFit="1" readingOrder="2"/>
      <protection locked="0"/>
    </xf>
    <xf numFmtId="0" fontId="9" fillId="4" borderId="0" xfId="2" applyFont="1" applyFill="1" applyAlignment="1" applyProtection="1">
      <alignment horizontal="right" vertical="center" readingOrder="2"/>
      <protection locked="0"/>
    </xf>
    <xf numFmtId="166" fontId="9" fillId="4" borderId="0" xfId="2" applyNumberFormat="1" applyFont="1" applyFill="1" applyAlignment="1" applyProtection="1">
      <alignment horizontal="right" vertical="center" readingOrder="2"/>
      <protection locked="0"/>
    </xf>
    <xf numFmtId="0" fontId="9" fillId="4" borderId="0" xfId="2" applyFont="1" applyFill="1" applyAlignment="1" applyProtection="1">
      <alignment horizontal="center" vertical="center" readingOrder="2"/>
      <protection locked="0"/>
    </xf>
    <xf numFmtId="0" fontId="9" fillId="4" borderId="7" xfId="1" applyFont="1" applyFill="1" applyBorder="1" applyAlignment="1" applyProtection="1">
      <alignment horizontal="center" vertical="center" readingOrder="2"/>
      <protection locked="0"/>
    </xf>
    <xf numFmtId="166" fontId="9" fillId="2" borderId="7" xfId="2" applyNumberFormat="1" applyFont="1" applyFill="1" applyBorder="1" applyAlignment="1">
      <alignment horizontal="center" vertical="center" readingOrder="2"/>
    </xf>
    <xf numFmtId="0" fontId="17" fillId="2" borderId="7" xfId="2" applyFont="1" applyFill="1" applyBorder="1" applyAlignment="1" applyProtection="1">
      <alignment horizontal="right" vertical="center" wrapText="1" shrinkToFit="1" readingOrder="2"/>
      <protection locked="0"/>
    </xf>
    <xf numFmtId="49" fontId="9" fillId="2" borderId="2" xfId="0" applyNumberFormat="1" applyFont="1" applyFill="1" applyBorder="1" applyAlignment="1" applyProtection="1">
      <alignment horizontal="center" vertical="center" readingOrder="2"/>
      <protection locked="0"/>
    </xf>
    <xf numFmtId="1" fontId="9" fillId="2" borderId="2" xfId="2" applyNumberFormat="1" applyFont="1" applyFill="1" applyBorder="1" applyAlignment="1" applyProtection="1">
      <alignment horizontal="center" vertical="center" readingOrder="2"/>
      <protection locked="0"/>
    </xf>
    <xf numFmtId="167" fontId="9" fillId="2" borderId="2" xfId="2" applyNumberFormat="1" applyFont="1" applyFill="1" applyBorder="1" applyAlignment="1" applyProtection="1">
      <alignment horizontal="center" vertical="center" readingOrder="2"/>
      <protection locked="0"/>
    </xf>
    <xf numFmtId="170" fontId="9" fillId="2" borderId="7" xfId="2" applyNumberFormat="1" applyFont="1" applyFill="1" applyBorder="1" applyAlignment="1" applyProtection="1">
      <alignment horizontal="center" vertical="center" readingOrder="2"/>
      <protection locked="0"/>
    </xf>
    <xf numFmtId="0" fontId="9" fillId="2" borderId="7" xfId="2" applyFont="1" applyFill="1" applyBorder="1" applyAlignment="1">
      <alignment readingOrder="2"/>
    </xf>
    <xf numFmtId="0" fontId="9" fillId="2" borderId="7" xfId="2" applyFont="1" applyFill="1" applyBorder="1" applyAlignment="1">
      <alignment shrinkToFit="1"/>
    </xf>
    <xf numFmtId="1" fontId="9" fillId="2" borderId="7" xfId="2" applyNumberFormat="1" applyFont="1" applyFill="1" applyBorder="1"/>
    <xf numFmtId="1" fontId="9" fillId="2" borderId="7" xfId="2" applyNumberFormat="1" applyFont="1" applyFill="1" applyBorder="1" applyAlignment="1">
      <alignment readingOrder="2"/>
    </xf>
    <xf numFmtId="166" fontId="9" fillId="2" borderId="7" xfId="2" applyNumberFormat="1" applyFont="1" applyFill="1" applyBorder="1" applyAlignment="1">
      <alignment readingOrder="2"/>
    </xf>
    <xf numFmtId="168" fontId="9" fillId="2" borderId="7" xfId="2" applyNumberFormat="1" applyFont="1" applyFill="1" applyBorder="1" applyAlignment="1">
      <alignment horizontal="center" vertical="center" readingOrder="2"/>
    </xf>
    <xf numFmtId="0" fontId="4" fillId="2" borderId="0" xfId="2" applyFont="1" applyFill="1" applyAlignment="1" applyProtection="1">
      <alignment vertical="center" wrapText="1" readingOrder="2"/>
      <protection locked="0"/>
    </xf>
    <xf numFmtId="0" fontId="94" fillId="2" borderId="0" xfId="0" applyFont="1" applyFill="1" applyAlignment="1">
      <alignment readingOrder="2"/>
    </xf>
    <xf numFmtId="0" fontId="54" fillId="2" borderId="0" xfId="0" applyFont="1" applyFill="1" applyAlignment="1">
      <alignment readingOrder="2"/>
    </xf>
    <xf numFmtId="0" fontId="54" fillId="2" borderId="0" xfId="0" applyFont="1" applyFill="1" applyAlignment="1">
      <alignment horizontal="center" vertical="center" readingOrder="2"/>
    </xf>
    <xf numFmtId="0" fontId="10" fillId="2" borderId="0" xfId="0" applyFont="1" applyFill="1" applyAlignment="1">
      <alignment horizontal="center" vertical="center" readingOrder="2"/>
    </xf>
    <xf numFmtId="166" fontId="10" fillId="3" borderId="24" xfId="0" applyNumberFormat="1" applyFont="1" applyFill="1" applyBorder="1" applyAlignment="1">
      <alignment horizontal="center" vertical="center" readingOrder="2"/>
    </xf>
    <xf numFmtId="0" fontId="10" fillId="2" borderId="7" xfId="2" applyFont="1" applyFill="1" applyBorder="1" applyAlignment="1" applyProtection="1">
      <alignment horizontal="center" vertical="center" shrinkToFit="1" readingOrder="2"/>
      <protection locked="0"/>
    </xf>
    <xf numFmtId="166" fontId="10" fillId="2" borderId="7" xfId="2" applyNumberFormat="1" applyFont="1" applyFill="1" applyBorder="1" applyAlignment="1" applyProtection="1">
      <alignment horizontal="center" vertical="center" readingOrder="2"/>
      <protection locked="0"/>
    </xf>
    <xf numFmtId="168" fontId="10" fillId="2" borderId="7" xfId="2" applyNumberFormat="1" applyFont="1" applyFill="1" applyBorder="1" applyAlignment="1" applyProtection="1">
      <alignment horizontal="center" vertical="center" readingOrder="2"/>
      <protection locked="0"/>
    </xf>
    <xf numFmtId="167" fontId="10" fillId="2" borderId="7" xfId="2" applyNumberFormat="1" applyFont="1" applyFill="1" applyBorder="1" applyAlignment="1">
      <alignment horizontal="center" vertical="center" readingOrder="2"/>
    </xf>
    <xf numFmtId="0" fontId="10" fillId="2" borderId="7" xfId="2" applyFont="1" applyFill="1" applyBorder="1" applyAlignment="1" applyProtection="1">
      <alignment horizontal="center" vertical="center" readingOrder="2"/>
      <protection locked="0"/>
    </xf>
    <xf numFmtId="168" fontId="10" fillId="5" borderId="7" xfId="2" applyNumberFormat="1" applyFont="1" applyFill="1" applyBorder="1" applyAlignment="1">
      <alignment horizontal="center" vertical="center" readingOrder="2"/>
    </xf>
    <xf numFmtId="166" fontId="10" fillId="5" borderId="7" xfId="2" applyNumberFormat="1" applyFont="1" applyFill="1" applyBorder="1" applyAlignment="1">
      <alignment horizontal="center" vertical="center" readingOrder="2"/>
    </xf>
    <xf numFmtId="2" fontId="20" fillId="2" borderId="0" xfId="2" applyNumberFormat="1" applyFont="1" applyFill="1" applyAlignment="1" applyProtection="1">
      <alignment horizontal="center" vertical="center" readingOrder="2"/>
      <protection locked="0"/>
    </xf>
    <xf numFmtId="0" fontId="20" fillId="2" borderId="0" xfId="0" applyFont="1" applyFill="1" applyAlignment="1" applyProtection="1">
      <alignment vertical="center" readingOrder="2"/>
      <protection locked="0"/>
    </xf>
    <xf numFmtId="0" fontId="54" fillId="2" borderId="0" xfId="0" applyFont="1" applyFill="1" applyAlignment="1" applyProtection="1">
      <alignment readingOrder="2"/>
      <protection locked="0"/>
    </xf>
    <xf numFmtId="0" fontId="94" fillId="2" borderId="0" xfId="0" applyFont="1" applyFill="1" applyAlignment="1" applyProtection="1">
      <alignment vertical="center" readingOrder="2"/>
      <protection locked="0"/>
    </xf>
    <xf numFmtId="0" fontId="94" fillId="2" borderId="0" xfId="0" applyFont="1" applyFill="1" applyAlignment="1" applyProtection="1">
      <alignment readingOrder="2"/>
      <protection locked="0"/>
    </xf>
    <xf numFmtId="168" fontId="81" fillId="2" borderId="7" xfId="2" applyNumberFormat="1" applyFont="1" applyFill="1" applyBorder="1" applyAlignment="1" applyProtection="1">
      <alignment horizontal="center" vertical="center" readingOrder="2"/>
      <protection locked="0"/>
    </xf>
    <xf numFmtId="168" fontId="10" fillId="2" borderId="7" xfId="2" applyNumberFormat="1" applyFont="1" applyFill="1" applyBorder="1" applyAlignment="1">
      <alignment horizontal="center" vertical="center" readingOrder="2"/>
    </xf>
    <xf numFmtId="1" fontId="10" fillId="2" borderId="7" xfId="2" applyNumberFormat="1" applyFont="1" applyFill="1" applyBorder="1"/>
    <xf numFmtId="1" fontId="10" fillId="2" borderId="7" xfId="2" applyNumberFormat="1" applyFont="1" applyFill="1" applyBorder="1" applyAlignment="1">
      <alignment readingOrder="2"/>
    </xf>
    <xf numFmtId="166" fontId="10" fillId="2" borderId="7" xfId="2" applyNumberFormat="1" applyFont="1" applyFill="1" applyBorder="1" applyAlignment="1">
      <alignment readingOrder="2"/>
    </xf>
    <xf numFmtId="0" fontId="10" fillId="2" borderId="7" xfId="2" applyFont="1" applyFill="1" applyBorder="1" applyAlignment="1">
      <alignment readingOrder="2"/>
    </xf>
    <xf numFmtId="0" fontId="10" fillId="2" borderId="7" xfId="2" applyFont="1" applyFill="1" applyBorder="1" applyAlignment="1">
      <alignment shrinkToFit="1"/>
    </xf>
    <xf numFmtId="0" fontId="11" fillId="2" borderId="7" xfId="2" applyFont="1" applyFill="1" applyBorder="1" applyAlignment="1">
      <alignment readingOrder="1"/>
    </xf>
    <xf numFmtId="167" fontId="49" fillId="2" borderId="0" xfId="2" applyNumberFormat="1" applyFont="1" applyFill="1" applyAlignment="1">
      <alignment readingOrder="2"/>
    </xf>
    <xf numFmtId="167" fontId="81" fillId="0" borderId="0" xfId="2" applyNumberFormat="1" applyFont="1"/>
    <xf numFmtId="167" fontId="49" fillId="0" borderId="0" xfId="2" applyNumberFormat="1" applyFont="1" applyAlignment="1">
      <alignment shrinkToFit="1"/>
    </xf>
    <xf numFmtId="167" fontId="49" fillId="15" borderId="0" xfId="2" applyNumberFormat="1" applyFont="1" applyFill="1" applyAlignment="1">
      <alignment shrinkToFit="1"/>
    </xf>
    <xf numFmtId="167" fontId="49" fillId="15" borderId="0" xfId="2" applyNumberFormat="1" applyFont="1" applyFill="1"/>
    <xf numFmtId="167" fontId="49" fillId="0" borderId="0" xfId="2" applyNumberFormat="1" applyFont="1" applyAlignment="1">
      <alignment readingOrder="2"/>
    </xf>
    <xf numFmtId="168" fontId="49" fillId="0" borderId="0" xfId="2" applyNumberFormat="1" applyFont="1" applyAlignment="1">
      <alignment readingOrder="2"/>
    </xf>
    <xf numFmtId="49" fontId="9" fillId="2" borderId="7" xfId="0" applyNumberFormat="1" applyFont="1" applyFill="1" applyBorder="1" applyAlignment="1" applyProtection="1">
      <alignment horizontal="center" vertical="center" readingOrder="2"/>
      <protection locked="0"/>
    </xf>
    <xf numFmtId="167" fontId="9" fillId="2" borderId="2" xfId="2" applyNumberFormat="1" applyFont="1" applyFill="1" applyBorder="1" applyAlignment="1" applyProtection="1">
      <alignment horizontal="center" vertical="center" readingOrder="2"/>
      <protection locked="0"/>
    </xf>
    <xf numFmtId="49" fontId="9" fillId="2" borderId="2" xfId="0" applyNumberFormat="1" applyFont="1" applyFill="1" applyBorder="1" applyAlignment="1" applyProtection="1">
      <alignment horizontal="center" vertical="center" readingOrder="2"/>
      <protection locked="0"/>
    </xf>
    <xf numFmtId="0" fontId="9" fillId="2" borderId="0" xfId="2" applyFont="1" applyFill="1" applyAlignment="1">
      <alignment horizontal="center"/>
    </xf>
    <xf numFmtId="0" fontId="3" fillId="2" borderId="0" xfId="2" applyFont="1" applyFill="1" applyAlignment="1">
      <alignment horizontal="center"/>
    </xf>
    <xf numFmtId="0" fontId="10" fillId="2" borderId="0" xfId="2" applyFont="1" applyFill="1" applyAlignment="1">
      <alignment horizontal="center" vertical="center"/>
    </xf>
    <xf numFmtId="1" fontId="9" fillId="2" borderId="7" xfId="2" applyNumberFormat="1" applyFont="1" applyFill="1" applyBorder="1" applyAlignment="1">
      <alignment horizontal="center" vertical="center" readingOrder="2"/>
    </xf>
    <xf numFmtId="171" fontId="84" fillId="10" borderId="44" xfId="0" applyNumberFormat="1" applyFont="1" applyFill="1" applyBorder="1" applyAlignment="1">
      <alignment horizontal="center" vertical="center"/>
    </xf>
    <xf numFmtId="1" fontId="9" fillId="2" borderId="2" xfId="2" applyNumberFormat="1" applyFont="1" applyFill="1" applyBorder="1" applyAlignment="1" applyProtection="1">
      <alignment horizontal="center" vertical="center" readingOrder="2"/>
      <protection locked="0"/>
    </xf>
    <xf numFmtId="0" fontId="9" fillId="4" borderId="7" xfId="2" applyFont="1" applyFill="1" applyBorder="1" applyAlignment="1" applyProtection="1">
      <alignment horizontal="center" vertical="center" readingOrder="2"/>
      <protection locked="0"/>
    </xf>
    <xf numFmtId="171" fontId="76" fillId="0" borderId="0" xfId="0" applyNumberFormat="1" applyFont="1"/>
    <xf numFmtId="171" fontId="95" fillId="0" borderId="0" xfId="0" applyNumberFormat="1" applyFont="1"/>
    <xf numFmtId="171" fontId="74" fillId="0" borderId="0" xfId="0" applyNumberFormat="1" applyFont="1" applyAlignment="1">
      <alignment horizontal="center"/>
    </xf>
    <xf numFmtId="171" fontId="97" fillId="0" borderId="0" xfId="0" applyNumberFormat="1" applyFont="1"/>
    <xf numFmtId="176" fontId="83" fillId="0" borderId="0" xfId="0" applyNumberFormat="1" applyFont="1" applyAlignment="1">
      <alignment horizontal="center" vertical="center"/>
    </xf>
    <xf numFmtId="10" fontId="98" fillId="0" borderId="0" xfId="0" applyNumberFormat="1" applyFont="1" applyAlignment="1">
      <alignment horizontal="center" vertical="center"/>
    </xf>
    <xf numFmtId="171" fontId="99" fillId="0" borderId="0" xfId="0" applyNumberFormat="1" applyFont="1"/>
    <xf numFmtId="171" fontId="100" fillId="0" borderId="0" xfId="0" applyNumberFormat="1" applyFont="1"/>
    <xf numFmtId="171" fontId="87" fillId="0" borderId="28" xfId="0" applyNumberFormat="1" applyFont="1" applyBorder="1"/>
    <xf numFmtId="171" fontId="87" fillId="0" borderId="26" xfId="0" applyNumberFormat="1" applyFont="1" applyBorder="1"/>
    <xf numFmtId="171" fontId="101" fillId="0" borderId="0" xfId="0" applyNumberFormat="1" applyFont="1" applyAlignment="1">
      <alignment wrapText="1"/>
    </xf>
    <xf numFmtId="171" fontId="102" fillId="0" borderId="28" xfId="0" applyNumberFormat="1" applyFont="1" applyBorder="1"/>
    <xf numFmtId="171" fontId="102" fillId="0" borderId="0" xfId="0" applyNumberFormat="1" applyFont="1"/>
    <xf numFmtId="171" fontId="102" fillId="0" borderId="26" xfId="0" applyNumberFormat="1" applyFont="1" applyBorder="1"/>
    <xf numFmtId="171" fontId="102" fillId="0" borderId="19" xfId="0" applyNumberFormat="1" applyFont="1" applyBorder="1"/>
    <xf numFmtId="171" fontId="102" fillId="0" borderId="7" xfId="0" applyNumberFormat="1" applyFont="1" applyBorder="1"/>
    <xf numFmtId="171" fontId="102" fillId="0" borderId="18" xfId="0" applyNumberFormat="1" applyFont="1" applyBorder="1"/>
    <xf numFmtId="171" fontId="102" fillId="0" borderId="23" xfId="0" applyNumberFormat="1" applyFont="1" applyBorder="1"/>
    <xf numFmtId="171" fontId="99" fillId="0" borderId="49" xfId="0" applyNumberFormat="1" applyFont="1" applyBorder="1"/>
    <xf numFmtId="171" fontId="83" fillId="0" borderId="47" xfId="0" applyNumberFormat="1" applyFont="1" applyBorder="1"/>
    <xf numFmtId="0" fontId="9" fillId="2" borderId="0" xfId="2" applyFont="1" applyFill="1" applyAlignment="1">
      <alignment horizontal="center"/>
    </xf>
    <xf numFmtId="171" fontId="104" fillId="0" borderId="0" xfId="0" applyNumberFormat="1" applyFont="1"/>
    <xf numFmtId="167" fontId="78" fillId="4" borderId="18" xfId="0" applyNumberFormat="1" applyFont="1" applyFill="1" applyBorder="1" applyAlignment="1">
      <alignment horizontal="center" vertical="center" readingOrder="2"/>
    </xf>
    <xf numFmtId="0" fontId="9" fillId="2" borderId="0" xfId="2" applyFont="1" applyFill="1" applyAlignment="1">
      <alignment horizontal="center"/>
    </xf>
    <xf numFmtId="167" fontId="105" fillId="2" borderId="44" xfId="4" applyNumberFormat="1" applyFont="1" applyFill="1" applyBorder="1" applyAlignment="1">
      <alignment horizontal="center" vertical="center" wrapText="1" readingOrder="2"/>
    </xf>
    <xf numFmtId="167" fontId="24" fillId="2" borderId="44" xfId="4" applyNumberFormat="1" applyFont="1" applyFill="1" applyBorder="1" applyAlignment="1">
      <alignment horizontal="center" vertical="center" readingOrder="2"/>
    </xf>
    <xf numFmtId="167" fontId="105" fillId="2" borderId="44" xfId="5" applyNumberFormat="1" applyFont="1" applyFill="1" applyBorder="1" applyAlignment="1">
      <alignment horizontal="center" vertical="center" wrapText="1" readingOrder="2"/>
    </xf>
    <xf numFmtId="167" fontId="10" fillId="2" borderId="41" xfId="4" applyNumberFormat="1" applyFont="1" applyFill="1" applyBorder="1" applyAlignment="1">
      <alignment horizontal="center" vertical="center" wrapText="1" readingOrder="2"/>
    </xf>
    <xf numFmtId="167" fontId="10" fillId="2" borderId="41" xfId="4" applyNumberFormat="1" applyFont="1" applyFill="1" applyBorder="1" applyAlignment="1">
      <alignment horizontal="center" vertical="center" textRotation="90" wrapText="1" readingOrder="2"/>
    </xf>
    <xf numFmtId="167" fontId="10" fillId="2" borderId="41" xfId="4" applyNumberFormat="1" applyFont="1" applyFill="1" applyBorder="1" applyAlignment="1">
      <alignment horizontal="center" vertical="center" readingOrder="2"/>
    </xf>
    <xf numFmtId="167" fontId="10" fillId="2" borderId="41" xfId="5" applyNumberFormat="1" applyFont="1" applyFill="1" applyBorder="1" applyAlignment="1">
      <alignment horizontal="center" vertical="center" wrapText="1" readingOrder="2"/>
    </xf>
    <xf numFmtId="167" fontId="10" fillId="2" borderId="44" xfId="4" applyNumberFormat="1" applyFont="1" applyFill="1" applyBorder="1" applyAlignment="1">
      <alignment horizontal="center" vertical="center" wrapText="1" readingOrder="2"/>
    </xf>
    <xf numFmtId="167" fontId="10" fillId="2" borderId="44" xfId="4" applyNumberFormat="1" applyFont="1" applyFill="1" applyBorder="1" applyAlignment="1">
      <alignment horizontal="center" vertical="center" textRotation="90" wrapText="1" readingOrder="2"/>
    </xf>
    <xf numFmtId="167" fontId="10" fillId="2" borderId="44" xfId="4" applyNumberFormat="1" applyFont="1" applyFill="1" applyBorder="1" applyAlignment="1">
      <alignment horizontal="center" vertical="center" readingOrder="2"/>
    </xf>
    <xf numFmtId="167" fontId="10" fillId="2" borderId="44" xfId="5" applyNumberFormat="1" applyFont="1" applyFill="1" applyBorder="1" applyAlignment="1">
      <alignment horizontal="center" vertical="center" wrapText="1" readingOrder="2"/>
    </xf>
    <xf numFmtId="167" fontId="10" fillId="2" borderId="44" xfId="4" applyNumberFormat="1" applyFont="1" applyFill="1" applyBorder="1" applyAlignment="1">
      <alignment horizontal="center" vertical="center" textRotation="90" readingOrder="2"/>
    </xf>
    <xf numFmtId="167" fontId="73" fillId="2" borderId="44" xfId="4" applyNumberFormat="1" applyFont="1" applyFill="1" applyBorder="1" applyAlignment="1">
      <alignment horizontal="center" vertical="center" readingOrder="2"/>
    </xf>
    <xf numFmtId="167" fontId="10" fillId="2" borderId="52" xfId="5" applyNumberFormat="1" applyFont="1" applyFill="1" applyBorder="1" applyAlignment="1">
      <alignment horizontal="center" vertical="center" wrapText="1" readingOrder="2"/>
    </xf>
    <xf numFmtId="167" fontId="106" fillId="2" borderId="42" xfId="4" applyNumberFormat="1" applyFont="1" applyFill="1" applyBorder="1" applyAlignment="1">
      <alignment horizontal="center" vertical="center" readingOrder="2"/>
    </xf>
    <xf numFmtId="167" fontId="106" fillId="2" borderId="45" xfId="4" applyNumberFormat="1" applyFont="1" applyFill="1" applyBorder="1" applyAlignment="1">
      <alignment horizontal="center" vertical="center" readingOrder="2"/>
    </xf>
    <xf numFmtId="167" fontId="106" fillId="0" borderId="45" xfId="4" applyNumberFormat="1" applyFont="1" applyBorder="1" applyAlignment="1">
      <alignment horizontal="center" vertical="center" readingOrder="2"/>
    </xf>
    <xf numFmtId="167" fontId="106" fillId="2" borderId="0" xfId="4" applyNumberFormat="1" applyFont="1" applyFill="1" applyAlignment="1">
      <alignment horizontal="center" vertical="center" readingOrder="2"/>
    </xf>
    <xf numFmtId="167" fontId="107" fillId="0" borderId="0" xfId="4" applyNumberFormat="1" applyFont="1"/>
    <xf numFmtId="167" fontId="108" fillId="18" borderId="0" xfId="4" applyNumberFormat="1" applyFont="1" applyFill="1"/>
    <xf numFmtId="167" fontId="10" fillId="0" borderId="0" xfId="4" applyNumberFormat="1" applyFont="1" applyBorder="1" applyAlignment="1">
      <alignment horizontal="center" vertical="center"/>
    </xf>
    <xf numFmtId="167" fontId="73" fillId="4" borderId="28" xfId="6" applyNumberFormat="1" applyFont="1" applyFill="1" applyBorder="1" applyAlignment="1" applyProtection="1">
      <alignment horizontal="center" vertical="center"/>
      <protection locked="0"/>
    </xf>
    <xf numFmtId="167" fontId="73" fillId="4" borderId="28" xfId="6" applyNumberFormat="1" applyFont="1" applyFill="1" applyBorder="1" applyAlignment="1">
      <alignment horizontal="center" vertical="center"/>
    </xf>
    <xf numFmtId="167" fontId="73" fillId="4" borderId="0" xfId="6" applyNumberFormat="1" applyFont="1" applyFill="1" applyAlignment="1">
      <alignment horizontal="center" vertical="center"/>
    </xf>
    <xf numFmtId="167" fontId="73" fillId="4" borderId="0" xfId="6" applyNumberFormat="1" applyFont="1" applyFill="1" applyAlignment="1">
      <alignment horizontal="center"/>
    </xf>
    <xf numFmtId="167" fontId="73" fillId="4" borderId="0" xfId="6" applyNumberFormat="1" applyFont="1" applyFill="1" applyAlignment="1" applyProtection="1">
      <alignment horizontal="center" vertical="center"/>
      <protection locked="0"/>
    </xf>
    <xf numFmtId="167" fontId="73" fillId="4" borderId="0" xfId="6" applyNumberFormat="1" applyFont="1" applyFill="1" applyAlignment="1" applyProtection="1">
      <alignment vertical="center"/>
      <protection locked="0"/>
    </xf>
    <xf numFmtId="167" fontId="73" fillId="0" borderId="31" xfId="6" applyNumberFormat="1" applyFont="1" applyBorder="1" applyAlignment="1">
      <alignment horizontal="center" vertical="center" readingOrder="2"/>
    </xf>
    <xf numFmtId="167" fontId="73" fillId="4" borderId="31" xfId="6" applyNumberFormat="1" applyFont="1" applyFill="1" applyBorder="1" applyAlignment="1">
      <alignment horizontal="center" vertical="center" readingOrder="2"/>
    </xf>
    <xf numFmtId="167" fontId="73" fillId="2" borderId="41" xfId="4" applyNumberFormat="1" applyFont="1" applyFill="1" applyBorder="1" applyAlignment="1">
      <alignment horizontal="center" vertical="center" readingOrder="2"/>
    </xf>
    <xf numFmtId="167" fontId="73" fillId="2" borderId="41" xfId="5" applyNumberFormat="1" applyFont="1" applyFill="1" applyBorder="1" applyAlignment="1">
      <alignment horizontal="center" vertical="center" readingOrder="2"/>
    </xf>
    <xf numFmtId="167" fontId="73" fillId="2" borderId="44" xfId="5" applyNumberFormat="1" applyFont="1" applyFill="1" applyBorder="1" applyAlignment="1">
      <alignment horizontal="center" vertical="center" readingOrder="2"/>
    </xf>
    <xf numFmtId="169" fontId="73" fillId="2" borderId="44" xfId="4" applyNumberFormat="1" applyFont="1" applyFill="1" applyBorder="1" applyAlignment="1">
      <alignment horizontal="center" vertical="center" readingOrder="2"/>
    </xf>
    <xf numFmtId="167" fontId="73" fillId="0" borderId="44" xfId="5" applyNumberFormat="1" applyFont="1" applyFill="1" applyBorder="1" applyAlignment="1">
      <alignment horizontal="center" vertical="center" readingOrder="2"/>
    </xf>
    <xf numFmtId="169" fontId="73" fillId="2" borderId="52" xfId="4" applyNumberFormat="1" applyFont="1" applyFill="1" applyBorder="1" applyAlignment="1">
      <alignment horizontal="center" vertical="center" readingOrder="2"/>
    </xf>
    <xf numFmtId="167" fontId="73" fillId="2" borderId="0" xfId="4" applyNumberFormat="1" applyFont="1" applyFill="1" applyAlignment="1">
      <alignment horizontal="center" vertical="center" readingOrder="2"/>
    </xf>
    <xf numFmtId="167" fontId="109" fillId="2" borderId="0" xfId="4" applyNumberFormat="1" applyFont="1" applyFill="1"/>
    <xf numFmtId="167" fontId="110" fillId="18" borderId="0" xfId="4" applyNumberFormat="1" applyFont="1" applyFill="1"/>
    <xf numFmtId="167" fontId="111" fillId="2" borderId="0" xfId="4" applyNumberFormat="1" applyFont="1" applyFill="1"/>
    <xf numFmtId="167" fontId="110" fillId="2" borderId="0" xfId="4" applyNumberFormat="1" applyFont="1" applyFill="1"/>
    <xf numFmtId="167" fontId="112" fillId="4" borderId="0" xfId="6" applyNumberFormat="1" applyFont="1" applyFill="1" applyAlignment="1">
      <alignment horizontal="center" vertical="center" wrapText="1"/>
    </xf>
    <xf numFmtId="167" fontId="112" fillId="4" borderId="0" xfId="6" applyNumberFormat="1" applyFont="1" applyFill="1" applyAlignment="1" applyProtection="1">
      <alignment horizontal="center" vertical="center"/>
      <protection locked="0"/>
    </xf>
    <xf numFmtId="167" fontId="112" fillId="2" borderId="40" xfId="4" applyNumberFormat="1" applyFont="1" applyFill="1" applyBorder="1" applyAlignment="1">
      <alignment horizontal="center" vertical="center" readingOrder="2"/>
    </xf>
    <xf numFmtId="167" fontId="112" fillId="2" borderId="43" xfId="4" applyNumberFormat="1" applyFont="1" applyFill="1" applyBorder="1" applyAlignment="1">
      <alignment horizontal="center" vertical="center" readingOrder="2"/>
    </xf>
    <xf numFmtId="167" fontId="113" fillId="2" borderId="43" xfId="4" applyNumberFormat="1" applyFont="1" applyFill="1" applyBorder="1" applyAlignment="1">
      <alignment horizontal="center" vertical="center" readingOrder="2"/>
    </xf>
    <xf numFmtId="167" fontId="114" fillId="18" borderId="0" xfId="4" applyNumberFormat="1" applyFont="1" applyFill="1"/>
    <xf numFmtId="167" fontId="44" fillId="2" borderId="78" xfId="2" applyNumberFormat="1" applyFont="1" applyFill="1" applyBorder="1" applyAlignment="1" applyProtection="1">
      <alignment horizontal="center" vertical="center" wrapText="1" readingOrder="2"/>
      <protection locked="0"/>
    </xf>
    <xf numFmtId="167" fontId="44" fillId="2" borderId="14" xfId="2" applyNumberFormat="1" applyFont="1" applyFill="1" applyBorder="1" applyAlignment="1" applyProtection="1">
      <alignment horizontal="center" vertical="center" wrapText="1" shrinkToFit="1" readingOrder="2"/>
      <protection locked="0"/>
    </xf>
    <xf numFmtId="1" fontId="44" fillId="17" borderId="81" xfId="2" applyNumberFormat="1" applyFont="1" applyFill="1" applyBorder="1" applyAlignment="1" applyProtection="1">
      <alignment horizontal="right" readingOrder="2"/>
      <protection locked="0"/>
    </xf>
    <xf numFmtId="1" fontId="44" fillId="17" borderId="0" xfId="2" applyNumberFormat="1" applyFont="1" applyFill="1" applyBorder="1" applyAlignment="1" applyProtection="1">
      <alignment horizontal="right" readingOrder="2"/>
      <protection locked="0"/>
    </xf>
    <xf numFmtId="1" fontId="44" fillId="17" borderId="0" xfId="2" applyNumberFormat="1" applyFont="1" applyFill="1" applyBorder="1" applyAlignment="1" applyProtection="1">
      <alignment vertical="center" readingOrder="2"/>
      <protection locked="0"/>
    </xf>
    <xf numFmtId="1" fontId="44" fillId="17" borderId="81" xfId="2" applyNumberFormat="1" applyFont="1" applyFill="1" applyBorder="1" applyAlignment="1" applyProtection="1">
      <alignment vertical="center" readingOrder="2"/>
      <protection locked="0"/>
    </xf>
    <xf numFmtId="1" fontId="44" fillId="17" borderId="0" xfId="2" applyNumberFormat="1" applyFont="1" applyFill="1" applyBorder="1" applyAlignment="1" applyProtection="1">
      <alignment vertical="center" shrinkToFit="1"/>
      <protection locked="0"/>
    </xf>
    <xf numFmtId="1" fontId="44" fillId="17" borderId="0" xfId="2" applyNumberFormat="1" applyFont="1" applyFill="1" applyBorder="1" applyAlignment="1" applyProtection="1">
      <alignment vertical="center"/>
      <protection locked="0"/>
    </xf>
    <xf numFmtId="1" fontId="44" fillId="17" borderId="0" xfId="2" applyNumberFormat="1" applyFont="1" applyFill="1" applyBorder="1" applyAlignment="1" applyProtection="1">
      <alignment horizontal="center" vertical="center" readingOrder="2"/>
      <protection locked="0"/>
    </xf>
    <xf numFmtId="167" fontId="44" fillId="2" borderId="78" xfId="0" applyNumberFormat="1" applyFont="1" applyFill="1" applyBorder="1" applyAlignment="1">
      <alignment horizontal="center" vertical="center" wrapText="1" readingOrder="2"/>
    </xf>
    <xf numFmtId="167" fontId="44" fillId="2" borderId="14" xfId="0" applyNumberFormat="1" applyFont="1" applyFill="1" applyBorder="1" applyAlignment="1">
      <alignment horizontal="center" vertical="center" readingOrder="2"/>
    </xf>
    <xf numFmtId="167" fontId="44" fillId="2" borderId="14" xfId="0" applyNumberFormat="1" applyFont="1" applyFill="1" applyBorder="1" applyAlignment="1">
      <alignment horizontal="center" vertical="center" wrapText="1" readingOrder="2"/>
    </xf>
    <xf numFmtId="167" fontId="44" fillId="2" borderId="14" xfId="2" applyNumberFormat="1" applyFont="1" applyFill="1" applyBorder="1" applyAlignment="1" applyProtection="1">
      <alignment horizontal="center" vertical="center" readingOrder="2"/>
      <protection locked="0"/>
    </xf>
    <xf numFmtId="167" fontId="44" fillId="2" borderId="14" xfId="2" applyNumberFormat="1" applyFont="1" applyFill="1" applyBorder="1" applyAlignment="1">
      <alignment horizontal="center" vertical="center" readingOrder="2"/>
    </xf>
    <xf numFmtId="168" fontId="44" fillId="2" borderId="14" xfId="2" applyNumberFormat="1" applyFont="1" applyFill="1" applyBorder="1" applyAlignment="1" applyProtection="1">
      <alignment horizontal="center" vertical="center" readingOrder="2"/>
      <protection locked="0"/>
    </xf>
    <xf numFmtId="167" fontId="44" fillId="2" borderId="92" xfId="2" applyNumberFormat="1" applyFont="1" applyFill="1" applyBorder="1" applyAlignment="1" applyProtection="1">
      <alignment horizontal="center" vertical="center" readingOrder="2"/>
      <protection locked="0"/>
    </xf>
    <xf numFmtId="167" fontId="44" fillId="2" borderId="2" xfId="2" applyNumberFormat="1" applyFont="1" applyFill="1" applyBorder="1" applyAlignment="1">
      <alignment horizontal="center"/>
    </xf>
    <xf numFmtId="167" fontId="115" fillId="2" borderId="9" xfId="2" applyNumberFormat="1" applyFont="1" applyFill="1" applyBorder="1" applyAlignment="1">
      <alignment horizontal="center" vertical="center"/>
    </xf>
    <xf numFmtId="167" fontId="44" fillId="2" borderId="7" xfId="2" applyNumberFormat="1" applyFont="1" applyFill="1" applyBorder="1" applyAlignment="1">
      <alignment horizontal="center"/>
    </xf>
    <xf numFmtId="169" fontId="44" fillId="2" borderId="14" xfId="2" applyNumberFormat="1" applyFont="1" applyFill="1" applyBorder="1" applyAlignment="1" applyProtection="1">
      <alignment horizontal="center" vertical="center" readingOrder="2"/>
      <protection locked="0"/>
    </xf>
    <xf numFmtId="2" fontId="44" fillId="2" borderId="7" xfId="2" applyNumberFormat="1" applyFont="1" applyFill="1" applyBorder="1" applyAlignment="1">
      <alignment horizontal="center"/>
    </xf>
    <xf numFmtId="166" fontId="44" fillId="4" borderId="18" xfId="2" applyNumberFormat="1" applyFont="1" applyFill="1" applyBorder="1" applyAlignment="1">
      <alignment horizontal="center" vertical="center" readingOrder="2"/>
    </xf>
    <xf numFmtId="167" fontId="44" fillId="4" borderId="104" xfId="2" applyNumberFormat="1" applyFont="1" applyFill="1" applyBorder="1" applyAlignment="1">
      <alignment horizontal="center" vertical="center" readingOrder="2"/>
    </xf>
    <xf numFmtId="167" fontId="44" fillId="15" borderId="0" xfId="2" applyNumberFormat="1" applyFont="1" applyFill="1"/>
    <xf numFmtId="1" fontId="44" fillId="17" borderId="0" xfId="2" applyNumberFormat="1" applyFont="1" applyFill="1" applyBorder="1" applyAlignment="1">
      <alignment horizontal="center" vertical="center" readingOrder="2"/>
    </xf>
    <xf numFmtId="0" fontId="44" fillId="17" borderId="69" xfId="2" applyFont="1" applyFill="1" applyBorder="1" applyAlignment="1">
      <alignment horizontal="center" vertical="center" readingOrder="2"/>
    </xf>
    <xf numFmtId="2" fontId="44" fillId="0" borderId="0" xfId="2" applyNumberFormat="1" applyFont="1" applyAlignment="1" applyProtection="1">
      <alignment horizontal="center" vertical="center" readingOrder="2"/>
      <protection locked="0"/>
    </xf>
    <xf numFmtId="0" fontId="44" fillId="0" borderId="0" xfId="2" applyFont="1" applyProtection="1">
      <protection locked="0"/>
    </xf>
    <xf numFmtId="0" fontId="44" fillId="17" borderId="81" xfId="2" applyFont="1" applyFill="1" applyBorder="1" applyAlignment="1">
      <alignment horizontal="justify" vertical="center" readingOrder="2"/>
    </xf>
    <xf numFmtId="0" fontId="44" fillId="17" borderId="0" xfId="2" applyFont="1" applyFill="1" applyBorder="1" applyAlignment="1">
      <alignment horizontal="justify" vertical="center" shrinkToFit="1" readingOrder="2"/>
    </xf>
    <xf numFmtId="0" fontId="44" fillId="0" borderId="0" xfId="0" applyFont="1" applyAlignment="1" applyProtection="1">
      <alignment vertical="center" readingOrder="2"/>
      <protection locked="0"/>
    </xf>
    <xf numFmtId="0" fontId="44" fillId="0" borderId="0" xfId="0" applyFont="1" applyAlignment="1" applyProtection="1">
      <alignment readingOrder="2"/>
      <protection locked="0"/>
    </xf>
    <xf numFmtId="0" fontId="44" fillId="17" borderId="81" xfId="2" applyFont="1" applyFill="1" applyBorder="1" applyAlignment="1" applyProtection="1">
      <alignment horizontal="justify" vertical="center" readingOrder="2"/>
      <protection locked="0"/>
    </xf>
    <xf numFmtId="0" fontId="44" fillId="17" borderId="0" xfId="2" applyFont="1" applyFill="1" applyBorder="1" applyAlignment="1" applyProtection="1">
      <alignment horizontal="justify" vertical="center" shrinkToFit="1" readingOrder="2"/>
      <protection locked="0"/>
    </xf>
    <xf numFmtId="0" fontId="44" fillId="17" borderId="0" xfId="2" applyFont="1" applyFill="1" applyBorder="1" applyAlignment="1" applyProtection="1">
      <alignment horizontal="right" vertical="center" readingOrder="2"/>
      <protection locked="0"/>
    </xf>
    <xf numFmtId="0" fontId="44" fillId="4" borderId="0" xfId="2" applyFont="1" applyFill="1" applyBorder="1" applyAlignment="1" applyProtection="1">
      <alignment horizontal="right" vertical="center" readingOrder="2"/>
      <protection locked="0"/>
    </xf>
    <xf numFmtId="0" fontId="44" fillId="17" borderId="69" xfId="2" applyFont="1" applyFill="1" applyBorder="1" applyAlignment="1" applyProtection="1">
      <alignment horizontal="right" vertical="center" readingOrder="2"/>
      <protection locked="0"/>
    </xf>
    <xf numFmtId="0" fontId="44" fillId="17" borderId="8" xfId="1" applyFont="1" applyFill="1" applyBorder="1" applyAlignment="1" applyProtection="1">
      <alignment horizontal="center" vertical="center" wrapText="1" readingOrder="2"/>
      <protection locked="0"/>
    </xf>
    <xf numFmtId="1" fontId="44" fillId="0" borderId="0" xfId="2" applyNumberFormat="1" applyFont="1" applyProtection="1">
      <protection locked="0"/>
    </xf>
    <xf numFmtId="0" fontId="44" fillId="17" borderId="0" xfId="2" applyFont="1" applyFill="1" applyBorder="1" applyAlignment="1" applyProtection="1">
      <alignment vertical="center"/>
      <protection locked="0"/>
    </xf>
    <xf numFmtId="1" fontId="44" fillId="17" borderId="0" xfId="2" applyNumberFormat="1" applyFont="1" applyFill="1" applyBorder="1" applyAlignment="1" applyProtection="1">
      <alignment readingOrder="2"/>
      <protection locked="0"/>
    </xf>
    <xf numFmtId="1" fontId="44" fillId="17" borderId="69" xfId="2" applyNumberFormat="1" applyFont="1" applyFill="1" applyBorder="1" applyAlignment="1" applyProtection="1">
      <alignment horizontal="center" vertical="center"/>
      <protection locked="0"/>
    </xf>
    <xf numFmtId="1" fontId="44" fillId="0" borderId="0" xfId="2" applyNumberFormat="1" applyFont="1" applyAlignment="1" applyProtection="1">
      <alignment vertical="center"/>
      <protection locked="0"/>
    </xf>
    <xf numFmtId="0" fontId="44" fillId="0" borderId="0" xfId="2" applyFont="1" applyAlignment="1" applyProtection="1">
      <alignment vertical="center"/>
      <protection locked="0"/>
    </xf>
    <xf numFmtId="1" fontId="44" fillId="17" borderId="81" xfId="2" applyNumberFormat="1" applyFont="1" applyFill="1" applyBorder="1" applyAlignment="1">
      <alignment readingOrder="2"/>
    </xf>
    <xf numFmtId="1" fontId="44" fillId="17" borderId="0" xfId="2" applyNumberFormat="1" applyFont="1" applyFill="1" applyBorder="1" applyAlignment="1">
      <alignment shrinkToFit="1"/>
    </xf>
    <xf numFmtId="1" fontId="44" fillId="17" borderId="0" xfId="2" applyNumberFormat="1" applyFont="1" applyFill="1" applyBorder="1"/>
    <xf numFmtId="0" fontId="44" fillId="17" borderId="0" xfId="2" applyFont="1" applyFill="1" applyBorder="1" applyProtection="1">
      <protection locked="0"/>
    </xf>
    <xf numFmtId="4" fontId="44" fillId="4" borderId="77" xfId="2" applyNumberFormat="1" applyFont="1" applyFill="1" applyBorder="1" applyAlignment="1" applyProtection="1">
      <alignment horizontal="center" vertical="center" readingOrder="2"/>
    </xf>
    <xf numFmtId="4" fontId="44" fillId="4" borderId="89" xfId="2" applyNumberFormat="1" applyFont="1" applyFill="1" applyBorder="1" applyAlignment="1" applyProtection="1">
      <alignment horizontal="center" vertical="center" readingOrder="2"/>
    </xf>
    <xf numFmtId="167" fontId="44" fillId="2" borderId="14" xfId="2" applyNumberFormat="1" applyFont="1" applyFill="1" applyBorder="1" applyAlignment="1" applyProtection="1">
      <alignment horizontal="center" vertical="center" readingOrder="2"/>
    </xf>
    <xf numFmtId="4" fontId="44" fillId="2" borderId="14" xfId="2" applyNumberFormat="1" applyFont="1" applyFill="1" applyBorder="1" applyAlignment="1" applyProtection="1">
      <alignment horizontal="center" vertical="center" readingOrder="2"/>
      <protection locked="0"/>
    </xf>
    <xf numFmtId="4" fontId="44" fillId="2" borderId="14" xfId="2" applyNumberFormat="1" applyFont="1" applyFill="1" applyBorder="1" applyAlignment="1">
      <alignment horizontal="center" vertical="center" readingOrder="2"/>
    </xf>
    <xf numFmtId="167" fontId="44" fillId="2" borderId="92" xfId="2" applyNumberFormat="1" applyFont="1" applyFill="1" applyBorder="1"/>
    <xf numFmtId="167" fontId="44" fillId="2" borderId="9" xfId="2" applyNumberFormat="1" applyFont="1" applyFill="1" applyBorder="1"/>
    <xf numFmtId="167" fontId="44" fillId="2" borderId="7" xfId="2" applyNumberFormat="1" applyFont="1" applyFill="1" applyBorder="1"/>
    <xf numFmtId="1" fontId="44" fillId="17" borderId="12" xfId="2" applyNumberFormat="1" applyFont="1" applyFill="1" applyBorder="1" applyAlignment="1" applyProtection="1">
      <alignment vertical="center" readingOrder="2"/>
      <protection locked="0"/>
    </xf>
    <xf numFmtId="167" fontId="44" fillId="2" borderId="24" xfId="2" applyNumberFormat="1" applyFont="1" applyFill="1" applyBorder="1" applyAlignment="1">
      <alignment horizontal="center"/>
    </xf>
    <xf numFmtId="167" fontId="44" fillId="2" borderId="11" xfId="2" applyNumberFormat="1" applyFont="1" applyFill="1" applyBorder="1" applyAlignment="1">
      <alignment horizontal="center"/>
    </xf>
    <xf numFmtId="167" fontId="44" fillId="2" borderId="12" xfId="2" applyNumberFormat="1" applyFont="1" applyFill="1" applyBorder="1" applyAlignment="1">
      <alignment horizontal="center"/>
    </xf>
    <xf numFmtId="167" fontId="44" fillId="2" borderId="13" xfId="2" applyNumberFormat="1" applyFont="1" applyFill="1" applyBorder="1" applyAlignment="1">
      <alignment horizontal="center"/>
    </xf>
    <xf numFmtId="4" fontId="78" fillId="4" borderId="19" xfId="0" applyNumberFormat="1" applyFont="1" applyFill="1" applyBorder="1" applyAlignment="1">
      <alignment horizontal="center" vertical="center" readingOrder="2"/>
    </xf>
    <xf numFmtId="4" fontId="78" fillId="4" borderId="18" xfId="0" applyNumberFormat="1" applyFont="1" applyFill="1" applyBorder="1" applyAlignment="1">
      <alignment horizontal="center" vertical="center" readingOrder="2"/>
    </xf>
    <xf numFmtId="4" fontId="44" fillId="4" borderId="18" xfId="2" applyNumberFormat="1" applyFont="1" applyFill="1" applyBorder="1" applyAlignment="1">
      <alignment horizontal="center" vertical="center" readingOrder="2"/>
    </xf>
    <xf numFmtId="4" fontId="44" fillId="17" borderId="0" xfId="2" applyNumberFormat="1" applyFont="1" applyFill="1" applyBorder="1" applyAlignment="1">
      <alignment horizontal="center" vertical="center" readingOrder="2"/>
    </xf>
    <xf numFmtId="4" fontId="44" fillId="17" borderId="0" xfId="2" applyNumberFormat="1" applyFont="1" applyFill="1" applyBorder="1" applyAlignment="1" applyProtection="1">
      <alignment horizontal="right" vertical="center" readingOrder="2"/>
      <protection locked="0"/>
    </xf>
    <xf numFmtId="4" fontId="49" fillId="0" borderId="0" xfId="2" applyNumberFormat="1" applyFont="1" applyAlignment="1">
      <alignment readingOrder="2"/>
    </xf>
    <xf numFmtId="4" fontId="44" fillId="17" borderId="0" xfId="2" applyNumberFormat="1" applyFont="1" applyFill="1" applyBorder="1" applyAlignment="1" applyProtection="1">
      <alignment horizontal="center" vertical="center" readingOrder="2"/>
      <protection locked="0"/>
    </xf>
    <xf numFmtId="4" fontId="44" fillId="17" borderId="90" xfId="2" applyNumberFormat="1" applyFont="1" applyFill="1" applyBorder="1" applyAlignment="1" applyProtection="1">
      <alignment horizontal="center" vertical="center" readingOrder="2"/>
      <protection locked="0"/>
    </xf>
    <xf numFmtId="167" fontId="44" fillId="24" borderId="78" xfId="0" applyNumberFormat="1" applyFont="1" applyFill="1" applyBorder="1" applyAlignment="1">
      <alignment horizontal="center" vertical="center" wrapText="1" readingOrder="2"/>
    </xf>
    <xf numFmtId="167" fontId="44" fillId="24" borderId="14" xfId="0" applyNumberFormat="1" applyFont="1" applyFill="1" applyBorder="1" applyAlignment="1">
      <alignment horizontal="center" vertical="center" readingOrder="2"/>
    </xf>
    <xf numFmtId="167" fontId="44" fillId="24" borderId="14" xfId="0" applyNumberFormat="1" applyFont="1" applyFill="1" applyBorder="1" applyAlignment="1">
      <alignment horizontal="center" vertical="center" wrapText="1" readingOrder="2"/>
    </xf>
    <xf numFmtId="167" fontId="44" fillId="24" borderId="14" xfId="2" applyNumberFormat="1" applyFont="1" applyFill="1" applyBorder="1" applyAlignment="1" applyProtection="1">
      <alignment horizontal="center" vertical="center" readingOrder="2"/>
      <protection locked="0"/>
    </xf>
    <xf numFmtId="167" fontId="44" fillId="24" borderId="14" xfId="2" applyNumberFormat="1" applyFont="1" applyFill="1" applyBorder="1" applyAlignment="1">
      <alignment horizontal="center" vertical="center" readingOrder="2"/>
    </xf>
    <xf numFmtId="4" fontId="44" fillId="24" borderId="14" xfId="2" applyNumberFormat="1" applyFont="1" applyFill="1" applyBorder="1" applyAlignment="1">
      <alignment horizontal="center" vertical="center" readingOrder="2"/>
    </xf>
    <xf numFmtId="168" fontId="44" fillId="24" borderId="14" xfId="2" applyNumberFormat="1" applyFont="1" applyFill="1" applyBorder="1" applyAlignment="1" applyProtection="1">
      <alignment horizontal="center" vertical="center" readingOrder="2"/>
      <protection locked="0"/>
    </xf>
    <xf numFmtId="167" fontId="44" fillId="24" borderId="92" xfId="2" applyNumberFormat="1" applyFont="1" applyFill="1" applyBorder="1" applyAlignment="1" applyProtection="1">
      <alignment horizontal="center" vertical="center" readingOrder="2"/>
      <protection locked="0"/>
    </xf>
    <xf numFmtId="167" fontId="115" fillId="24" borderId="4" xfId="2" applyNumberFormat="1" applyFont="1" applyFill="1" applyBorder="1" applyAlignment="1">
      <alignment horizontal="center" vertical="center"/>
    </xf>
    <xf numFmtId="167" fontId="44" fillId="24" borderId="2" xfId="2" applyNumberFormat="1" applyFont="1" applyFill="1" applyBorder="1" applyAlignment="1">
      <alignment horizontal="center"/>
    </xf>
    <xf numFmtId="167" fontId="115" fillId="24" borderId="9" xfId="2" applyNumberFormat="1" applyFont="1" applyFill="1" applyBorder="1" applyAlignment="1">
      <alignment horizontal="center" vertical="center"/>
    </xf>
    <xf numFmtId="167" fontId="44" fillId="24" borderId="7" xfId="2" applyNumberFormat="1" applyFont="1" applyFill="1" applyBorder="1" applyAlignment="1">
      <alignment horizontal="center"/>
    </xf>
    <xf numFmtId="167" fontId="44" fillId="24" borderId="14" xfId="2" applyNumberFormat="1" applyFont="1" applyFill="1" applyBorder="1" applyAlignment="1" applyProtection="1">
      <alignment horizontal="center" vertical="center" wrapText="1" shrinkToFit="1" readingOrder="2"/>
      <protection locked="0"/>
    </xf>
    <xf numFmtId="169" fontId="44" fillId="24" borderId="14" xfId="2" applyNumberFormat="1" applyFont="1" applyFill="1" applyBorder="1" applyAlignment="1" applyProtection="1">
      <alignment horizontal="center" vertical="center" readingOrder="2"/>
      <protection locked="0"/>
    </xf>
    <xf numFmtId="4" fontId="44" fillId="24" borderId="14" xfId="2" applyNumberFormat="1" applyFont="1" applyFill="1" applyBorder="1" applyAlignment="1" applyProtection="1">
      <alignment horizontal="center" vertical="center" readingOrder="2"/>
      <protection locked="0"/>
    </xf>
    <xf numFmtId="2" fontId="44" fillId="24" borderId="7" xfId="2" applyNumberFormat="1" applyFont="1" applyFill="1" applyBorder="1" applyAlignment="1">
      <alignment horizontal="center"/>
    </xf>
    <xf numFmtId="167" fontId="44" fillId="2" borderId="80" xfId="2" applyNumberFormat="1" applyFont="1" applyFill="1" applyBorder="1"/>
    <xf numFmtId="167" fontId="44" fillId="2" borderId="91" xfId="2" applyNumberFormat="1" applyFont="1" applyFill="1" applyBorder="1"/>
    <xf numFmtId="1" fontId="44" fillId="17" borderId="12" xfId="2" applyNumberFormat="1" applyFont="1" applyFill="1" applyBorder="1" applyAlignment="1" applyProtection="1">
      <alignment horizontal="left" vertical="center" readingOrder="2"/>
      <protection locked="0"/>
    </xf>
    <xf numFmtId="0" fontId="83" fillId="2" borderId="41" xfId="8" applyFont="1" applyFill="1" applyBorder="1"/>
    <xf numFmtId="0" fontId="83" fillId="2" borderId="41" xfId="10" applyFont="1" applyFill="1" applyBorder="1"/>
    <xf numFmtId="1" fontId="54" fillId="2" borderId="44" xfId="8" applyNumberFormat="1" applyFont="1" applyFill="1" applyBorder="1" applyAlignment="1">
      <alignment horizontal="center" vertical="center" wrapText="1" readingOrder="2"/>
    </xf>
    <xf numFmtId="2" fontId="73" fillId="2" borderId="44" xfId="8" applyNumberFormat="1" applyFont="1" applyFill="1" applyBorder="1" applyAlignment="1">
      <alignment horizontal="center" vertical="center" wrapText="1" readingOrder="2"/>
    </xf>
    <xf numFmtId="2" fontId="73" fillId="2" borderId="44" xfId="8" applyNumberFormat="1" applyFont="1" applyFill="1" applyBorder="1" applyAlignment="1">
      <alignment horizontal="center" vertical="center" wrapText="1"/>
    </xf>
    <xf numFmtId="0" fontId="83" fillId="2" borderId="44" xfId="8" applyFont="1" applyFill="1" applyBorder="1"/>
    <xf numFmtId="0" fontId="83" fillId="2" borderId="44" xfId="10" applyFont="1" applyFill="1" applyBorder="1"/>
    <xf numFmtId="2" fontId="54" fillId="25" borderId="44" xfId="8" applyNumberFormat="1" applyFont="1" applyFill="1" applyBorder="1" applyAlignment="1">
      <alignment horizontal="center" vertical="center" wrapText="1" readingOrder="2"/>
    </xf>
    <xf numFmtId="2" fontId="89" fillId="25" borderId="44" xfId="8" applyNumberFormat="1" applyFont="1" applyFill="1" applyBorder="1" applyAlignment="1">
      <alignment horizontal="center" vertical="center" readingOrder="2"/>
    </xf>
    <xf numFmtId="0" fontId="83" fillId="25" borderId="44" xfId="8" applyFont="1" applyFill="1" applyBorder="1" applyAlignment="1">
      <alignment horizontal="center" vertical="center"/>
    </xf>
    <xf numFmtId="0" fontId="83" fillId="25" borderId="44" xfId="10" applyFont="1" applyFill="1" applyBorder="1"/>
    <xf numFmtId="2" fontId="54" fillId="2" borderId="44" xfId="5" applyNumberFormat="1" applyFont="1" applyFill="1" applyBorder="1" applyAlignment="1">
      <alignment horizontal="center" vertical="center" readingOrder="2"/>
    </xf>
    <xf numFmtId="2" fontId="49" fillId="2" borderId="44" xfId="5" applyNumberFormat="1" applyFont="1" applyFill="1" applyBorder="1" applyAlignment="1">
      <alignment horizontal="center" vertical="center" readingOrder="2"/>
    </xf>
    <xf numFmtId="2" fontId="89" fillId="2" borderId="44" xfId="8" applyNumberFormat="1" applyFont="1" applyFill="1" applyBorder="1" applyAlignment="1">
      <alignment horizontal="center" vertical="center" readingOrder="2"/>
    </xf>
    <xf numFmtId="0" fontId="83" fillId="2" borderId="44" xfId="8" applyFont="1" applyFill="1" applyBorder="1" applyAlignment="1">
      <alignment horizontal="center" vertical="center"/>
    </xf>
    <xf numFmtId="2" fontId="54" fillId="25" borderId="44" xfId="5" applyNumberFormat="1" applyFont="1" applyFill="1" applyBorder="1" applyAlignment="1">
      <alignment horizontal="center" vertical="center" readingOrder="2"/>
    </xf>
    <xf numFmtId="2" fontId="54" fillId="2" borderId="44" xfId="8" applyNumberFormat="1" applyFont="1" applyFill="1" applyBorder="1" applyAlignment="1">
      <alignment horizontal="center" vertical="center" wrapText="1" readingOrder="2"/>
    </xf>
    <xf numFmtId="0" fontId="49" fillId="25" borderId="44" xfId="8" applyFont="1" applyFill="1" applyBorder="1" applyAlignment="1">
      <alignment horizontal="center" vertical="center" wrapText="1" readingOrder="2"/>
    </xf>
    <xf numFmtId="2" fontId="54" fillId="25" borderId="44" xfId="8" applyNumberFormat="1" applyFont="1" applyFill="1" applyBorder="1" applyAlignment="1">
      <alignment horizontal="center" vertical="center" readingOrder="2"/>
    </xf>
    <xf numFmtId="2" fontId="73" fillId="25" borderId="44" xfId="8" applyNumberFormat="1" applyFont="1" applyFill="1" applyBorder="1" applyAlignment="1">
      <alignment horizontal="center" vertical="center" readingOrder="2"/>
    </xf>
    <xf numFmtId="0" fontId="49" fillId="2" borderId="44" xfId="8" applyFont="1" applyFill="1" applyBorder="1" applyAlignment="1">
      <alignment horizontal="center" vertical="center" wrapText="1" readingOrder="2"/>
    </xf>
    <xf numFmtId="2" fontId="54" fillId="2" borderId="44" xfId="8" applyNumberFormat="1" applyFont="1" applyFill="1" applyBorder="1" applyAlignment="1">
      <alignment horizontal="center" vertical="center" readingOrder="2"/>
    </xf>
    <xf numFmtId="2" fontId="83" fillId="2" borderId="44" xfId="10" applyNumberFormat="1" applyFont="1" applyFill="1" applyBorder="1"/>
    <xf numFmtId="1" fontId="54" fillId="25" borderId="44" xfId="8" applyNumberFormat="1" applyFont="1" applyFill="1" applyBorder="1" applyAlignment="1">
      <alignment horizontal="center" vertical="center" wrapText="1" readingOrder="2"/>
    </xf>
    <xf numFmtId="2" fontId="82" fillId="2" borderId="44" xfId="8" applyNumberFormat="1" applyFont="1" applyFill="1" applyBorder="1" applyAlignment="1">
      <alignment horizontal="center" vertical="center" readingOrder="2"/>
    </xf>
    <xf numFmtId="2" fontId="73" fillId="2" borderId="44" xfId="8" applyNumberFormat="1" applyFont="1" applyFill="1" applyBorder="1" applyAlignment="1">
      <alignment horizontal="center" vertical="center" readingOrder="2"/>
    </xf>
    <xf numFmtId="2" fontId="43" fillId="25" borderId="44" xfId="8" applyNumberFormat="1" applyFont="1" applyFill="1" applyBorder="1" applyAlignment="1">
      <alignment horizontal="center" vertical="center" wrapText="1" readingOrder="2"/>
    </xf>
    <xf numFmtId="2" fontId="73" fillId="25" borderId="44" xfId="8" applyNumberFormat="1" applyFont="1" applyFill="1" applyBorder="1" applyAlignment="1">
      <alignment horizontal="center" vertical="center" wrapText="1" readingOrder="2"/>
    </xf>
    <xf numFmtId="2" fontId="73" fillId="25" borderId="44" xfId="8" applyNumberFormat="1" applyFont="1" applyFill="1" applyBorder="1" applyAlignment="1">
      <alignment horizontal="center" vertical="center" wrapText="1"/>
    </xf>
    <xf numFmtId="0" fontId="88" fillId="25" borderId="44" xfId="10" applyFont="1" applyFill="1" applyBorder="1"/>
    <xf numFmtId="2" fontId="43" fillId="2" borderId="44" xfId="8" applyNumberFormat="1" applyFont="1" applyFill="1" applyBorder="1" applyAlignment="1">
      <alignment horizontal="center" vertical="center" wrapText="1" readingOrder="2"/>
    </xf>
    <xf numFmtId="0" fontId="88" fillId="2" borderId="44" xfId="10" applyFont="1" applyFill="1" applyBorder="1"/>
    <xf numFmtId="164" fontId="43" fillId="25" borderId="44" xfId="8" applyNumberFormat="1" applyFont="1" applyFill="1" applyBorder="1" applyAlignment="1">
      <alignment horizontal="center" vertical="center" wrapText="1" readingOrder="2"/>
    </xf>
    <xf numFmtId="2" fontId="117" fillId="2" borderId="43" xfId="8" applyNumberFormat="1" applyFont="1" applyFill="1" applyBorder="1" applyAlignment="1">
      <alignment horizontal="center" vertical="center" textRotation="180" wrapText="1" readingOrder="2"/>
    </xf>
    <xf numFmtId="0" fontId="88" fillId="2" borderId="41" xfId="10" applyFont="1" applyFill="1" applyBorder="1"/>
    <xf numFmtId="0" fontId="84" fillId="2" borderId="44" xfId="8" applyFont="1" applyFill="1" applyBorder="1" applyAlignment="1">
      <alignment horizontal="center" vertical="center"/>
    </xf>
    <xf numFmtId="2" fontId="43" fillId="2" borderId="44" xfId="8" applyNumberFormat="1" applyFont="1" applyFill="1" applyBorder="1" applyAlignment="1">
      <alignment horizontal="center" vertical="center" readingOrder="2"/>
    </xf>
    <xf numFmtId="0" fontId="43" fillId="2" borderId="44" xfId="8" applyFont="1" applyFill="1" applyBorder="1" applyAlignment="1">
      <alignment horizontal="center" vertical="center" wrapText="1" readingOrder="2"/>
    </xf>
    <xf numFmtId="0" fontId="118" fillId="2" borderId="43" xfId="8" applyFont="1" applyFill="1" applyBorder="1" applyAlignment="1">
      <alignment horizontal="center"/>
    </xf>
    <xf numFmtId="0" fontId="91" fillId="2" borderId="44" xfId="8" applyFont="1" applyFill="1" applyBorder="1" applyAlignment="1">
      <alignment horizontal="center"/>
    </xf>
    <xf numFmtId="0" fontId="43" fillId="25" borderId="44" xfId="8" applyFont="1" applyFill="1" applyBorder="1" applyAlignment="1">
      <alignment horizontal="center" vertical="center" wrapText="1" readingOrder="2"/>
    </xf>
    <xf numFmtId="0" fontId="117" fillId="2" borderId="43" xfId="8" applyFont="1" applyFill="1" applyBorder="1" applyAlignment="1">
      <alignment horizontal="center" vertical="center" textRotation="180" wrapText="1" readingOrder="2"/>
    </xf>
    <xf numFmtId="1" fontId="43" fillId="2" borderId="44" xfId="8" applyNumberFormat="1" applyFont="1" applyFill="1" applyBorder="1" applyAlignment="1">
      <alignment horizontal="center" vertical="center" wrapText="1" readingOrder="2"/>
    </xf>
    <xf numFmtId="1" fontId="43" fillId="25" borderId="44" xfId="8" applyNumberFormat="1" applyFont="1" applyFill="1" applyBorder="1" applyAlignment="1">
      <alignment horizontal="center" vertical="center" wrapText="1" readingOrder="2"/>
    </xf>
    <xf numFmtId="49" fontId="117" fillId="25" borderId="43" xfId="8" applyNumberFormat="1" applyFont="1" applyFill="1" applyBorder="1" applyAlignment="1">
      <alignment horizontal="center" vertical="center" wrapText="1" readingOrder="2"/>
    </xf>
    <xf numFmtId="2" fontId="88" fillId="2" borderId="44" xfId="10" applyNumberFormat="1" applyFont="1" applyFill="1" applyBorder="1"/>
    <xf numFmtId="2" fontId="90" fillId="2" borderId="44" xfId="8" applyNumberFormat="1" applyFont="1" applyFill="1" applyBorder="1" applyAlignment="1">
      <alignment horizontal="center" vertical="center" wrapText="1" readingOrder="2"/>
    </xf>
    <xf numFmtId="2" fontId="43" fillId="25" borderId="44" xfId="8" applyNumberFormat="1" applyFont="1" applyFill="1" applyBorder="1" applyAlignment="1">
      <alignment horizontal="center" vertical="center" readingOrder="2"/>
    </xf>
    <xf numFmtId="0" fontId="88" fillId="2" borderId="44" xfId="8" applyFont="1" applyFill="1" applyBorder="1"/>
    <xf numFmtId="0" fontId="88" fillId="2" borderId="44" xfId="8" applyFont="1" applyFill="1" applyBorder="1" applyAlignment="1">
      <alignment horizontal="center"/>
    </xf>
    <xf numFmtId="0" fontId="90" fillId="2" borderId="44" xfId="8" applyFont="1" applyFill="1" applyBorder="1" applyAlignment="1">
      <alignment horizontal="center" vertical="center" wrapText="1"/>
    </xf>
    <xf numFmtId="0" fontId="89" fillId="2" borderId="44" xfId="8" applyFont="1" applyFill="1" applyBorder="1" applyAlignment="1">
      <alignment horizontal="center" vertical="center" wrapText="1"/>
    </xf>
    <xf numFmtId="0" fontId="89" fillId="2" borderId="44" xfId="8" applyFont="1" applyFill="1" applyBorder="1" applyAlignment="1">
      <alignment horizontal="center" vertical="center"/>
    </xf>
    <xf numFmtId="0" fontId="118" fillId="2" borderId="43" xfId="10" applyFont="1" applyFill="1" applyBorder="1"/>
    <xf numFmtId="0" fontId="99" fillId="2" borderId="44" xfId="10" applyFont="1" applyFill="1" applyBorder="1"/>
    <xf numFmtId="0" fontId="91" fillId="2" borderId="44" xfId="10" applyFont="1" applyFill="1" applyBorder="1"/>
    <xf numFmtId="0" fontId="92" fillId="2" borderId="44" xfId="10" applyFont="1" applyFill="1" applyBorder="1"/>
    <xf numFmtId="0" fontId="92" fillId="2" borderId="44" xfId="10" applyFont="1" applyFill="1" applyBorder="1" applyAlignment="1">
      <alignment horizontal="center"/>
    </xf>
    <xf numFmtId="0" fontId="118" fillId="2" borderId="65" xfId="8" applyFont="1" applyFill="1" applyBorder="1"/>
    <xf numFmtId="0" fontId="84" fillId="2" borderId="54" xfId="8" applyFont="1" applyFill="1" applyBorder="1" applyAlignment="1">
      <alignment horizontal="center" vertical="center"/>
    </xf>
    <xf numFmtId="0" fontId="91" fillId="2" borderId="54" xfId="8" applyFont="1" applyFill="1" applyBorder="1"/>
    <xf numFmtId="2" fontId="88" fillId="2" borderId="54" xfId="8" applyNumberFormat="1" applyFont="1" applyFill="1" applyBorder="1"/>
    <xf numFmtId="2" fontId="89" fillId="2" borderId="55" xfId="8" applyNumberFormat="1" applyFont="1" applyFill="1" applyBorder="1" applyAlignment="1">
      <alignment horizontal="center" vertical="center"/>
    </xf>
    <xf numFmtId="0" fontId="118" fillId="2" borderId="111" xfId="8" applyFont="1" applyFill="1" applyBorder="1" applyAlignment="1">
      <alignment horizontal="center"/>
    </xf>
    <xf numFmtId="0" fontId="84" fillId="2" borderId="57" xfId="8" applyFont="1" applyFill="1" applyBorder="1" applyAlignment="1">
      <alignment horizontal="center" vertical="center"/>
    </xf>
    <xf numFmtId="0" fontId="91" fillId="2" borderId="57" xfId="8" applyFont="1" applyFill="1" applyBorder="1" applyAlignment="1">
      <alignment horizontal="center"/>
    </xf>
    <xf numFmtId="0" fontId="88" fillId="2" borderId="57" xfId="8" applyFont="1" applyFill="1" applyBorder="1" applyAlignment="1">
      <alignment horizontal="center"/>
    </xf>
    <xf numFmtId="0" fontId="90" fillId="2" borderId="57" xfId="8" applyFont="1" applyFill="1" applyBorder="1" applyAlignment="1">
      <alignment horizontal="center" vertical="center" wrapText="1"/>
    </xf>
    <xf numFmtId="0" fontId="89" fillId="2" borderId="57" xfId="8" applyFont="1" applyFill="1" applyBorder="1" applyAlignment="1">
      <alignment horizontal="center" vertical="center" wrapText="1"/>
    </xf>
    <xf numFmtId="0" fontId="89" fillId="2" borderId="58" xfId="8" applyFont="1" applyFill="1" applyBorder="1" applyAlignment="1">
      <alignment horizontal="center" vertical="center"/>
    </xf>
    <xf numFmtId="0" fontId="9" fillId="2" borderId="7" xfId="2" applyFont="1" applyFill="1" applyBorder="1" applyAlignment="1">
      <alignment horizontal="right" readingOrder="2"/>
    </xf>
    <xf numFmtId="49" fontId="9" fillId="2" borderId="24" xfId="2" applyNumberFormat="1" applyFont="1" applyFill="1" applyBorder="1" applyAlignment="1">
      <alignment horizontal="center" vertical="center" readingOrder="2"/>
    </xf>
    <xf numFmtId="0" fontId="9" fillId="2" borderId="7" xfId="2" applyFont="1" applyFill="1" applyBorder="1" applyAlignment="1">
      <alignment horizontal="right" vertical="center" readingOrder="2"/>
    </xf>
    <xf numFmtId="0" fontId="116" fillId="6" borderId="0" xfId="2" applyFont="1" applyFill="1" applyBorder="1" applyAlignment="1" applyProtection="1">
      <alignment horizontal="center" vertical="center" readingOrder="2"/>
      <protection locked="0"/>
    </xf>
    <xf numFmtId="0" fontId="116" fillId="6" borderId="0" xfId="2" applyFont="1" applyFill="1" applyBorder="1" applyAlignment="1" applyProtection="1">
      <alignment horizontal="center" vertical="center" wrapText="1" readingOrder="2"/>
      <protection locked="0"/>
    </xf>
    <xf numFmtId="2" fontId="43" fillId="2" borderId="44" xfId="8" applyNumberFormat="1" applyFont="1" applyFill="1" applyBorder="1" applyAlignment="1">
      <alignment horizontal="center" vertical="center" wrapText="1" readingOrder="2"/>
    </xf>
    <xf numFmtId="0" fontId="9" fillId="2" borderId="0" xfId="2" applyFont="1" applyFill="1" applyAlignment="1">
      <alignment horizontal="center"/>
    </xf>
    <xf numFmtId="167" fontId="112" fillId="2" borderId="43" xfId="4" applyNumberFormat="1" applyFont="1" applyFill="1" applyBorder="1" applyAlignment="1">
      <alignment horizontal="center" vertical="center" readingOrder="2"/>
    </xf>
    <xf numFmtId="167" fontId="10" fillId="2" borderId="44" xfId="4" applyNumberFormat="1" applyFont="1" applyFill="1" applyBorder="1" applyAlignment="1">
      <alignment horizontal="center" vertical="center" wrapText="1" readingOrder="2"/>
    </xf>
    <xf numFmtId="167" fontId="10" fillId="2" borderId="44" xfId="4" applyNumberFormat="1" applyFont="1" applyFill="1" applyBorder="1" applyAlignment="1">
      <alignment horizontal="center" vertical="center" textRotation="90" wrapText="1" readingOrder="2"/>
    </xf>
    <xf numFmtId="167" fontId="73" fillId="2" borderId="44" xfId="4" applyNumberFormat="1" applyFont="1" applyFill="1" applyBorder="1" applyAlignment="1">
      <alignment horizontal="center" vertical="center" readingOrder="2"/>
    </xf>
    <xf numFmtId="167" fontId="44" fillId="24" borderId="14" xfId="2" applyNumberFormat="1" applyFont="1" applyFill="1" applyBorder="1" applyAlignment="1" applyProtection="1">
      <alignment horizontal="center" vertical="center" readingOrder="2"/>
      <protection locked="0"/>
    </xf>
    <xf numFmtId="167" fontId="44" fillId="24" borderId="14" xfId="2" applyNumberFormat="1" applyFont="1" applyFill="1" applyBorder="1" applyAlignment="1">
      <alignment horizontal="center" vertical="center" readingOrder="2"/>
    </xf>
    <xf numFmtId="2" fontId="43" fillId="2" borderId="44" xfId="8" applyNumberFormat="1" applyFont="1" applyFill="1" applyBorder="1" applyAlignment="1">
      <alignment horizontal="center" vertical="center" wrapText="1" readingOrder="2"/>
    </xf>
    <xf numFmtId="49" fontId="9" fillId="2" borderId="7" xfId="0" applyNumberFormat="1" applyFont="1" applyFill="1" applyBorder="1" applyAlignment="1" applyProtection="1">
      <alignment horizontal="center" vertical="center" readingOrder="2"/>
      <protection locked="0"/>
    </xf>
    <xf numFmtId="49" fontId="9" fillId="2" borderId="2" xfId="0" applyNumberFormat="1" applyFont="1" applyFill="1" applyBorder="1" applyAlignment="1" applyProtection="1">
      <alignment horizontal="center" vertical="center" readingOrder="2"/>
      <protection locked="0"/>
    </xf>
    <xf numFmtId="0" fontId="9" fillId="2" borderId="0" xfId="2" applyFont="1" applyFill="1" applyAlignment="1">
      <alignment horizontal="center"/>
    </xf>
    <xf numFmtId="2" fontId="73" fillId="2" borderId="44" xfId="8" applyNumberFormat="1" applyFont="1" applyFill="1" applyBorder="1" applyAlignment="1">
      <alignment horizontal="center" vertical="center" wrapText="1" readingOrder="2"/>
    </xf>
    <xf numFmtId="0" fontId="43" fillId="2" borderId="44" xfId="8" applyFont="1" applyFill="1" applyBorder="1" applyAlignment="1">
      <alignment horizontal="center" vertical="center" wrapText="1" readingOrder="2"/>
    </xf>
    <xf numFmtId="2" fontId="43" fillId="2" borderId="44" xfId="8" applyNumberFormat="1" applyFont="1" applyFill="1" applyBorder="1" applyAlignment="1">
      <alignment horizontal="center" vertical="center" wrapText="1" readingOrder="2"/>
    </xf>
    <xf numFmtId="0" fontId="43" fillId="25" borderId="44" xfId="8" applyFont="1" applyFill="1" applyBorder="1" applyAlignment="1">
      <alignment horizontal="center" vertical="center" wrapText="1" readingOrder="2"/>
    </xf>
    <xf numFmtId="0" fontId="9" fillId="4" borderId="0" xfId="2" applyFont="1" applyFill="1" applyAlignment="1">
      <alignment horizontal="justify" vertical="center" readingOrder="2"/>
    </xf>
    <xf numFmtId="49" fontId="9" fillId="2" borderId="7" xfId="0" applyNumberFormat="1" applyFont="1" applyFill="1" applyBorder="1" applyAlignment="1" applyProtection="1">
      <alignment horizontal="center" vertical="center" readingOrder="2"/>
      <protection locked="0"/>
    </xf>
    <xf numFmtId="0" fontId="9" fillId="2" borderId="0" xfId="2" applyFont="1" applyFill="1" applyAlignment="1">
      <alignment horizontal="center"/>
    </xf>
    <xf numFmtId="166" fontId="10" fillId="2" borderId="7" xfId="2" applyNumberFormat="1" applyFont="1" applyFill="1" applyBorder="1" applyAlignment="1">
      <alignment horizontal="center" vertical="center" readingOrder="2"/>
    </xf>
    <xf numFmtId="1" fontId="10" fillId="2" borderId="7" xfId="2" applyNumberFormat="1" applyFont="1" applyFill="1" applyBorder="1" applyAlignment="1" applyProtection="1">
      <alignment horizontal="center" vertical="center" readingOrder="2"/>
      <protection locked="0"/>
    </xf>
    <xf numFmtId="167" fontId="10" fillId="2" borderId="7" xfId="2" applyNumberFormat="1" applyFont="1" applyFill="1" applyBorder="1" applyAlignment="1" applyProtection="1">
      <alignment horizontal="center" vertical="center" readingOrder="2"/>
      <protection locked="0"/>
    </xf>
    <xf numFmtId="167" fontId="10" fillId="5" borderId="7" xfId="2" applyNumberFormat="1" applyFont="1" applyFill="1" applyBorder="1" applyAlignment="1">
      <alignment horizontal="center" vertical="center" readingOrder="2"/>
    </xf>
    <xf numFmtId="0" fontId="10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center"/>
    </xf>
    <xf numFmtId="2" fontId="10" fillId="3" borderId="2" xfId="0" applyNumberFormat="1" applyFont="1" applyFill="1" applyBorder="1" applyAlignment="1">
      <alignment horizontal="center" vertical="center" readingOrder="2"/>
    </xf>
    <xf numFmtId="2" fontId="10" fillId="3" borderId="24" xfId="0" applyNumberFormat="1" applyFont="1" applyFill="1" applyBorder="1" applyAlignment="1">
      <alignment horizontal="center" vertical="center" readingOrder="2"/>
    </xf>
    <xf numFmtId="167" fontId="44" fillId="24" borderId="24" xfId="2" applyNumberFormat="1" applyFont="1" applyFill="1" applyBorder="1" applyAlignment="1">
      <alignment horizontal="center"/>
    </xf>
    <xf numFmtId="167" fontId="44" fillId="24" borderId="11" xfId="2" applyNumberFormat="1" applyFont="1" applyFill="1" applyBorder="1" applyAlignment="1">
      <alignment horizontal="center"/>
    </xf>
    <xf numFmtId="167" fontId="44" fillId="24" borderId="12" xfId="2" applyNumberFormat="1" applyFont="1" applyFill="1" applyBorder="1" applyAlignment="1">
      <alignment horizontal="center"/>
    </xf>
    <xf numFmtId="167" fontId="44" fillId="24" borderId="13" xfId="2" applyNumberFormat="1" applyFont="1" applyFill="1" applyBorder="1" applyAlignment="1">
      <alignment horizontal="center"/>
    </xf>
    <xf numFmtId="167" fontId="103" fillId="2" borderId="14" xfId="2" applyNumberFormat="1" applyFont="1" applyFill="1" applyBorder="1" applyAlignment="1" applyProtection="1">
      <alignment horizontal="center" vertical="center" wrapText="1" shrinkToFit="1" readingOrder="2"/>
      <protection locked="0"/>
    </xf>
    <xf numFmtId="4" fontId="9" fillId="2" borderId="7" xfId="2" applyNumberFormat="1" applyFont="1" applyFill="1" applyBorder="1" applyAlignment="1">
      <alignment horizontal="center" vertical="center" readingOrder="2"/>
    </xf>
    <xf numFmtId="4" fontId="9" fillId="2" borderId="7" xfId="2" applyNumberFormat="1" applyFont="1" applyFill="1" applyBorder="1" applyAlignment="1" applyProtection="1">
      <alignment horizontal="center" vertical="center" readingOrder="2"/>
      <protection locked="0"/>
    </xf>
    <xf numFmtId="164" fontId="9" fillId="2" borderId="7" xfId="2" applyNumberFormat="1" applyFont="1" applyFill="1" applyBorder="1" applyAlignment="1" applyProtection="1">
      <alignment horizontal="center" vertical="center" readingOrder="2"/>
      <protection locked="0"/>
    </xf>
    <xf numFmtId="0" fontId="10" fillId="2" borderId="83" xfId="2" applyFont="1" applyFill="1" applyBorder="1" applyAlignment="1" applyProtection="1">
      <alignment horizontal="center" vertical="center" readingOrder="2"/>
      <protection locked="0"/>
    </xf>
    <xf numFmtId="49" fontId="10" fillId="2" borderId="116" xfId="0" applyNumberFormat="1" applyFont="1" applyFill="1" applyBorder="1" applyAlignment="1" applyProtection="1">
      <alignment horizontal="center" vertical="center" readingOrder="1"/>
      <protection locked="0"/>
    </xf>
    <xf numFmtId="2" fontId="10" fillId="2" borderId="83" xfId="2" applyNumberFormat="1" applyFont="1" applyFill="1" applyBorder="1" applyAlignment="1" applyProtection="1">
      <alignment horizontal="center" vertical="center" readingOrder="2"/>
      <protection locked="0"/>
    </xf>
    <xf numFmtId="2" fontId="10" fillId="5" borderId="83" xfId="2" applyNumberFormat="1" applyFont="1" applyFill="1" applyBorder="1" applyAlignment="1">
      <alignment horizontal="center" vertical="center" readingOrder="2"/>
    </xf>
    <xf numFmtId="166" fontId="10" fillId="4" borderId="0" xfId="2" applyNumberFormat="1" applyFont="1" applyFill="1" applyBorder="1" applyAlignment="1">
      <alignment horizontal="center" vertical="center" readingOrder="2"/>
    </xf>
    <xf numFmtId="1" fontId="10" fillId="4" borderId="0" xfId="2" applyNumberFormat="1" applyFont="1" applyFill="1" applyBorder="1" applyAlignment="1">
      <alignment horizontal="center" vertical="center" readingOrder="2"/>
    </xf>
    <xf numFmtId="0" fontId="10" fillId="4" borderId="0" xfId="2" applyFont="1" applyFill="1" applyBorder="1" applyAlignment="1">
      <alignment horizontal="center" vertical="center" readingOrder="2"/>
    </xf>
    <xf numFmtId="0" fontId="10" fillId="4" borderId="69" xfId="2" applyFont="1" applyFill="1" applyBorder="1" applyAlignment="1">
      <alignment horizontal="center" vertical="center" readingOrder="2"/>
    </xf>
    <xf numFmtId="0" fontId="11" fillId="4" borderId="81" xfId="2" applyFont="1" applyFill="1" applyBorder="1" applyAlignment="1">
      <alignment horizontal="justify" vertical="center" readingOrder="1"/>
    </xf>
    <xf numFmtId="0" fontId="10" fillId="4" borderId="0" xfId="2" applyFont="1" applyFill="1" applyBorder="1" applyAlignment="1">
      <alignment horizontal="justify" vertical="center" shrinkToFit="1" readingOrder="2"/>
    </xf>
    <xf numFmtId="0" fontId="11" fillId="4" borderId="81" xfId="2" applyFont="1" applyFill="1" applyBorder="1" applyAlignment="1" applyProtection="1">
      <alignment horizontal="justify" vertical="center" readingOrder="1"/>
      <protection locked="0"/>
    </xf>
    <xf numFmtId="0" fontId="10" fillId="4" borderId="0" xfId="2" applyFont="1" applyFill="1" applyBorder="1" applyAlignment="1" applyProtection="1">
      <alignment horizontal="justify" vertical="center" shrinkToFit="1" readingOrder="2"/>
      <protection locked="0"/>
    </xf>
    <xf numFmtId="0" fontId="10" fillId="4" borderId="0" xfId="2" applyFont="1" applyFill="1" applyBorder="1" applyAlignment="1" applyProtection="1">
      <alignment horizontal="right" vertical="center" readingOrder="2"/>
      <protection locked="0"/>
    </xf>
    <xf numFmtId="166" fontId="10" fillId="4" borderId="0" xfId="2" applyNumberFormat="1" applyFont="1" applyFill="1" applyBorder="1" applyAlignment="1" applyProtection="1">
      <alignment horizontal="right" vertical="center" readingOrder="2"/>
      <protection locked="0"/>
    </xf>
    <xf numFmtId="0" fontId="10" fillId="4" borderId="0" xfId="2" applyFont="1" applyFill="1" applyBorder="1" applyAlignment="1" applyProtection="1">
      <alignment horizontal="center" vertical="center" readingOrder="2"/>
      <protection locked="0"/>
    </xf>
    <xf numFmtId="0" fontId="10" fillId="4" borderId="69" xfId="2" applyFont="1" applyFill="1" applyBorder="1" applyAlignment="1" applyProtection="1">
      <alignment horizontal="right" vertical="center" readingOrder="2"/>
      <protection locked="0"/>
    </xf>
    <xf numFmtId="1" fontId="10" fillId="4" borderId="0" xfId="2" applyNumberFormat="1" applyFont="1" applyFill="1" applyBorder="1" applyAlignment="1" applyProtection="1">
      <alignment horizontal="right" vertical="center" readingOrder="2"/>
      <protection locked="0"/>
    </xf>
    <xf numFmtId="0" fontId="10" fillId="4" borderId="0" xfId="2" applyFont="1" applyFill="1" applyBorder="1" applyAlignment="1" applyProtection="1">
      <alignment vertical="center"/>
      <protection locked="0"/>
    </xf>
    <xf numFmtId="1" fontId="10" fillId="4" borderId="0" xfId="2" applyNumberFormat="1" applyFont="1" applyFill="1" applyBorder="1" applyAlignment="1" applyProtection="1">
      <alignment readingOrder="2"/>
      <protection locked="0"/>
    </xf>
    <xf numFmtId="1" fontId="10" fillId="4" borderId="81" xfId="2" applyNumberFormat="1" applyFont="1" applyFill="1" applyBorder="1" applyAlignment="1" applyProtection="1">
      <alignment horizontal="right" readingOrder="1"/>
      <protection locked="0"/>
    </xf>
    <xf numFmtId="1" fontId="10" fillId="4" borderId="0" xfId="2" applyNumberFormat="1" applyFont="1" applyFill="1" applyBorder="1" applyAlignment="1" applyProtection="1">
      <alignment horizontal="right" readingOrder="2"/>
      <protection locked="0"/>
    </xf>
    <xf numFmtId="1" fontId="10" fillId="4" borderId="81" xfId="2" applyNumberFormat="1" applyFont="1" applyFill="1" applyBorder="1" applyAlignment="1" applyProtection="1">
      <alignment vertical="center" readingOrder="1"/>
      <protection locked="0"/>
    </xf>
    <xf numFmtId="1" fontId="10" fillId="4" borderId="0" xfId="2" applyNumberFormat="1" applyFont="1" applyFill="1" applyBorder="1" applyAlignment="1" applyProtection="1">
      <alignment vertical="center" shrinkToFit="1"/>
      <protection locked="0"/>
    </xf>
    <xf numFmtId="1" fontId="10" fillId="4" borderId="0" xfId="2" applyNumberFormat="1" applyFont="1" applyFill="1" applyBorder="1" applyAlignment="1" applyProtection="1">
      <alignment vertical="center"/>
      <protection locked="0"/>
    </xf>
    <xf numFmtId="1" fontId="10" fillId="4" borderId="67" xfId="2" applyNumberFormat="1" applyFont="1" applyFill="1" applyBorder="1" applyAlignment="1">
      <alignment readingOrder="1"/>
    </xf>
    <xf numFmtId="1" fontId="10" fillId="4" borderId="68" xfId="2" applyNumberFormat="1" applyFont="1" applyFill="1" applyBorder="1" applyAlignment="1">
      <alignment shrinkToFit="1"/>
    </xf>
    <xf numFmtId="1" fontId="10" fillId="4" borderId="68" xfId="2" applyNumberFormat="1" applyFont="1" applyFill="1" applyBorder="1"/>
    <xf numFmtId="1" fontId="10" fillId="4" borderId="68" xfId="2" applyNumberFormat="1" applyFont="1" applyFill="1" applyBorder="1" applyAlignment="1" applyProtection="1">
      <alignment vertical="center" readingOrder="2"/>
      <protection locked="0"/>
    </xf>
    <xf numFmtId="1" fontId="10" fillId="4" borderId="68" xfId="2" applyNumberFormat="1" applyFont="1" applyFill="1" applyBorder="1" applyAlignment="1">
      <alignment horizontal="center" vertical="center" readingOrder="2"/>
    </xf>
    <xf numFmtId="0" fontId="10" fillId="4" borderId="68" xfId="2" applyFont="1" applyFill="1" applyBorder="1" applyProtection="1">
      <protection locked="0"/>
    </xf>
    <xf numFmtId="1" fontId="10" fillId="4" borderId="68" xfId="2" applyNumberFormat="1" applyFont="1" applyFill="1" applyBorder="1" applyAlignment="1">
      <alignment readingOrder="2"/>
    </xf>
    <xf numFmtId="1" fontId="10" fillId="4" borderId="68" xfId="2" applyNumberFormat="1" applyFont="1" applyFill="1" applyBorder="1" applyAlignment="1" applyProtection="1">
      <alignment readingOrder="2"/>
      <protection locked="0"/>
    </xf>
    <xf numFmtId="2" fontId="43" fillId="2" borderId="0" xfId="8" applyNumberFormat="1" applyFont="1" applyFill="1" applyBorder="1" applyAlignment="1">
      <alignment horizontal="center" vertical="center" wrapText="1" readingOrder="2"/>
    </xf>
    <xf numFmtId="1" fontId="43" fillId="2" borderId="49" xfId="8" applyNumberFormat="1" applyFont="1" applyFill="1" applyBorder="1" applyAlignment="1">
      <alignment horizontal="center" vertical="center" wrapText="1" readingOrder="2"/>
    </xf>
    <xf numFmtId="2" fontId="73" fillId="2" borderId="48" xfId="8" applyNumberFormat="1" applyFont="1" applyFill="1" applyBorder="1" applyAlignment="1">
      <alignment horizontal="center" vertical="center" wrapText="1" readingOrder="2"/>
    </xf>
    <xf numFmtId="2" fontId="43" fillId="25" borderId="75" xfId="8" applyNumberFormat="1" applyFont="1" applyFill="1" applyBorder="1" applyAlignment="1">
      <alignment horizontal="center" vertical="center" wrapText="1" readingOrder="2"/>
    </xf>
    <xf numFmtId="1" fontId="43" fillId="2" borderId="7" xfId="8" applyNumberFormat="1" applyFont="1" applyFill="1" applyBorder="1" applyAlignment="1">
      <alignment horizontal="center" vertical="center" wrapText="1" readingOrder="2"/>
    </xf>
    <xf numFmtId="2" fontId="9" fillId="2" borderId="7" xfId="2" applyNumberFormat="1" applyFont="1" applyFill="1" applyBorder="1" applyAlignment="1" applyProtection="1">
      <alignment horizontal="center" vertical="center" readingOrder="2"/>
      <protection locked="0"/>
    </xf>
    <xf numFmtId="167" fontId="44" fillId="0" borderId="0" xfId="2" applyNumberFormat="1" applyFont="1" applyProtection="1">
      <protection locked="0"/>
    </xf>
    <xf numFmtId="2" fontId="43" fillId="2" borderId="44" xfId="8" applyNumberFormat="1" applyFont="1" applyFill="1" applyBorder="1" applyAlignment="1">
      <alignment horizontal="center" vertical="center" wrapText="1" readingOrder="2"/>
    </xf>
    <xf numFmtId="0" fontId="4" fillId="0" borderId="56" xfId="7" applyFont="1" applyBorder="1" applyAlignment="1">
      <alignment horizontal="center" vertical="center" readingOrder="2"/>
    </xf>
    <xf numFmtId="166" fontId="10" fillId="5" borderId="7" xfId="2" applyNumberFormat="1" applyFont="1" applyFill="1" applyBorder="1" applyAlignment="1" applyProtection="1">
      <alignment horizontal="center" vertical="center" readingOrder="2"/>
      <protection locked="0"/>
    </xf>
    <xf numFmtId="49" fontId="11" fillId="2" borderId="7" xfId="0" applyNumberFormat="1" applyFont="1" applyFill="1" applyBorder="1" applyAlignment="1" applyProtection="1">
      <alignment horizontal="center" vertical="center" readingOrder="1"/>
      <protection locked="0"/>
    </xf>
    <xf numFmtId="0" fontId="10" fillId="2" borderId="7" xfId="2" applyFont="1" applyFill="1" applyBorder="1" applyAlignment="1" applyProtection="1">
      <alignment horizontal="center" vertical="center" wrapText="1" shrinkToFit="1" readingOrder="2"/>
      <protection locked="0"/>
    </xf>
    <xf numFmtId="1" fontId="10" fillId="2" borderId="7" xfId="2" applyNumberFormat="1" applyFont="1" applyFill="1" applyBorder="1" applyAlignment="1" applyProtection="1">
      <alignment horizontal="center" vertical="center" readingOrder="2"/>
      <protection locked="0"/>
    </xf>
    <xf numFmtId="167" fontId="10" fillId="2" borderId="7" xfId="2" applyNumberFormat="1" applyFont="1" applyFill="1" applyBorder="1" applyAlignment="1" applyProtection="1">
      <alignment horizontal="center" vertical="center" readingOrder="2"/>
      <protection locked="0"/>
    </xf>
    <xf numFmtId="166" fontId="10" fillId="2" borderId="7" xfId="2" applyNumberFormat="1" applyFont="1" applyFill="1" applyBorder="1" applyAlignment="1">
      <alignment horizontal="center" vertical="center" readingOrder="2"/>
    </xf>
    <xf numFmtId="0" fontId="56" fillId="0" borderId="122" xfId="7" applyFont="1" applyBorder="1"/>
    <xf numFmtId="0" fontId="56" fillId="0" borderId="113" xfId="7" applyFont="1" applyBorder="1"/>
    <xf numFmtId="0" fontId="56" fillId="0" borderId="123" xfId="7" applyFont="1" applyBorder="1"/>
    <xf numFmtId="0" fontId="56" fillId="0" borderId="0" xfId="7" applyFont="1" applyBorder="1"/>
    <xf numFmtId="0" fontId="56" fillId="0" borderId="69" xfId="7" applyFont="1" applyBorder="1"/>
    <xf numFmtId="0" fontId="60" fillId="0" borderId="0" xfId="7" applyFont="1" applyBorder="1"/>
    <xf numFmtId="0" fontId="60" fillId="0" borderId="69" xfId="7" applyFont="1" applyBorder="1"/>
    <xf numFmtId="0" fontId="60" fillId="0" borderId="0" xfId="7" applyFont="1" applyBorder="1" applyAlignment="1">
      <alignment horizontal="right"/>
    </xf>
    <xf numFmtId="0" fontId="60" fillId="0" borderId="69" xfId="7" applyFont="1" applyBorder="1" applyAlignment="1">
      <alignment horizontal="right"/>
    </xf>
    <xf numFmtId="0" fontId="4" fillId="0" borderId="81" xfId="7" applyFont="1" applyBorder="1" applyAlignment="1">
      <alignment vertical="center" readingOrder="2"/>
    </xf>
    <xf numFmtId="0" fontId="4" fillId="0" borderId="0" xfId="7" applyFont="1" applyBorder="1" applyAlignment="1">
      <alignment vertical="center" readingOrder="2"/>
    </xf>
    <xf numFmtId="0" fontId="4" fillId="0" borderId="69" xfId="7" applyFont="1" applyBorder="1" applyAlignment="1">
      <alignment vertical="center" readingOrder="2"/>
    </xf>
    <xf numFmtId="0" fontId="4" fillId="0" borderId="0" xfId="7" applyFont="1" applyBorder="1" applyAlignment="1">
      <alignment horizontal="left" vertical="center" readingOrder="2"/>
    </xf>
    <xf numFmtId="0" fontId="4" fillId="0" borderId="0" xfId="7" applyFont="1" applyBorder="1" applyAlignment="1">
      <alignment horizontal="center" vertical="center" readingOrder="2"/>
    </xf>
    <xf numFmtId="0" fontId="4" fillId="0" borderId="69" xfId="7" applyFont="1" applyBorder="1" applyAlignment="1">
      <alignment horizontal="center" vertical="center" readingOrder="2"/>
    </xf>
    <xf numFmtId="10" fontId="4" fillId="0" borderId="69" xfId="7" applyNumberFormat="1" applyFont="1" applyBorder="1" applyAlignment="1">
      <alignment horizontal="center" vertical="center" readingOrder="2"/>
    </xf>
    <xf numFmtId="0" fontId="4" fillId="0" borderId="81" xfId="7" applyFont="1" applyBorder="1" applyAlignment="1">
      <alignment horizontal="center" vertical="center" readingOrder="2"/>
    </xf>
    <xf numFmtId="10" fontId="4" fillId="2" borderId="0" xfId="7" applyNumberFormat="1" applyFont="1" applyFill="1" applyBorder="1" applyAlignment="1">
      <alignment horizontal="center" vertical="center" readingOrder="2"/>
    </xf>
    <xf numFmtId="10" fontId="4" fillId="0" borderId="69" xfId="7" applyNumberFormat="1" applyFont="1" applyBorder="1" applyAlignment="1">
      <alignment vertical="center" readingOrder="2"/>
    </xf>
    <xf numFmtId="0" fontId="4" fillId="2" borderId="0" xfId="7" applyFont="1" applyFill="1" applyBorder="1" applyAlignment="1">
      <alignment horizontal="center" vertical="center" readingOrder="2"/>
    </xf>
    <xf numFmtId="0" fontId="4" fillId="2" borderId="0" xfId="7" applyFont="1" applyFill="1" applyBorder="1" applyAlignment="1">
      <alignment vertical="center" readingOrder="2"/>
    </xf>
    <xf numFmtId="175" fontId="4" fillId="0" borderId="0" xfId="7" applyNumberFormat="1" applyFont="1" applyBorder="1" applyAlignment="1">
      <alignment horizontal="center" vertical="center" readingOrder="2"/>
    </xf>
    <xf numFmtId="0" fontId="4" fillId="0" borderId="0" xfId="7" applyFont="1" applyBorder="1"/>
    <xf numFmtId="0" fontId="4" fillId="0" borderId="69" xfId="7" applyFont="1" applyBorder="1"/>
    <xf numFmtId="0" fontId="60" fillId="0" borderId="0" xfId="7" applyFont="1" applyBorder="1" applyAlignment="1">
      <alignment vertical="center" readingOrder="2"/>
    </xf>
    <xf numFmtId="0" fontId="60" fillId="0" borderId="69" xfId="7" applyFont="1" applyBorder="1" applyAlignment="1">
      <alignment vertical="center" readingOrder="2"/>
    </xf>
    <xf numFmtId="0" fontId="60" fillId="0" borderId="81" xfId="7" applyFont="1" applyBorder="1" applyAlignment="1">
      <alignment horizontal="justify" vertical="center" readingOrder="2"/>
    </xf>
    <xf numFmtId="0" fontId="60" fillId="0" borderId="81" xfId="7" applyFont="1" applyBorder="1"/>
    <xf numFmtId="0" fontId="60" fillId="0" borderId="81" xfId="7" applyFont="1" applyBorder="1" applyAlignment="1">
      <alignment horizontal="right" vertical="center" readingOrder="2"/>
    </xf>
    <xf numFmtId="0" fontId="56" fillId="0" borderId="67" xfId="7" applyFont="1" applyBorder="1"/>
    <xf numFmtId="0" fontId="56" fillId="0" borderId="68" xfId="7" applyFont="1" applyBorder="1"/>
    <xf numFmtId="0" fontId="56" fillId="0" borderId="121" xfId="7" applyFont="1" applyBorder="1"/>
    <xf numFmtId="166" fontId="121" fillId="5" borderId="2" xfId="2" applyNumberFormat="1" applyFont="1" applyFill="1" applyBorder="1" applyAlignment="1" applyProtection="1">
      <alignment horizontal="center" vertical="center" readingOrder="2"/>
      <protection locked="0"/>
    </xf>
    <xf numFmtId="0" fontId="54" fillId="2" borderId="0" xfId="2" applyFont="1" applyFill="1" applyAlignment="1">
      <alignment horizontal="center"/>
    </xf>
    <xf numFmtId="1" fontId="123" fillId="17" borderId="0" xfId="2" applyNumberFormat="1" applyFont="1" applyFill="1" applyBorder="1" applyAlignment="1">
      <alignment vertical="center" readingOrder="2"/>
    </xf>
    <xf numFmtId="4" fontId="123" fillId="17" borderId="0" xfId="2" applyNumberFormat="1" applyFont="1" applyFill="1" applyBorder="1" applyAlignment="1">
      <alignment vertical="center" readingOrder="2"/>
    </xf>
    <xf numFmtId="0" fontId="123" fillId="17" borderId="69" xfId="2" applyFont="1" applyFill="1" applyBorder="1" applyAlignment="1">
      <alignment vertical="center" readingOrder="2"/>
    </xf>
    <xf numFmtId="2" fontId="123" fillId="0" borderId="0" xfId="2" applyNumberFormat="1" applyFont="1" applyAlignment="1" applyProtection="1">
      <alignment vertical="center" readingOrder="2"/>
      <protection locked="0"/>
    </xf>
    <xf numFmtId="0" fontId="123" fillId="0" borderId="0" xfId="2" applyFont="1" applyAlignment="1" applyProtection="1">
      <protection locked="0"/>
    </xf>
    <xf numFmtId="0" fontId="123" fillId="17" borderId="81" xfId="2" applyFont="1" applyFill="1" applyBorder="1" applyAlignment="1">
      <alignment vertical="center" readingOrder="2"/>
    </xf>
    <xf numFmtId="0" fontId="123" fillId="17" borderId="0" xfId="2" applyFont="1" applyFill="1" applyBorder="1" applyAlignment="1">
      <alignment vertical="center" shrinkToFit="1" readingOrder="2"/>
    </xf>
    <xf numFmtId="0" fontId="123" fillId="0" borderId="0" xfId="0" applyFont="1" applyAlignment="1" applyProtection="1">
      <alignment vertical="center" readingOrder="2"/>
      <protection locked="0"/>
    </xf>
    <xf numFmtId="0" fontId="123" fillId="0" borderId="0" xfId="0" applyFont="1" applyAlignment="1" applyProtection="1">
      <alignment readingOrder="2"/>
      <protection locked="0"/>
    </xf>
    <xf numFmtId="0" fontId="123" fillId="17" borderId="81" xfId="2" applyFont="1" applyFill="1" applyBorder="1" applyAlignment="1" applyProtection="1">
      <alignment vertical="center" readingOrder="2"/>
      <protection locked="0"/>
    </xf>
    <xf numFmtId="0" fontId="123" fillId="17" borderId="0" xfId="2" applyFont="1" applyFill="1" applyBorder="1" applyAlignment="1" applyProtection="1">
      <alignment vertical="center" shrinkToFit="1" readingOrder="2"/>
      <protection locked="0"/>
    </xf>
    <xf numFmtId="0" fontId="123" fillId="17" borderId="0" xfId="2" applyFont="1" applyFill="1" applyBorder="1" applyAlignment="1" applyProtection="1">
      <alignment vertical="center" readingOrder="2"/>
      <protection locked="0"/>
    </xf>
    <xf numFmtId="0" fontId="123" fillId="4" borderId="0" xfId="2" applyFont="1" applyFill="1" applyBorder="1" applyAlignment="1" applyProtection="1">
      <alignment vertical="center" readingOrder="2"/>
      <protection locked="0"/>
    </xf>
    <xf numFmtId="4" fontId="123" fillId="17" borderId="0" xfId="2" applyNumberFormat="1" applyFont="1" applyFill="1" applyBorder="1" applyAlignment="1" applyProtection="1">
      <alignment vertical="center" readingOrder="2"/>
      <protection locked="0"/>
    </xf>
    <xf numFmtId="0" fontId="123" fillId="17" borderId="69" xfId="2" applyFont="1" applyFill="1" applyBorder="1" applyAlignment="1" applyProtection="1">
      <alignment vertical="center" readingOrder="2"/>
      <protection locked="0"/>
    </xf>
    <xf numFmtId="1" fontId="10" fillId="17" borderId="0" xfId="2" applyNumberFormat="1" applyFont="1" applyFill="1" applyBorder="1" applyAlignment="1" applyProtection="1">
      <alignment vertical="center" readingOrder="2"/>
      <protection locked="0"/>
    </xf>
    <xf numFmtId="1" fontId="10" fillId="17" borderId="0" xfId="2" applyNumberFormat="1" applyFont="1" applyFill="1" applyBorder="1" applyAlignment="1" applyProtection="1">
      <alignment horizontal="center" vertical="center" readingOrder="2"/>
      <protection locked="0"/>
    </xf>
    <xf numFmtId="4" fontId="10" fillId="17" borderId="0" xfId="2" applyNumberFormat="1" applyFont="1" applyFill="1" applyBorder="1" applyAlignment="1" applyProtection="1">
      <alignment horizontal="center" vertical="center" readingOrder="2"/>
      <protection locked="0"/>
    </xf>
    <xf numFmtId="0" fontId="10" fillId="4" borderId="35" xfId="1" applyFont="1" applyFill="1" applyBorder="1" applyAlignment="1" applyProtection="1">
      <alignment vertical="center" wrapText="1" readingOrder="2"/>
      <protection locked="0"/>
    </xf>
    <xf numFmtId="167" fontId="10" fillId="4" borderId="0" xfId="6" applyNumberFormat="1" applyFont="1" applyFill="1" applyAlignment="1">
      <alignment horizontal="center" vertical="center" wrapText="1"/>
    </xf>
    <xf numFmtId="2" fontId="43" fillId="2" borderId="44" xfId="8" applyNumberFormat="1" applyFont="1" applyFill="1" applyBorder="1" applyAlignment="1">
      <alignment horizontal="center" vertical="center" wrapText="1" readingOrder="2"/>
    </xf>
    <xf numFmtId="0" fontId="9" fillId="2" borderId="0" xfId="2" applyFont="1" applyFill="1" applyAlignment="1">
      <alignment horizontal="center"/>
    </xf>
    <xf numFmtId="0" fontId="3" fillId="2" borderId="0" xfId="2" applyFont="1" applyFill="1" applyAlignment="1">
      <alignment horizontal="center"/>
    </xf>
    <xf numFmtId="2" fontId="117" fillId="2" borderId="43" xfId="8" applyNumberFormat="1" applyFont="1" applyFill="1" applyBorder="1" applyAlignment="1">
      <alignment horizontal="center" vertical="center" textRotation="180" wrapText="1" readingOrder="2"/>
    </xf>
    <xf numFmtId="0" fontId="49" fillId="2" borderId="44" xfId="8" applyFont="1" applyFill="1" applyBorder="1" applyAlignment="1">
      <alignment horizontal="center" vertical="center" wrapText="1" readingOrder="2"/>
    </xf>
    <xf numFmtId="2" fontId="73" fillId="2" borderId="44" xfId="8" applyNumberFormat="1" applyFont="1" applyFill="1" applyBorder="1" applyAlignment="1">
      <alignment horizontal="center" vertical="center" readingOrder="2"/>
    </xf>
    <xf numFmtId="2" fontId="43" fillId="2" borderId="44" xfId="8" applyNumberFormat="1" applyFont="1" applyFill="1" applyBorder="1" applyAlignment="1">
      <alignment horizontal="center" vertical="center" wrapText="1" readingOrder="2"/>
    </xf>
    <xf numFmtId="0" fontId="9" fillId="2" borderId="0" xfId="2" applyFont="1" applyFill="1" applyAlignment="1">
      <alignment horizontal="center"/>
    </xf>
    <xf numFmtId="2" fontId="89" fillId="7" borderId="44" xfId="8" applyNumberFormat="1" applyFont="1" applyFill="1" applyBorder="1" applyAlignment="1">
      <alignment horizontal="center" vertical="center" readingOrder="2"/>
    </xf>
    <xf numFmtId="0" fontId="9" fillId="26" borderId="7" xfId="2" applyFont="1" applyFill="1" applyBorder="1" applyAlignment="1" applyProtection="1">
      <alignment horizontal="right" vertical="center" wrapText="1" shrinkToFit="1" readingOrder="2"/>
      <protection locked="0"/>
    </xf>
    <xf numFmtId="167" fontId="9" fillId="26" borderId="7" xfId="2" applyNumberFormat="1" applyFont="1" applyFill="1" applyBorder="1" applyAlignment="1">
      <alignment horizontal="center" vertical="center" readingOrder="2"/>
    </xf>
    <xf numFmtId="169" fontId="9" fillId="26" borderId="7" xfId="2" applyNumberFormat="1" applyFont="1" applyFill="1" applyBorder="1" applyAlignment="1">
      <alignment horizontal="center" vertical="center" readingOrder="2"/>
    </xf>
    <xf numFmtId="168" fontId="9" fillId="26" borderId="7" xfId="2" applyNumberFormat="1" applyFont="1" applyFill="1" applyBorder="1" applyAlignment="1" applyProtection="1">
      <alignment horizontal="center" vertical="center" readingOrder="2"/>
      <protection locked="0"/>
    </xf>
    <xf numFmtId="0" fontId="9" fillId="26" borderId="7" xfId="2" applyFont="1" applyFill="1" applyBorder="1" applyAlignment="1" applyProtection="1">
      <alignment horizontal="center" vertical="center" readingOrder="2"/>
      <protection locked="0"/>
    </xf>
    <xf numFmtId="167" fontId="9" fillId="26" borderId="7" xfId="2" applyNumberFormat="1" applyFont="1" applyFill="1" applyBorder="1" applyAlignment="1" applyProtection="1">
      <alignment horizontal="center" vertical="center" readingOrder="2"/>
      <protection locked="0"/>
    </xf>
    <xf numFmtId="0" fontId="9" fillId="26" borderId="3" xfId="2" applyFont="1" applyFill="1" applyBorder="1" applyAlignment="1" applyProtection="1">
      <alignment horizontal="center" vertical="center" readingOrder="2"/>
      <protection locked="0"/>
    </xf>
    <xf numFmtId="0" fontId="9" fillId="26" borderId="0" xfId="2" applyFont="1" applyFill="1"/>
    <xf numFmtId="2" fontId="9" fillId="26" borderId="0" xfId="2" applyNumberFormat="1" applyFont="1" applyFill="1" applyAlignment="1">
      <alignment horizontal="center" vertical="center"/>
    </xf>
    <xf numFmtId="0" fontId="9" fillId="26" borderId="0" xfId="2" applyFont="1" applyFill="1" applyAlignment="1">
      <alignment horizontal="center"/>
    </xf>
    <xf numFmtId="49" fontId="9" fillId="26" borderId="2" xfId="0" applyNumberFormat="1" applyFont="1" applyFill="1" applyBorder="1" applyAlignment="1" applyProtection="1">
      <alignment horizontal="center" vertical="center" readingOrder="2"/>
      <protection locked="0"/>
    </xf>
    <xf numFmtId="1" fontId="9" fillId="26" borderId="2" xfId="2" applyNumberFormat="1" applyFont="1" applyFill="1" applyBorder="1" applyAlignment="1" applyProtection="1">
      <alignment horizontal="center" vertical="center" readingOrder="2"/>
      <protection locked="0"/>
    </xf>
    <xf numFmtId="167" fontId="9" fillId="26" borderId="2" xfId="2" applyNumberFormat="1" applyFont="1" applyFill="1" applyBorder="1" applyAlignment="1" applyProtection="1">
      <alignment horizontal="center" vertical="center" readingOrder="2"/>
      <protection locked="0"/>
    </xf>
    <xf numFmtId="172" fontId="72" fillId="0" borderId="49" xfId="0" applyNumberFormat="1" applyFont="1" applyBorder="1" applyAlignment="1">
      <alignment horizontal="center" vertical="center"/>
    </xf>
    <xf numFmtId="172" fontId="72" fillId="8" borderId="49" xfId="0" applyNumberFormat="1" applyFont="1" applyFill="1" applyBorder="1" applyAlignment="1">
      <alignment horizontal="center" vertical="center"/>
    </xf>
    <xf numFmtId="172" fontId="72" fillId="9" borderId="49" xfId="0" applyNumberFormat="1" applyFont="1" applyFill="1" applyBorder="1" applyAlignment="1">
      <alignment horizontal="center" vertical="center"/>
    </xf>
    <xf numFmtId="172" fontId="72" fillId="13" borderId="49" xfId="0" applyNumberFormat="1" applyFont="1" applyFill="1" applyBorder="1" applyAlignment="1">
      <alignment horizontal="center" vertical="center"/>
    </xf>
    <xf numFmtId="172" fontId="72" fillId="2" borderId="0" xfId="0" applyNumberFormat="1" applyFont="1" applyFill="1" applyBorder="1" applyAlignment="1">
      <alignment horizontal="center" vertical="center"/>
    </xf>
    <xf numFmtId="171" fontId="86" fillId="0" borderId="0" xfId="0" applyNumberFormat="1" applyFont="1" applyBorder="1"/>
    <xf numFmtId="171" fontId="95" fillId="0" borderId="0" xfId="0" applyNumberFormat="1" applyFont="1" applyBorder="1"/>
    <xf numFmtId="2" fontId="54" fillId="0" borderId="0" xfId="0" applyNumberFormat="1" applyFont="1" applyBorder="1"/>
    <xf numFmtId="171" fontId="74" fillId="0" borderId="0" xfId="0" applyNumberFormat="1" applyFont="1" applyBorder="1"/>
    <xf numFmtId="171" fontId="11" fillId="0" borderId="0" xfId="0" applyNumberFormat="1" applyFont="1" applyBorder="1" applyAlignment="1">
      <alignment vertical="center"/>
    </xf>
    <xf numFmtId="10" fontId="95" fillId="0" borderId="0" xfId="0" applyNumberFormat="1" applyFont="1" applyBorder="1" applyAlignment="1">
      <alignment horizontal="center"/>
    </xf>
    <xf numFmtId="171" fontId="87" fillId="0" borderId="0" xfId="0" applyNumberFormat="1" applyFont="1" applyBorder="1"/>
    <xf numFmtId="171" fontId="97" fillId="0" borderId="0" xfId="0" applyNumberFormat="1" applyFont="1" applyBorder="1"/>
    <xf numFmtId="176" fontId="83" fillId="0" borderId="0" xfId="0" applyNumberFormat="1" applyFont="1" applyBorder="1"/>
    <xf numFmtId="1" fontId="44" fillId="17" borderId="12" xfId="2" applyNumberFormat="1" applyFont="1" applyFill="1" applyBorder="1" applyAlignment="1" applyProtection="1">
      <alignment vertical="center" readingOrder="2"/>
      <protection locked="0"/>
    </xf>
    <xf numFmtId="0" fontId="44" fillId="17" borderId="81" xfId="2" applyFont="1" applyFill="1" applyBorder="1" applyAlignment="1">
      <alignment horizontal="justify" vertical="center" readingOrder="2"/>
    </xf>
    <xf numFmtId="0" fontId="44" fillId="17" borderId="8" xfId="1" applyFont="1" applyFill="1" applyBorder="1" applyAlignment="1" applyProtection="1">
      <alignment horizontal="center" vertical="center" wrapText="1" readingOrder="2"/>
      <protection locked="0"/>
    </xf>
    <xf numFmtId="167" fontId="44" fillId="2" borderId="78" xfId="2" applyNumberFormat="1" applyFont="1" applyFill="1" applyBorder="1" applyAlignment="1" applyProtection="1">
      <alignment horizontal="center" vertical="center" wrapText="1" readingOrder="2"/>
      <protection locked="0"/>
    </xf>
    <xf numFmtId="167" fontId="44" fillId="2" borderId="14" xfId="2" applyNumberFormat="1" applyFont="1" applyFill="1" applyBorder="1" applyAlignment="1" applyProtection="1">
      <alignment horizontal="center" vertical="center" readingOrder="2"/>
      <protection locked="0"/>
    </xf>
    <xf numFmtId="2" fontId="43" fillId="2" borderId="44" xfId="8" applyNumberFormat="1" applyFont="1" applyFill="1" applyBorder="1" applyAlignment="1">
      <alignment horizontal="center" vertical="center" wrapText="1" readingOrder="2"/>
    </xf>
    <xf numFmtId="0" fontId="9" fillId="2" borderId="0" xfId="2" applyFont="1" applyFill="1" applyAlignment="1">
      <alignment horizontal="center"/>
    </xf>
    <xf numFmtId="171" fontId="125" fillId="0" borderId="0" xfId="0" applyNumberFormat="1" applyFont="1"/>
    <xf numFmtId="167" fontId="105" fillId="2" borderId="49" xfId="4" applyNumberFormat="1" applyFont="1" applyFill="1" applyBorder="1" applyAlignment="1">
      <alignment horizontal="center" vertical="center" wrapText="1" readingOrder="2"/>
    </xf>
    <xf numFmtId="167" fontId="24" fillId="2" borderId="48" xfId="4" applyNumberFormat="1" applyFont="1" applyFill="1" applyBorder="1" applyAlignment="1">
      <alignment horizontal="center" vertical="center" readingOrder="2"/>
    </xf>
    <xf numFmtId="167" fontId="127" fillId="2" borderId="0" xfId="2" applyNumberFormat="1" applyFont="1" applyFill="1" applyAlignment="1">
      <alignment horizontal="center" vertical="center" readingOrder="2"/>
    </xf>
    <xf numFmtId="167" fontId="9" fillId="27" borderId="7" xfId="2" applyNumberFormat="1" applyFont="1" applyFill="1" applyBorder="1" applyAlignment="1" applyProtection="1">
      <alignment horizontal="center" vertical="center" readingOrder="2"/>
      <protection locked="0"/>
    </xf>
    <xf numFmtId="167" fontId="9" fillId="27" borderId="7" xfId="2" applyNumberFormat="1" applyFont="1" applyFill="1" applyBorder="1" applyAlignment="1">
      <alignment horizontal="center" vertical="center" readingOrder="2"/>
    </xf>
    <xf numFmtId="169" fontId="9" fillId="27" borderId="7" xfId="2" applyNumberFormat="1" applyFont="1" applyFill="1" applyBorder="1" applyAlignment="1">
      <alignment horizontal="center" vertical="center" readingOrder="2"/>
    </xf>
    <xf numFmtId="168" fontId="9" fillId="27" borderId="7" xfId="2" applyNumberFormat="1" applyFont="1" applyFill="1" applyBorder="1" applyAlignment="1" applyProtection="1">
      <alignment horizontal="center" vertical="center" readingOrder="2"/>
      <protection locked="0"/>
    </xf>
    <xf numFmtId="0" fontId="17" fillId="10" borderId="7" xfId="2" applyFont="1" applyFill="1" applyBorder="1" applyAlignment="1" applyProtection="1">
      <alignment horizontal="right" vertical="center" wrapText="1" shrinkToFit="1" readingOrder="2"/>
      <protection locked="0"/>
    </xf>
    <xf numFmtId="167" fontId="9" fillId="10" borderId="7" xfId="2" applyNumberFormat="1" applyFont="1" applyFill="1" applyBorder="1" applyAlignment="1" applyProtection="1">
      <alignment horizontal="center" vertical="center" readingOrder="2"/>
      <protection locked="0"/>
    </xf>
    <xf numFmtId="167" fontId="9" fillId="10" borderId="7" xfId="2" applyNumberFormat="1" applyFont="1" applyFill="1" applyBorder="1" applyAlignment="1">
      <alignment horizontal="center" vertical="center" readingOrder="2"/>
    </xf>
    <xf numFmtId="169" fontId="9" fillId="10" borderId="7" xfId="2" applyNumberFormat="1" applyFont="1" applyFill="1" applyBorder="1" applyAlignment="1">
      <alignment horizontal="center" vertical="center" readingOrder="2"/>
    </xf>
    <xf numFmtId="168" fontId="9" fillId="10" borderId="7" xfId="2" applyNumberFormat="1" applyFont="1" applyFill="1" applyBorder="1" applyAlignment="1" applyProtection="1">
      <alignment horizontal="center" vertical="center" readingOrder="2"/>
      <protection locked="0"/>
    </xf>
    <xf numFmtId="0" fontId="9" fillId="10" borderId="7" xfId="2" applyFont="1" applyFill="1" applyBorder="1" applyAlignment="1" applyProtection="1">
      <alignment horizontal="center" vertical="center" readingOrder="2"/>
      <protection locked="0"/>
    </xf>
    <xf numFmtId="0" fontId="9" fillId="10" borderId="3" xfId="2" applyFont="1" applyFill="1" applyBorder="1" applyAlignment="1" applyProtection="1">
      <alignment horizontal="center" vertical="center" readingOrder="2"/>
      <protection locked="0"/>
    </xf>
    <xf numFmtId="0" fontId="9" fillId="10" borderId="0" xfId="2" applyFont="1" applyFill="1"/>
    <xf numFmtId="2" fontId="9" fillId="10" borderId="0" xfId="2" applyNumberFormat="1" applyFont="1" applyFill="1" applyAlignment="1">
      <alignment horizontal="center" vertical="center"/>
    </xf>
    <xf numFmtId="0" fontId="9" fillId="10" borderId="0" xfId="2" applyFont="1" applyFill="1" applyAlignment="1">
      <alignment horizontal="center"/>
    </xf>
    <xf numFmtId="4" fontId="9" fillId="2" borderId="0" xfId="2" applyNumberFormat="1" applyFont="1" applyFill="1"/>
    <xf numFmtId="2" fontId="43" fillId="2" borderId="44" xfId="8" applyNumberFormat="1" applyFont="1" applyFill="1" applyBorder="1" applyAlignment="1">
      <alignment horizontal="center" vertical="center" wrapText="1" readingOrder="2"/>
    </xf>
    <xf numFmtId="0" fontId="9" fillId="4" borderId="7" xfId="1" applyFont="1" applyFill="1" applyBorder="1" applyAlignment="1" applyProtection="1">
      <alignment horizontal="center" vertical="center" wrapText="1" readingOrder="2"/>
      <protection locked="0"/>
    </xf>
    <xf numFmtId="0" fontId="9" fillId="4" borderId="0" xfId="2" applyFont="1" applyFill="1" applyAlignment="1">
      <alignment horizontal="right" vertical="center" readingOrder="2"/>
    </xf>
    <xf numFmtId="2" fontId="43" fillId="2" borderId="44" xfId="8" applyNumberFormat="1" applyFont="1" applyFill="1" applyBorder="1" applyAlignment="1">
      <alignment horizontal="center" vertical="center" wrapText="1" readingOrder="2"/>
    </xf>
    <xf numFmtId="0" fontId="3" fillId="2" borderId="0" xfId="2" applyFont="1" applyFill="1" applyAlignment="1">
      <alignment horizontal="center"/>
    </xf>
    <xf numFmtId="0" fontId="10" fillId="4" borderId="7" xfId="1" applyFont="1" applyFill="1" applyBorder="1" applyAlignment="1" applyProtection="1">
      <alignment horizontal="center" vertical="center" wrapText="1" readingOrder="2"/>
      <protection locked="0"/>
    </xf>
    <xf numFmtId="0" fontId="10" fillId="4" borderId="7" xfId="1" applyFont="1" applyFill="1" applyBorder="1" applyAlignment="1" applyProtection="1">
      <alignment horizontal="center" vertical="center" readingOrder="2"/>
      <protection locked="0"/>
    </xf>
    <xf numFmtId="0" fontId="9" fillId="4" borderId="11" xfId="0" applyFont="1" applyFill="1" applyBorder="1" applyAlignment="1" applyProtection="1">
      <alignment vertical="center" wrapText="1" readingOrder="2"/>
      <protection locked="0"/>
    </xf>
    <xf numFmtId="0" fontId="9" fillId="4" borderId="6" xfId="1" applyFont="1" applyFill="1" applyBorder="1" applyAlignment="1" applyProtection="1">
      <alignment vertical="center" wrapText="1" readingOrder="2"/>
      <protection locked="0"/>
    </xf>
    <xf numFmtId="0" fontId="9" fillId="4" borderId="9" xfId="1" applyFont="1" applyFill="1" applyBorder="1" applyAlignment="1" applyProtection="1">
      <alignment vertical="center" wrapText="1" readingOrder="2"/>
      <protection locked="0"/>
    </xf>
    <xf numFmtId="0" fontId="9" fillId="4" borderId="8" xfId="0" applyFont="1" applyFill="1" applyBorder="1" applyAlignment="1" applyProtection="1">
      <alignment horizontal="center" vertical="center" wrapText="1" readingOrder="2"/>
      <protection locked="0"/>
    </xf>
    <xf numFmtId="1" fontId="9" fillId="4" borderId="0" xfId="2" applyNumberFormat="1" applyFont="1" applyFill="1" applyBorder="1" applyAlignment="1" applyProtection="1">
      <alignment horizontal="right" vertical="center" readingOrder="2"/>
      <protection locked="0"/>
    </xf>
    <xf numFmtId="2" fontId="73" fillId="2" borderId="74" xfId="8" applyNumberFormat="1" applyFont="1" applyFill="1" applyBorder="1" applyAlignment="1">
      <alignment vertical="center" readingOrder="2"/>
    </xf>
    <xf numFmtId="2" fontId="73" fillId="2" borderId="112" xfId="8" applyNumberFormat="1" applyFont="1" applyFill="1" applyBorder="1" applyAlignment="1">
      <alignment vertical="center" readingOrder="2"/>
    </xf>
    <xf numFmtId="2" fontId="73" fillId="2" borderId="75" xfId="8" applyNumberFormat="1" applyFont="1" applyFill="1" applyBorder="1" applyAlignment="1">
      <alignment vertical="center" readingOrder="2"/>
    </xf>
    <xf numFmtId="0" fontId="128" fillId="2" borderId="54" xfId="8" applyFont="1" applyFill="1" applyBorder="1" applyAlignment="1">
      <alignment horizontal="center" vertical="center"/>
    </xf>
    <xf numFmtId="0" fontId="91" fillId="2" borderId="54" xfId="8" applyFont="1" applyFill="1" applyBorder="1" applyAlignment="1">
      <alignment horizontal="center"/>
    </xf>
    <xf numFmtId="0" fontId="9" fillId="2" borderId="7" xfId="2" applyFont="1" applyFill="1" applyBorder="1" applyAlignment="1">
      <alignment horizontal="center" vertical="center" readingOrder="2"/>
    </xf>
    <xf numFmtId="1" fontId="10" fillId="4" borderId="0" xfId="2" applyNumberFormat="1" applyFont="1" applyFill="1" applyBorder="1" applyAlignment="1" applyProtection="1">
      <alignment horizontal="center" vertical="center" readingOrder="2"/>
      <protection locked="0"/>
    </xf>
    <xf numFmtId="0" fontId="10" fillId="4" borderId="11" xfId="0" applyFont="1" applyFill="1" applyBorder="1" applyAlignment="1" applyProtection="1">
      <alignment vertical="center" wrapText="1" readingOrder="2"/>
      <protection locked="0"/>
    </xf>
    <xf numFmtId="0" fontId="10" fillId="4" borderId="8" xfId="0" applyFont="1" applyFill="1" applyBorder="1" applyAlignment="1" applyProtection="1">
      <alignment horizontal="center" vertical="center" wrapText="1" readingOrder="2"/>
      <protection locked="0"/>
    </xf>
    <xf numFmtId="0" fontId="10" fillId="4" borderId="6" xfId="1" applyFont="1" applyFill="1" applyBorder="1" applyAlignment="1" applyProtection="1">
      <alignment vertical="center" wrapText="1" readingOrder="2"/>
      <protection locked="0"/>
    </xf>
    <xf numFmtId="0" fontId="10" fillId="4" borderId="9" xfId="1" applyFont="1" applyFill="1" applyBorder="1" applyAlignment="1" applyProtection="1">
      <alignment vertical="center" wrapText="1" readingOrder="2"/>
      <protection locked="0"/>
    </xf>
    <xf numFmtId="1" fontId="10" fillId="4" borderId="0" xfId="2" applyNumberFormat="1" applyFont="1" applyFill="1" applyAlignment="1" applyProtection="1">
      <alignment horizontal="right" vertical="center" readingOrder="2"/>
      <protection locked="0"/>
    </xf>
    <xf numFmtId="1" fontId="10" fillId="4" borderId="0" xfId="2" applyNumberFormat="1" applyFont="1" applyFill="1" applyAlignment="1" applyProtection="1">
      <alignment vertical="center" readingOrder="2"/>
      <protection locked="0"/>
    </xf>
    <xf numFmtId="1" fontId="10" fillId="4" borderId="0" xfId="2" applyNumberFormat="1" applyFont="1" applyFill="1" applyAlignment="1" applyProtection="1">
      <alignment readingOrder="2"/>
      <protection locked="0"/>
    </xf>
    <xf numFmtId="1" fontId="10" fillId="4" borderId="0" xfId="2" applyNumberFormat="1" applyFont="1" applyFill="1" applyAlignment="1">
      <alignment horizontal="center" vertical="center" readingOrder="2"/>
    </xf>
    <xf numFmtId="0" fontId="10" fillId="4" borderId="0" xfId="2" applyFont="1" applyFill="1" applyProtection="1">
      <protection locked="0"/>
    </xf>
    <xf numFmtId="0" fontId="10" fillId="4" borderId="0" xfId="2" applyFont="1" applyFill="1" applyAlignment="1">
      <alignment horizontal="right" vertical="center" readingOrder="2"/>
    </xf>
    <xf numFmtId="0" fontId="10" fillId="4" borderId="0" xfId="2" applyFont="1" applyFill="1" applyAlignment="1">
      <alignment readingOrder="2"/>
    </xf>
    <xf numFmtId="2" fontId="10" fillId="4" borderId="0" xfId="2" applyNumberFormat="1" applyFont="1" applyFill="1" applyBorder="1" applyAlignment="1">
      <alignment horizontal="center" vertical="center" readingOrder="2"/>
    </xf>
    <xf numFmtId="167" fontId="10" fillId="2" borderId="74" xfId="5" applyNumberFormat="1" applyFont="1" applyFill="1" applyBorder="1" applyAlignment="1">
      <alignment horizontal="center" vertical="center" wrapText="1" readingOrder="2"/>
    </xf>
    <xf numFmtId="167" fontId="10" fillId="2" borderId="75" xfId="5" applyNumberFormat="1" applyFont="1" applyFill="1" applyBorder="1" applyAlignment="1">
      <alignment horizontal="center" vertical="center" wrapText="1" readingOrder="2"/>
    </xf>
    <xf numFmtId="167" fontId="112" fillId="2" borderId="72" xfId="4" applyNumberFormat="1" applyFont="1" applyFill="1" applyBorder="1" applyAlignment="1">
      <alignment horizontal="center" vertical="center" readingOrder="2"/>
    </xf>
    <xf numFmtId="167" fontId="112" fillId="2" borderId="73" xfId="4" applyNumberFormat="1" applyFont="1" applyFill="1" applyBorder="1" applyAlignment="1">
      <alignment horizontal="center" vertical="center" readingOrder="2"/>
    </xf>
    <xf numFmtId="167" fontId="10" fillId="2" borderId="74" xfId="4" applyNumberFormat="1" applyFont="1" applyFill="1" applyBorder="1" applyAlignment="1">
      <alignment horizontal="center" vertical="center" wrapText="1" readingOrder="2"/>
    </xf>
    <xf numFmtId="167" fontId="10" fillId="2" borderId="75" xfId="4" applyNumberFormat="1" applyFont="1" applyFill="1" applyBorder="1" applyAlignment="1">
      <alignment horizontal="center" vertical="center" wrapText="1" readingOrder="2"/>
    </xf>
    <xf numFmtId="167" fontId="10" fillId="2" borderId="74" xfId="4" applyNumberFormat="1" applyFont="1" applyFill="1" applyBorder="1" applyAlignment="1">
      <alignment horizontal="center" vertical="center" textRotation="90" wrapText="1" readingOrder="2"/>
    </xf>
    <xf numFmtId="167" fontId="10" fillId="2" borderId="75" xfId="4" applyNumberFormat="1" applyFont="1" applyFill="1" applyBorder="1" applyAlignment="1">
      <alignment horizontal="center" vertical="center" textRotation="90" wrapText="1" readingOrder="2"/>
    </xf>
    <xf numFmtId="167" fontId="10" fillId="2" borderId="74" xfId="4" applyNumberFormat="1" applyFont="1" applyFill="1" applyBorder="1" applyAlignment="1">
      <alignment horizontal="center" vertical="center" readingOrder="2"/>
    </xf>
    <xf numFmtId="167" fontId="10" fillId="2" borderId="75" xfId="4" applyNumberFormat="1" applyFont="1" applyFill="1" applyBorder="1" applyAlignment="1">
      <alignment horizontal="center" vertical="center" readingOrder="2"/>
    </xf>
    <xf numFmtId="167" fontId="73" fillId="2" borderId="0" xfId="4" applyNumberFormat="1" applyFont="1" applyFill="1" applyBorder="1" applyAlignment="1">
      <alignment horizontal="center" vertical="center" readingOrder="2"/>
    </xf>
    <xf numFmtId="167" fontId="73" fillId="2" borderId="0" xfId="4" applyNumberFormat="1" applyFont="1" applyFill="1" applyAlignment="1">
      <alignment horizontal="center" vertical="center" readingOrder="2"/>
    </xf>
    <xf numFmtId="167" fontId="112" fillId="2" borderId="43" xfId="4" applyNumberFormat="1" applyFont="1" applyFill="1" applyBorder="1" applyAlignment="1">
      <alignment horizontal="center" vertical="center" readingOrder="2"/>
    </xf>
    <xf numFmtId="167" fontId="10" fillId="2" borderId="44" xfId="4" applyNumberFormat="1" applyFont="1" applyFill="1" applyBorder="1" applyAlignment="1">
      <alignment horizontal="center" vertical="center" wrapText="1" readingOrder="2"/>
    </xf>
    <xf numFmtId="167" fontId="10" fillId="2" borderId="44" xfId="4" applyNumberFormat="1" applyFont="1" applyFill="1" applyBorder="1" applyAlignment="1">
      <alignment horizontal="center" vertical="center" textRotation="90" wrapText="1" readingOrder="2"/>
    </xf>
    <xf numFmtId="167" fontId="73" fillId="2" borderId="44" xfId="4" applyNumberFormat="1" applyFont="1" applyFill="1" applyBorder="1" applyAlignment="1">
      <alignment horizontal="center" vertical="center" readingOrder="2"/>
    </xf>
    <xf numFmtId="167" fontId="112" fillId="2" borderId="51" xfId="4" applyNumberFormat="1" applyFont="1" applyFill="1" applyBorder="1" applyAlignment="1">
      <alignment horizontal="center" vertical="center" readingOrder="2"/>
    </xf>
    <xf numFmtId="167" fontId="10" fillId="2" borderId="52" xfId="4" applyNumberFormat="1" applyFont="1" applyFill="1" applyBorder="1" applyAlignment="1">
      <alignment horizontal="center" vertical="center" wrapText="1" readingOrder="2"/>
    </xf>
    <xf numFmtId="167" fontId="10" fillId="2" borderId="52" xfId="4" applyNumberFormat="1" applyFont="1" applyFill="1" applyBorder="1" applyAlignment="1">
      <alignment horizontal="center" vertical="center" textRotation="90" wrapText="1" readingOrder="2"/>
    </xf>
    <xf numFmtId="167" fontId="73" fillId="2" borderId="52" xfId="4" applyNumberFormat="1" applyFont="1" applyFill="1" applyBorder="1" applyAlignment="1">
      <alignment horizontal="center" vertical="center" readingOrder="2"/>
    </xf>
    <xf numFmtId="167" fontId="77" fillId="2" borderId="0" xfId="4" applyNumberFormat="1" applyFont="1" applyFill="1" applyAlignment="1">
      <alignment horizontal="center" vertical="center" readingOrder="2"/>
    </xf>
    <xf numFmtId="167" fontId="12" fillId="2" borderId="44" xfId="4" applyNumberFormat="1" applyFont="1" applyFill="1" applyBorder="1" applyAlignment="1">
      <alignment horizontal="center" vertical="center" textRotation="90" wrapText="1" readingOrder="2"/>
    </xf>
    <xf numFmtId="167" fontId="12" fillId="2" borderId="74" xfId="4" applyNumberFormat="1" applyFont="1" applyFill="1" applyBorder="1" applyAlignment="1">
      <alignment horizontal="center" vertical="center" textRotation="90" wrapText="1" readingOrder="2"/>
    </xf>
    <xf numFmtId="167" fontId="73" fillId="4" borderId="23" xfId="4" applyNumberFormat="1" applyFont="1" applyFill="1" applyBorder="1" applyAlignment="1">
      <alignment horizontal="center" vertical="center"/>
    </xf>
    <xf numFmtId="167" fontId="106" fillId="4" borderId="59" xfId="4" applyNumberFormat="1" applyFont="1" applyFill="1" applyBorder="1" applyAlignment="1">
      <alignment horizontal="center" vertical="center"/>
    </xf>
    <xf numFmtId="167" fontId="106" fillId="4" borderId="20" xfId="4" applyNumberFormat="1" applyFont="1" applyFill="1" applyBorder="1" applyAlignment="1">
      <alignment horizontal="center" vertical="center"/>
    </xf>
    <xf numFmtId="167" fontId="10" fillId="4" borderId="7" xfId="4" applyNumberFormat="1" applyFont="1" applyFill="1" applyBorder="1" applyAlignment="1">
      <alignment horizontal="center" vertical="center"/>
    </xf>
    <xf numFmtId="167" fontId="112" fillId="4" borderId="14" xfId="4" applyNumberFormat="1" applyFont="1" applyFill="1" applyBorder="1" applyAlignment="1">
      <alignment horizontal="center" vertical="center" wrapText="1"/>
    </xf>
    <xf numFmtId="167" fontId="112" fillId="4" borderId="15" xfId="4" applyNumberFormat="1" applyFont="1" applyFill="1" applyBorder="1" applyAlignment="1">
      <alignment horizontal="center" vertical="center" wrapText="1"/>
    </xf>
    <xf numFmtId="167" fontId="72" fillId="4" borderId="14" xfId="4" applyNumberFormat="1" applyFont="1" applyFill="1" applyBorder="1" applyAlignment="1">
      <alignment horizontal="center" vertical="center" wrapText="1"/>
    </xf>
    <xf numFmtId="167" fontId="72" fillId="4" borderId="15" xfId="4" applyNumberFormat="1" applyFont="1" applyFill="1" applyBorder="1" applyAlignment="1">
      <alignment horizontal="center" vertical="center" wrapText="1"/>
    </xf>
    <xf numFmtId="167" fontId="72" fillId="4" borderId="14" xfId="4" applyNumberFormat="1" applyFont="1" applyFill="1" applyBorder="1" applyAlignment="1">
      <alignment horizontal="center" vertical="center" textRotation="90" wrapText="1"/>
    </xf>
    <xf numFmtId="167" fontId="72" fillId="4" borderId="15" xfId="4" applyNumberFormat="1" applyFont="1" applyFill="1" applyBorder="1" applyAlignment="1">
      <alignment horizontal="center" vertical="center" textRotation="90" wrapText="1"/>
    </xf>
    <xf numFmtId="167" fontId="10" fillId="4" borderId="14" xfId="4" applyNumberFormat="1" applyFont="1" applyFill="1" applyBorder="1" applyAlignment="1">
      <alignment horizontal="center" vertical="center" textRotation="90" wrapText="1"/>
    </xf>
    <xf numFmtId="167" fontId="10" fillId="4" borderId="15" xfId="4" applyNumberFormat="1" applyFont="1" applyFill="1" applyBorder="1" applyAlignment="1">
      <alignment horizontal="center" vertical="center" textRotation="90" wrapText="1"/>
    </xf>
    <xf numFmtId="167" fontId="73" fillId="4" borderId="29" xfId="4" applyNumberFormat="1" applyFont="1" applyFill="1" applyBorder="1" applyAlignment="1">
      <alignment horizontal="center" vertical="center" textRotation="90" wrapText="1"/>
    </xf>
    <xf numFmtId="167" fontId="73" fillId="4" borderId="31" xfId="4" applyNumberFormat="1" applyFont="1" applyFill="1" applyBorder="1" applyAlignment="1">
      <alignment horizontal="center" vertical="center" textRotation="90" wrapText="1"/>
    </xf>
    <xf numFmtId="167" fontId="10" fillId="4" borderId="0" xfId="6" applyNumberFormat="1" applyFont="1" applyFill="1" applyAlignment="1">
      <alignment horizontal="center"/>
    </xf>
    <xf numFmtId="167" fontId="10" fillId="4" borderId="26" xfId="6" applyNumberFormat="1" applyFont="1" applyFill="1" applyBorder="1" applyAlignment="1">
      <alignment horizontal="center"/>
    </xf>
    <xf numFmtId="167" fontId="10" fillId="4" borderId="0" xfId="6" applyNumberFormat="1" applyFont="1" applyFill="1" applyAlignment="1">
      <alignment horizontal="center" vertical="center" wrapText="1"/>
    </xf>
    <xf numFmtId="167" fontId="73" fillId="4" borderId="0" xfId="6" applyNumberFormat="1" applyFont="1" applyFill="1" applyAlignment="1" applyProtection="1">
      <alignment horizontal="center" vertical="center"/>
      <protection locked="0"/>
    </xf>
    <xf numFmtId="167" fontId="73" fillId="4" borderId="0" xfId="6" applyNumberFormat="1" applyFont="1" applyFill="1" applyAlignment="1">
      <alignment horizontal="center" vertical="center"/>
    </xf>
    <xf numFmtId="167" fontId="10" fillId="4" borderId="26" xfId="6" applyNumberFormat="1" applyFont="1" applyFill="1" applyBorder="1" applyAlignment="1" applyProtection="1">
      <alignment horizontal="center" vertical="center" wrapText="1"/>
      <protection locked="0"/>
    </xf>
    <xf numFmtId="167" fontId="73" fillId="4" borderId="26" xfId="6" applyNumberFormat="1" applyFont="1" applyFill="1" applyBorder="1" applyAlignment="1" applyProtection="1">
      <alignment horizontal="center" vertical="top"/>
      <protection locked="0"/>
    </xf>
    <xf numFmtId="167" fontId="10" fillId="4" borderId="0" xfId="6" applyNumberFormat="1" applyFont="1" applyFill="1" applyAlignment="1">
      <alignment horizontal="center" vertical="center"/>
    </xf>
    <xf numFmtId="167" fontId="73" fillId="4" borderId="28" xfId="6" applyNumberFormat="1" applyFont="1" applyFill="1" applyBorder="1" applyAlignment="1" applyProtection="1">
      <alignment horizontal="center" vertical="center"/>
      <protection locked="0"/>
    </xf>
    <xf numFmtId="178" fontId="44" fillId="2" borderId="11" xfId="2" applyNumberFormat="1" applyFont="1" applyFill="1" applyBorder="1" applyAlignment="1" applyProtection="1">
      <alignment horizontal="center" vertical="center" readingOrder="2"/>
      <protection locked="0"/>
    </xf>
    <xf numFmtId="178" fontId="44" fillId="2" borderId="12" xfId="2" applyNumberFormat="1" applyFont="1" applyFill="1" applyBorder="1" applyAlignment="1" applyProtection="1">
      <alignment horizontal="center" vertical="center" readingOrder="2"/>
      <protection locked="0"/>
    </xf>
    <xf numFmtId="178" fontId="44" fillId="2" borderId="13" xfId="2" applyNumberFormat="1" applyFont="1" applyFill="1" applyBorder="1" applyAlignment="1" applyProtection="1">
      <alignment horizontal="center" vertical="center" readingOrder="2"/>
      <protection locked="0"/>
    </xf>
    <xf numFmtId="178" fontId="44" fillId="2" borderId="1" xfId="2" applyNumberFormat="1" applyFont="1" applyFill="1" applyBorder="1" applyAlignment="1" applyProtection="1">
      <alignment horizontal="center" vertical="center" readingOrder="2"/>
      <protection locked="0"/>
    </xf>
    <xf numFmtId="178" fontId="44" fillId="2" borderId="3" xfId="2" applyNumberFormat="1" applyFont="1" applyFill="1" applyBorder="1" applyAlignment="1" applyProtection="1">
      <alignment horizontal="center" vertical="center" readingOrder="2"/>
      <protection locked="0"/>
    </xf>
    <xf numFmtId="178" fontId="44" fillId="2" borderId="4" xfId="2" applyNumberFormat="1" applyFont="1" applyFill="1" applyBorder="1" applyAlignment="1" applyProtection="1">
      <alignment horizontal="center" vertical="center" readingOrder="2"/>
      <protection locked="0"/>
    </xf>
    <xf numFmtId="178" fontId="44" fillId="24" borderId="24" xfId="2" applyNumberFormat="1" applyFont="1" applyFill="1" applyBorder="1" applyAlignment="1" applyProtection="1">
      <alignment horizontal="center" vertical="center" readingOrder="2"/>
      <protection locked="0"/>
    </xf>
    <xf numFmtId="178" fontId="44" fillId="24" borderId="2" xfId="2" applyNumberFormat="1" applyFont="1" applyFill="1" applyBorder="1" applyAlignment="1" applyProtection="1">
      <alignment horizontal="center" vertical="center" readingOrder="2"/>
      <protection locked="0"/>
    </xf>
    <xf numFmtId="178" fontId="44" fillId="2" borderId="24" xfId="2" applyNumberFormat="1" applyFont="1" applyFill="1" applyBorder="1" applyAlignment="1" applyProtection="1">
      <alignment horizontal="center" vertical="center" readingOrder="2"/>
      <protection locked="0"/>
    </xf>
    <xf numFmtId="178" fontId="44" fillId="2" borderId="2" xfId="2" applyNumberFormat="1" applyFont="1" applyFill="1" applyBorder="1" applyAlignment="1" applyProtection="1">
      <alignment horizontal="center" vertical="center" readingOrder="2"/>
      <protection locked="0"/>
    </xf>
    <xf numFmtId="178" fontId="44" fillId="24" borderId="11" xfId="2" applyNumberFormat="1" applyFont="1" applyFill="1" applyBorder="1" applyAlignment="1" applyProtection="1">
      <alignment horizontal="center" vertical="center" readingOrder="2"/>
      <protection locked="0"/>
    </xf>
    <xf numFmtId="178" fontId="44" fillId="24" borderId="12" xfId="2" applyNumberFormat="1" applyFont="1" applyFill="1" applyBorder="1" applyAlignment="1" applyProtection="1">
      <alignment horizontal="center" vertical="center" readingOrder="2"/>
      <protection locked="0"/>
    </xf>
    <xf numFmtId="178" fontId="44" fillId="24" borderId="13" xfId="2" applyNumberFormat="1" applyFont="1" applyFill="1" applyBorder="1" applyAlignment="1" applyProtection="1">
      <alignment horizontal="center" vertical="center" readingOrder="2"/>
      <protection locked="0"/>
    </xf>
    <xf numFmtId="178" fontId="44" fillId="24" borderId="1" xfId="2" applyNumberFormat="1" applyFont="1" applyFill="1" applyBorder="1" applyAlignment="1" applyProtection="1">
      <alignment horizontal="center" vertical="center" readingOrder="2"/>
      <protection locked="0"/>
    </xf>
    <xf numFmtId="178" fontId="44" fillId="24" borderId="3" xfId="2" applyNumberFormat="1" applyFont="1" applyFill="1" applyBorder="1" applyAlignment="1" applyProtection="1">
      <alignment horizontal="center" vertical="center" readingOrder="2"/>
      <protection locked="0"/>
    </xf>
    <xf numFmtId="178" fontId="44" fillId="24" borderId="4" xfId="2" applyNumberFormat="1" applyFont="1" applyFill="1" applyBorder="1" applyAlignment="1" applyProtection="1">
      <alignment horizontal="center" vertical="center" readingOrder="2"/>
      <protection locked="0"/>
    </xf>
    <xf numFmtId="167" fontId="78" fillId="4" borderId="93" xfId="2" applyNumberFormat="1" applyFont="1" applyFill="1" applyBorder="1" applyAlignment="1" applyProtection="1">
      <alignment horizontal="center" vertical="center" readingOrder="2"/>
      <protection locked="0"/>
    </xf>
    <xf numFmtId="167" fontId="78" fillId="4" borderId="94" xfId="2" applyNumberFormat="1" applyFont="1" applyFill="1" applyBorder="1" applyAlignment="1" applyProtection="1">
      <alignment horizontal="center" vertical="center" readingOrder="2"/>
      <protection locked="0"/>
    </xf>
    <xf numFmtId="167" fontId="78" fillId="4" borderId="97" xfId="2" applyNumberFormat="1" applyFont="1" applyFill="1" applyBorder="1" applyAlignment="1" applyProtection="1">
      <alignment horizontal="center" vertical="center" readingOrder="2"/>
      <protection locked="0"/>
    </xf>
    <xf numFmtId="167" fontId="78" fillId="4" borderId="21" xfId="2" applyNumberFormat="1" applyFont="1" applyFill="1" applyBorder="1" applyAlignment="1" applyProtection="1">
      <alignment horizontal="center" vertical="center" readingOrder="2"/>
      <protection locked="0"/>
    </xf>
    <xf numFmtId="167" fontId="78" fillId="4" borderId="95" xfId="2" applyNumberFormat="1" applyFont="1" applyFill="1" applyBorder="1" applyAlignment="1" applyProtection="1">
      <alignment horizontal="center" vertical="center" readingOrder="2"/>
      <protection locked="0"/>
    </xf>
    <xf numFmtId="167" fontId="78" fillId="4" borderId="96" xfId="2" applyNumberFormat="1" applyFont="1" applyFill="1" applyBorder="1" applyAlignment="1" applyProtection="1">
      <alignment horizontal="center" vertical="center" readingOrder="2"/>
      <protection locked="0"/>
    </xf>
    <xf numFmtId="167" fontId="78" fillId="4" borderId="98" xfId="2" applyNumberFormat="1" applyFont="1" applyFill="1" applyBorder="1" applyAlignment="1" applyProtection="1">
      <alignment horizontal="center" vertical="center" readingOrder="2"/>
      <protection locked="0"/>
    </xf>
    <xf numFmtId="167" fontId="78" fillId="4" borderId="7" xfId="2" applyNumberFormat="1" applyFont="1" applyFill="1" applyBorder="1" applyAlignment="1" applyProtection="1">
      <alignment horizontal="center" vertical="center" readingOrder="2"/>
      <protection locked="0"/>
    </xf>
    <xf numFmtId="167" fontId="78" fillId="3" borderId="7" xfId="2" applyNumberFormat="1" applyFont="1" applyFill="1" applyBorder="1" applyAlignment="1" applyProtection="1">
      <alignment horizontal="center" vertical="center"/>
      <protection locked="0"/>
    </xf>
    <xf numFmtId="167" fontId="78" fillId="4" borderId="99" xfId="2" applyNumberFormat="1" applyFont="1" applyFill="1" applyBorder="1" applyAlignment="1" applyProtection="1">
      <alignment horizontal="center" vertical="center" readingOrder="2"/>
      <protection locked="0"/>
    </xf>
    <xf numFmtId="167" fontId="78" fillId="4" borderId="61" xfId="2" applyNumberFormat="1" applyFont="1" applyFill="1" applyBorder="1" applyAlignment="1" applyProtection="1">
      <alignment horizontal="center" vertical="center" readingOrder="2"/>
      <protection locked="0"/>
    </xf>
    <xf numFmtId="167" fontId="78" fillId="4" borderId="21" xfId="2" applyNumberFormat="1" applyFont="1" applyFill="1" applyBorder="1" applyAlignment="1" applyProtection="1">
      <alignment horizontal="center" vertical="center" wrapText="1" readingOrder="2"/>
      <protection locked="0"/>
    </xf>
    <xf numFmtId="167" fontId="78" fillId="4" borderId="98" xfId="2" applyNumberFormat="1" applyFont="1" applyFill="1" applyBorder="1" applyAlignment="1" applyProtection="1">
      <alignment horizontal="center" vertical="center" wrapText="1" readingOrder="2"/>
      <protection locked="0"/>
    </xf>
    <xf numFmtId="167" fontId="78" fillId="4" borderId="61" xfId="2" applyNumberFormat="1" applyFont="1" applyFill="1" applyBorder="1" applyAlignment="1" applyProtection="1">
      <alignment horizontal="center" vertical="center" wrapText="1" readingOrder="2"/>
      <protection locked="0"/>
    </xf>
    <xf numFmtId="167" fontId="78" fillId="4" borderId="100" xfId="2" applyNumberFormat="1" applyFont="1" applyFill="1" applyBorder="1" applyAlignment="1" applyProtection="1">
      <alignment horizontal="center" vertical="center" wrapText="1" readingOrder="2"/>
      <protection locked="0"/>
    </xf>
    <xf numFmtId="167" fontId="78" fillId="4" borderId="18" xfId="2" applyNumberFormat="1" applyFont="1" applyFill="1" applyBorder="1" applyAlignment="1" applyProtection="1">
      <alignment horizontal="center" vertical="center" wrapText="1" readingOrder="2"/>
      <protection locked="0"/>
    </xf>
    <xf numFmtId="167" fontId="78" fillId="4" borderId="101" xfId="0" applyNumberFormat="1" applyFont="1" applyFill="1" applyBorder="1" applyAlignment="1">
      <alignment horizontal="center" vertical="center" wrapText="1" readingOrder="2"/>
    </xf>
    <xf numFmtId="167" fontId="78" fillId="4" borderId="103" xfId="0" applyNumberFormat="1" applyFont="1" applyFill="1" applyBorder="1" applyAlignment="1">
      <alignment horizontal="center" vertical="center" wrapText="1" readingOrder="2"/>
    </xf>
    <xf numFmtId="167" fontId="78" fillId="4" borderId="19" xfId="0" applyNumberFormat="1" applyFont="1" applyFill="1" applyBorder="1" applyAlignment="1">
      <alignment horizontal="center" vertical="center" shrinkToFit="1" readingOrder="2"/>
    </xf>
    <xf numFmtId="167" fontId="78" fillId="4" borderId="18" xfId="0" applyNumberFormat="1" applyFont="1" applyFill="1" applyBorder="1" applyAlignment="1">
      <alignment horizontal="center" vertical="center" shrinkToFit="1" readingOrder="2"/>
    </xf>
    <xf numFmtId="167" fontId="78" fillId="4" borderId="19" xfId="0" applyNumberFormat="1" applyFont="1" applyFill="1" applyBorder="1" applyAlignment="1">
      <alignment horizontal="center" vertical="center" readingOrder="2"/>
    </xf>
    <xf numFmtId="167" fontId="78" fillId="4" borderId="18" xfId="0" applyNumberFormat="1" applyFont="1" applyFill="1" applyBorder="1" applyAlignment="1">
      <alignment horizontal="center" vertical="center" readingOrder="2"/>
    </xf>
    <xf numFmtId="167" fontId="78" fillId="4" borderId="19" xfId="0" applyNumberFormat="1" applyFont="1" applyFill="1" applyBorder="1" applyAlignment="1">
      <alignment horizontal="center" vertical="center" wrapText="1" readingOrder="2"/>
    </xf>
    <xf numFmtId="167" fontId="78" fillId="4" borderId="18" xfId="0" applyNumberFormat="1" applyFont="1" applyFill="1" applyBorder="1" applyAlignment="1">
      <alignment horizontal="center" vertical="center" wrapText="1" readingOrder="2"/>
    </xf>
    <xf numFmtId="167" fontId="78" fillId="4" borderId="62" xfId="0" applyNumberFormat="1" applyFont="1" applyFill="1" applyBorder="1" applyAlignment="1">
      <alignment horizontal="center" vertical="center" readingOrder="2"/>
    </xf>
    <xf numFmtId="167" fontId="78" fillId="4" borderId="60" xfId="0" applyNumberFormat="1" applyFont="1" applyFill="1" applyBorder="1" applyAlignment="1">
      <alignment horizontal="center" vertical="center" readingOrder="2"/>
    </xf>
    <xf numFmtId="167" fontId="78" fillId="4" borderId="63" xfId="0" applyNumberFormat="1" applyFont="1" applyFill="1" applyBorder="1" applyAlignment="1">
      <alignment horizontal="center" vertical="center" readingOrder="2"/>
    </xf>
    <xf numFmtId="167" fontId="78" fillId="4" borderId="64" xfId="0" applyNumberFormat="1" applyFont="1" applyFill="1" applyBorder="1" applyAlignment="1">
      <alignment horizontal="center" vertical="center" readingOrder="2"/>
    </xf>
    <xf numFmtId="168" fontId="78" fillId="4" borderId="19" xfId="0" applyNumberFormat="1" applyFont="1" applyFill="1" applyBorder="1" applyAlignment="1">
      <alignment horizontal="center" vertical="center" wrapText="1" readingOrder="2"/>
    </xf>
    <xf numFmtId="168" fontId="78" fillId="4" borderId="18" xfId="0" applyNumberFormat="1" applyFont="1" applyFill="1" applyBorder="1" applyAlignment="1">
      <alignment horizontal="center" vertical="center" wrapText="1" readingOrder="2"/>
    </xf>
    <xf numFmtId="4" fontId="78" fillId="4" borderId="19" xfId="0" applyNumberFormat="1" applyFont="1" applyFill="1" applyBorder="1" applyAlignment="1">
      <alignment horizontal="center" vertical="center" wrapText="1" readingOrder="2"/>
    </xf>
    <xf numFmtId="4" fontId="78" fillId="4" borderId="18" xfId="0" applyNumberFormat="1" applyFont="1" applyFill="1" applyBorder="1" applyAlignment="1">
      <alignment horizontal="center" vertical="center" wrapText="1" readingOrder="2"/>
    </xf>
    <xf numFmtId="167" fontId="77" fillId="2" borderId="14" xfId="0" applyNumberFormat="1" applyFont="1" applyFill="1" applyBorder="1" applyAlignment="1">
      <alignment horizontal="center" vertical="center" wrapText="1" readingOrder="2"/>
    </xf>
    <xf numFmtId="167" fontId="44" fillId="2" borderId="14" xfId="0" applyNumberFormat="1" applyFont="1" applyFill="1" applyBorder="1" applyAlignment="1">
      <alignment horizontal="center" vertical="center" readingOrder="2"/>
    </xf>
    <xf numFmtId="167" fontId="44" fillId="2" borderId="14" xfId="0" applyNumberFormat="1" applyFont="1" applyFill="1" applyBorder="1" applyAlignment="1">
      <alignment horizontal="center" vertical="center" wrapText="1" readingOrder="2"/>
    </xf>
    <xf numFmtId="167" fontId="77" fillId="24" borderId="14" xfId="0" applyNumberFormat="1" applyFont="1" applyFill="1" applyBorder="1" applyAlignment="1">
      <alignment horizontal="center" vertical="center" wrapText="1" readingOrder="2"/>
    </xf>
    <xf numFmtId="167" fontId="44" fillId="24" borderId="14" xfId="0" applyNumberFormat="1" applyFont="1" applyFill="1" applyBorder="1" applyAlignment="1">
      <alignment horizontal="center" vertical="center" readingOrder="2"/>
    </xf>
    <xf numFmtId="167" fontId="78" fillId="4" borderId="102" xfId="0" applyNumberFormat="1" applyFont="1" applyFill="1" applyBorder="1" applyAlignment="1">
      <alignment horizontal="center" vertical="center" readingOrder="2"/>
    </xf>
    <xf numFmtId="167" fontId="78" fillId="4" borderId="104" xfId="0" applyNumberFormat="1" applyFont="1" applyFill="1" applyBorder="1" applyAlignment="1">
      <alignment horizontal="center" vertical="center" readingOrder="2"/>
    </xf>
    <xf numFmtId="167" fontId="44" fillId="2" borderId="78" xfId="2" applyNumberFormat="1" applyFont="1" applyFill="1" applyBorder="1" applyAlignment="1" applyProtection="1">
      <alignment horizontal="center" vertical="center" wrapText="1" readingOrder="2"/>
      <protection locked="0"/>
    </xf>
    <xf numFmtId="167" fontId="44" fillId="2" borderId="14" xfId="2" applyNumberFormat="1" applyFont="1" applyFill="1" applyBorder="1" applyAlignment="1" applyProtection="1">
      <alignment horizontal="center" vertical="center" shrinkToFit="1" readingOrder="2"/>
      <protection locked="0"/>
    </xf>
    <xf numFmtId="167" fontId="44" fillId="2" borderId="14" xfId="2" applyNumberFormat="1" applyFont="1" applyFill="1" applyBorder="1" applyAlignment="1" applyProtection="1">
      <alignment horizontal="center" vertical="center" readingOrder="2"/>
      <protection locked="0"/>
    </xf>
    <xf numFmtId="167" fontId="44" fillId="2" borderId="14" xfId="2" applyNumberFormat="1" applyFont="1" applyFill="1" applyBorder="1" applyAlignment="1">
      <alignment horizontal="center" vertical="center" readingOrder="2"/>
    </xf>
    <xf numFmtId="167" fontId="44" fillId="24" borderId="78" xfId="2" applyNumberFormat="1" applyFont="1" applyFill="1" applyBorder="1" applyAlignment="1" applyProtection="1">
      <alignment horizontal="center" vertical="center" wrapText="1" readingOrder="2"/>
      <protection locked="0"/>
    </xf>
    <xf numFmtId="167" fontId="44" fillId="24" borderId="14" xfId="2" applyNumberFormat="1" applyFont="1" applyFill="1" applyBorder="1" applyAlignment="1" applyProtection="1">
      <alignment horizontal="center" vertical="center" shrinkToFit="1" readingOrder="2"/>
      <protection locked="0"/>
    </xf>
    <xf numFmtId="167" fontId="44" fillId="24" borderId="14" xfId="2" applyNumberFormat="1" applyFont="1" applyFill="1" applyBorder="1" applyAlignment="1" applyProtection="1">
      <alignment horizontal="center" vertical="center" readingOrder="2"/>
      <protection locked="0"/>
    </xf>
    <xf numFmtId="167" fontId="44" fillId="24" borderId="14" xfId="2" applyNumberFormat="1" applyFont="1" applyFill="1" applyBorder="1" applyAlignment="1">
      <alignment horizontal="center" vertical="center" readingOrder="2"/>
    </xf>
    <xf numFmtId="167" fontId="77" fillId="2" borderId="22" xfId="2" applyNumberFormat="1" applyFont="1" applyFill="1" applyBorder="1" applyAlignment="1" applyProtection="1">
      <alignment horizontal="center" vertical="center" wrapText="1" shrinkToFit="1" readingOrder="2"/>
      <protection locked="0"/>
    </xf>
    <xf numFmtId="167" fontId="77" fillId="2" borderId="27" xfId="2" applyNumberFormat="1" applyFont="1" applyFill="1" applyBorder="1" applyAlignment="1" applyProtection="1">
      <alignment horizontal="center" vertical="center" wrapText="1" shrinkToFit="1" readingOrder="2"/>
      <protection locked="0"/>
    </xf>
    <xf numFmtId="167" fontId="44" fillId="2" borderId="22" xfId="2" applyNumberFormat="1" applyFont="1" applyFill="1" applyBorder="1" applyAlignment="1" applyProtection="1">
      <alignment horizontal="center" vertical="center" readingOrder="2"/>
      <protection locked="0"/>
    </xf>
    <xf numFmtId="167" fontId="44" fillId="2" borderId="27" xfId="2" applyNumberFormat="1" applyFont="1" applyFill="1" applyBorder="1" applyAlignment="1" applyProtection="1">
      <alignment horizontal="center" vertical="center" readingOrder="2"/>
      <protection locked="0"/>
    </xf>
    <xf numFmtId="167" fontId="44" fillId="24" borderId="79" xfId="2" applyNumberFormat="1" applyFont="1" applyFill="1" applyBorder="1" applyAlignment="1" applyProtection="1">
      <alignment horizontal="center" vertical="center" wrapText="1" readingOrder="2"/>
      <protection locked="0"/>
    </xf>
    <xf numFmtId="167" fontId="44" fillId="24" borderId="106" xfId="2" applyNumberFormat="1" applyFont="1" applyFill="1" applyBorder="1" applyAlignment="1" applyProtection="1">
      <alignment horizontal="center" vertical="center" wrapText="1" readingOrder="2"/>
      <protection locked="0"/>
    </xf>
    <xf numFmtId="167" fontId="77" fillId="24" borderId="59" xfId="2" applyNumberFormat="1" applyFont="1" applyFill="1" applyBorder="1" applyAlignment="1" applyProtection="1">
      <alignment horizontal="center" vertical="center" wrapText="1" shrinkToFit="1" readingOrder="2"/>
      <protection locked="0"/>
    </xf>
    <xf numFmtId="167" fontId="77" fillId="24" borderId="29" xfId="2" applyNumberFormat="1" applyFont="1" applyFill="1" applyBorder="1" applyAlignment="1" applyProtection="1">
      <alignment horizontal="center" vertical="center" wrapText="1" shrinkToFit="1" readingOrder="2"/>
      <protection locked="0"/>
    </xf>
    <xf numFmtId="167" fontId="77" fillId="24" borderId="25" xfId="2" applyNumberFormat="1" applyFont="1" applyFill="1" applyBorder="1" applyAlignment="1" applyProtection="1">
      <alignment horizontal="center" vertical="center" wrapText="1" shrinkToFit="1" readingOrder="2"/>
      <protection locked="0"/>
    </xf>
    <xf numFmtId="167" fontId="77" fillId="24" borderId="30" xfId="2" applyNumberFormat="1" applyFont="1" applyFill="1" applyBorder="1" applyAlignment="1" applyProtection="1">
      <alignment horizontal="center" vertical="center" wrapText="1" shrinkToFit="1" readingOrder="2"/>
      <protection locked="0"/>
    </xf>
    <xf numFmtId="167" fontId="44" fillId="24" borderId="15" xfId="0" applyNumberFormat="1" applyFont="1" applyFill="1" applyBorder="1" applyAlignment="1">
      <alignment horizontal="center" vertical="center" readingOrder="2"/>
    </xf>
    <xf numFmtId="167" fontId="44" fillId="24" borderId="17" xfId="0" applyNumberFormat="1" applyFont="1" applyFill="1" applyBorder="1" applyAlignment="1">
      <alignment horizontal="center" vertical="center" readingOrder="2"/>
    </xf>
    <xf numFmtId="167" fontId="44" fillId="24" borderId="15" xfId="2" applyNumberFormat="1" applyFont="1" applyFill="1" applyBorder="1" applyAlignment="1" applyProtection="1">
      <alignment horizontal="center" vertical="center" readingOrder="2"/>
      <protection locked="0"/>
    </xf>
    <xf numFmtId="167" fontId="44" fillId="24" borderId="17" xfId="2" applyNumberFormat="1" applyFont="1" applyFill="1" applyBorder="1" applyAlignment="1" applyProtection="1">
      <alignment horizontal="center" vertical="center" readingOrder="2"/>
      <protection locked="0"/>
    </xf>
    <xf numFmtId="167" fontId="44" fillId="24" borderId="15" xfId="0" applyNumberFormat="1" applyFont="1" applyFill="1" applyBorder="1" applyAlignment="1">
      <alignment horizontal="center" vertical="center" wrapText="1" readingOrder="2"/>
    </xf>
    <xf numFmtId="167" fontId="44" fillId="24" borderId="17" xfId="0" applyNumberFormat="1" applyFont="1" applyFill="1" applyBorder="1" applyAlignment="1">
      <alignment horizontal="center" vertical="center" wrapText="1" readingOrder="2"/>
    </xf>
    <xf numFmtId="167" fontId="44" fillId="24" borderId="59" xfId="2" applyNumberFormat="1" applyFont="1" applyFill="1" applyBorder="1" applyAlignment="1" applyProtection="1">
      <alignment horizontal="center" vertical="center" readingOrder="2"/>
      <protection locked="0"/>
    </xf>
    <xf numFmtId="167" fontId="44" fillId="24" borderId="29" xfId="2" applyNumberFormat="1" applyFont="1" applyFill="1" applyBorder="1" applyAlignment="1" applyProtection="1">
      <alignment horizontal="center" vertical="center" readingOrder="2"/>
      <protection locked="0"/>
    </xf>
    <xf numFmtId="167" fontId="44" fillId="24" borderId="25" xfId="2" applyNumberFormat="1" applyFont="1" applyFill="1" applyBorder="1" applyAlignment="1" applyProtection="1">
      <alignment horizontal="center" vertical="center" readingOrder="2"/>
      <protection locked="0"/>
    </xf>
    <xf numFmtId="167" fontId="44" fillId="24" borderId="30" xfId="2" applyNumberFormat="1" applyFont="1" applyFill="1" applyBorder="1" applyAlignment="1" applyProtection="1">
      <alignment horizontal="center" vertical="center" readingOrder="2"/>
      <protection locked="0"/>
    </xf>
    <xf numFmtId="0" fontId="44" fillId="17" borderId="84" xfId="1" applyFont="1" applyFill="1" applyBorder="1" applyAlignment="1" applyProtection="1">
      <alignment horizontal="center" vertical="center" shrinkToFit="1" readingOrder="2"/>
      <protection locked="0"/>
    </xf>
    <xf numFmtId="0" fontId="44" fillId="17" borderId="12" xfId="1" applyFont="1" applyFill="1" applyBorder="1" applyAlignment="1" applyProtection="1">
      <alignment horizontal="center" vertical="center" shrinkToFit="1" readingOrder="2"/>
      <protection locked="0"/>
    </xf>
    <xf numFmtId="0" fontId="44" fillId="17" borderId="37" xfId="1" applyFont="1" applyFill="1" applyBorder="1" applyAlignment="1" applyProtection="1">
      <alignment horizontal="center" vertical="center" shrinkToFit="1" readingOrder="2"/>
      <protection locked="0"/>
    </xf>
    <xf numFmtId="0" fontId="44" fillId="17" borderId="85" xfId="1" applyFont="1" applyFill="1" applyBorder="1" applyAlignment="1" applyProtection="1">
      <alignment horizontal="center" vertical="center" shrinkToFit="1" readingOrder="2"/>
      <protection locked="0"/>
    </xf>
    <xf numFmtId="0" fontId="44" fillId="17" borderId="3" xfId="1" applyFont="1" applyFill="1" applyBorder="1" applyAlignment="1" applyProtection="1">
      <alignment horizontal="center" vertical="center" shrinkToFit="1" readingOrder="2"/>
      <protection locked="0"/>
    </xf>
    <xf numFmtId="0" fontId="44" fillId="17" borderId="38" xfId="1" applyFont="1" applyFill="1" applyBorder="1" applyAlignment="1" applyProtection="1">
      <alignment horizontal="center" vertical="center" shrinkToFit="1" readingOrder="2"/>
      <protection locked="0"/>
    </xf>
    <xf numFmtId="0" fontId="44" fillId="17" borderId="7" xfId="1" applyFont="1" applyFill="1" applyBorder="1" applyAlignment="1" applyProtection="1">
      <alignment horizontal="center" vertical="center" wrapText="1" readingOrder="2"/>
      <protection locked="0"/>
    </xf>
    <xf numFmtId="0" fontId="44" fillId="17" borderId="35" xfId="0" applyFont="1" applyFill="1" applyBorder="1" applyAlignment="1" applyProtection="1">
      <alignment horizontal="center" vertical="center" readingOrder="2"/>
      <protection locked="0"/>
    </xf>
    <xf numFmtId="0" fontId="44" fillId="17" borderId="12" xfId="0" applyFont="1" applyFill="1" applyBorder="1" applyAlignment="1" applyProtection="1">
      <alignment horizontal="center" vertical="center" readingOrder="2"/>
      <protection locked="0"/>
    </xf>
    <xf numFmtId="0" fontId="44" fillId="17" borderId="13" xfId="0" applyFont="1" applyFill="1" applyBorder="1" applyAlignment="1" applyProtection="1">
      <alignment horizontal="center" vertical="center" readingOrder="2"/>
      <protection locked="0"/>
    </xf>
    <xf numFmtId="0" fontId="44" fillId="17" borderId="33" xfId="0" applyFont="1" applyFill="1" applyBorder="1" applyAlignment="1" applyProtection="1">
      <alignment horizontal="center" vertical="center" readingOrder="2"/>
      <protection locked="0"/>
    </xf>
    <xf numFmtId="0" fontId="44" fillId="17" borderId="3" xfId="0" applyFont="1" applyFill="1" applyBorder="1" applyAlignment="1" applyProtection="1">
      <alignment horizontal="center" vertical="center" readingOrder="2"/>
      <protection locked="0"/>
    </xf>
    <xf numFmtId="0" fontId="44" fillId="17" borderId="4" xfId="0" applyFont="1" applyFill="1" applyBorder="1" applyAlignment="1" applyProtection="1">
      <alignment horizontal="center" vertical="center" readingOrder="2"/>
      <protection locked="0"/>
    </xf>
    <xf numFmtId="0" fontId="44" fillId="17" borderId="11" xfId="1" applyFont="1" applyFill="1" applyBorder="1" applyAlignment="1" applyProtection="1">
      <alignment horizontal="center" vertical="center" wrapText="1" readingOrder="2"/>
      <protection locked="0"/>
    </xf>
    <xf numFmtId="0" fontId="44" fillId="17" borderId="129" xfId="1" applyFont="1" applyFill="1" applyBorder="1" applyAlignment="1" applyProtection="1">
      <alignment horizontal="center" vertical="center" wrapText="1" readingOrder="2"/>
      <protection locked="0"/>
    </xf>
    <xf numFmtId="0" fontId="44" fillId="17" borderId="1" xfId="1" applyFont="1" applyFill="1" applyBorder="1" applyAlignment="1" applyProtection="1">
      <alignment horizontal="center" vertical="center" wrapText="1" readingOrder="2"/>
      <protection locked="0"/>
    </xf>
    <xf numFmtId="0" fontId="44" fillId="17" borderId="120" xfId="1" applyFont="1" applyFill="1" applyBorder="1" applyAlignment="1" applyProtection="1">
      <alignment horizontal="center" vertical="center" wrapText="1" readingOrder="2"/>
      <protection locked="0"/>
    </xf>
    <xf numFmtId="167" fontId="44" fillId="4" borderId="103" xfId="2" applyNumberFormat="1" applyFont="1" applyFill="1" applyBorder="1" applyAlignment="1" applyProtection="1">
      <alignment horizontal="center" vertical="center" wrapText="1" readingOrder="2"/>
      <protection locked="0"/>
    </xf>
    <xf numFmtId="167" fontId="44" fillId="4" borderId="18" xfId="2" applyNumberFormat="1" applyFont="1" applyFill="1" applyBorder="1" applyAlignment="1" applyProtection="1">
      <alignment horizontal="center" vertical="center" wrapText="1" readingOrder="2"/>
      <protection locked="0"/>
    </xf>
    <xf numFmtId="0" fontId="44" fillId="17" borderId="81" xfId="2" applyFont="1" applyFill="1" applyBorder="1" applyAlignment="1">
      <alignment horizontal="justify" vertical="center" readingOrder="2"/>
    </xf>
    <xf numFmtId="0" fontId="44" fillId="17" borderId="0" xfId="2" applyFont="1" applyFill="1" applyBorder="1" applyAlignment="1">
      <alignment horizontal="justify" vertical="center" readingOrder="2"/>
    </xf>
    <xf numFmtId="0" fontId="44" fillId="17" borderId="0" xfId="2" applyFont="1" applyFill="1" applyBorder="1" applyAlignment="1">
      <alignment horizontal="right" vertical="center" readingOrder="2"/>
    </xf>
    <xf numFmtId="0" fontId="44" fillId="17" borderId="69" xfId="2" applyFont="1" applyFill="1" applyBorder="1" applyAlignment="1">
      <alignment horizontal="right" vertical="center" readingOrder="2"/>
    </xf>
    <xf numFmtId="0" fontId="44" fillId="17" borderId="105" xfId="1" applyFont="1" applyFill="1" applyBorder="1" applyAlignment="1" applyProtection="1">
      <alignment horizontal="center" vertical="center" wrapText="1" readingOrder="2"/>
      <protection locked="0"/>
    </xf>
    <xf numFmtId="0" fontId="44" fillId="17" borderId="6" xfId="1" applyFont="1" applyFill="1" applyBorder="1" applyAlignment="1" applyProtection="1">
      <alignment horizontal="center" vertical="center" wrapText="1" readingOrder="2"/>
      <protection locked="0"/>
    </xf>
    <xf numFmtId="0" fontId="44" fillId="17" borderId="5" xfId="1" applyFont="1" applyFill="1" applyBorder="1" applyAlignment="1" applyProtection="1">
      <alignment horizontal="center" vertical="center" wrapText="1" readingOrder="2"/>
      <protection locked="0"/>
    </xf>
    <xf numFmtId="0" fontId="44" fillId="17" borderId="8" xfId="1" applyFont="1" applyFill="1" applyBorder="1" applyAlignment="1" applyProtection="1">
      <alignment horizontal="center" vertical="center" wrapText="1" readingOrder="2"/>
      <protection locked="0"/>
    </xf>
    <xf numFmtId="0" fontId="44" fillId="17" borderId="36" xfId="1" applyFont="1" applyFill="1" applyBorder="1" applyAlignment="1" applyProtection="1">
      <alignment horizontal="center" vertical="center" wrapText="1" readingOrder="2"/>
      <protection locked="0"/>
    </xf>
    <xf numFmtId="0" fontId="44" fillId="17" borderId="10" xfId="1" applyFont="1" applyFill="1" applyBorder="1" applyAlignment="1" applyProtection="1">
      <alignment horizontal="center" vertical="center" wrapText="1" readingOrder="2"/>
      <protection locked="0"/>
    </xf>
    <xf numFmtId="0" fontId="44" fillId="17" borderId="83" xfId="1" applyFont="1" applyFill="1" applyBorder="1" applyAlignment="1" applyProtection="1">
      <alignment horizontal="center" vertical="center" wrapText="1" readingOrder="2"/>
      <protection locked="0"/>
    </xf>
    <xf numFmtId="167" fontId="44" fillId="4" borderId="76" xfId="2" applyNumberFormat="1" applyFont="1" applyFill="1" applyBorder="1" applyAlignment="1" applyProtection="1">
      <alignment horizontal="center" vertical="center" wrapText="1" readingOrder="2"/>
      <protection locked="0"/>
    </xf>
    <xf numFmtId="167" fontId="44" fillId="4" borderId="77" xfId="2" applyNumberFormat="1" applyFont="1" applyFill="1" applyBorder="1" applyAlignment="1" applyProtection="1">
      <alignment horizontal="center" vertical="center" wrapText="1" readingOrder="2"/>
      <protection locked="0"/>
    </xf>
    <xf numFmtId="1" fontId="44" fillId="17" borderId="128" xfId="2" applyNumberFormat="1" applyFont="1" applyFill="1" applyBorder="1" applyAlignment="1" applyProtection="1">
      <alignment horizontal="left" vertical="center" readingOrder="2"/>
      <protection locked="0"/>
    </xf>
    <xf numFmtId="1" fontId="44" fillId="17" borderId="130" xfId="2" applyNumberFormat="1" applyFont="1" applyFill="1" applyBorder="1" applyAlignment="1">
      <alignment horizontal="center" vertical="center"/>
    </xf>
    <xf numFmtId="1" fontId="44" fillId="17" borderId="131" xfId="2" applyNumberFormat="1" applyFont="1" applyFill="1" applyBorder="1" applyAlignment="1">
      <alignment horizontal="center" vertical="center"/>
    </xf>
    <xf numFmtId="1" fontId="44" fillId="17" borderId="132" xfId="2" applyNumberFormat="1" applyFont="1" applyFill="1" applyBorder="1" applyAlignment="1">
      <alignment horizontal="center" vertical="center"/>
    </xf>
    <xf numFmtId="1" fontId="44" fillId="17" borderId="6" xfId="2" applyNumberFormat="1" applyFont="1" applyFill="1" applyBorder="1" applyAlignment="1" applyProtection="1">
      <alignment horizontal="center" vertical="center" readingOrder="2"/>
      <protection locked="0"/>
    </xf>
    <xf numFmtId="1" fontId="44" fillId="17" borderId="8" xfId="2" applyNumberFormat="1" applyFont="1" applyFill="1" applyBorder="1" applyAlignment="1" applyProtection="1">
      <alignment horizontal="center" vertical="center" readingOrder="2"/>
      <protection locked="0"/>
    </xf>
    <xf numFmtId="1" fontId="44" fillId="17" borderId="9" xfId="2" applyNumberFormat="1" applyFont="1" applyFill="1" applyBorder="1" applyAlignment="1" applyProtection="1">
      <alignment horizontal="center" vertical="center" readingOrder="2"/>
      <protection locked="0"/>
    </xf>
    <xf numFmtId="0" fontId="44" fillId="17" borderId="43" xfId="2" applyFont="1" applyFill="1" applyBorder="1" applyAlignment="1">
      <alignment horizontal="center" vertical="center" wrapText="1" readingOrder="2"/>
    </xf>
    <xf numFmtId="0" fontId="44" fillId="17" borderId="44" xfId="2" applyFont="1" applyFill="1" applyBorder="1" applyAlignment="1">
      <alignment horizontal="center" vertical="center" wrapText="1" readingOrder="2"/>
    </xf>
    <xf numFmtId="0" fontId="44" fillId="17" borderId="45" xfId="2" applyFont="1" applyFill="1" applyBorder="1" applyAlignment="1">
      <alignment horizontal="center" vertical="center" wrapText="1" readingOrder="2"/>
    </xf>
    <xf numFmtId="1" fontId="44" fillId="17" borderId="65" xfId="2" applyNumberFormat="1" applyFont="1" applyFill="1" applyBorder="1" applyAlignment="1" applyProtection="1">
      <alignment horizontal="right" vertical="center" wrapText="1" readingOrder="2"/>
      <protection locked="0"/>
    </xf>
    <xf numFmtId="1" fontId="44" fillId="17" borderId="54" xfId="2" applyNumberFormat="1" applyFont="1" applyFill="1" applyBorder="1" applyAlignment="1" applyProtection="1">
      <alignment horizontal="right" vertical="center" wrapText="1" readingOrder="2"/>
      <protection locked="0"/>
    </xf>
    <xf numFmtId="1" fontId="44" fillId="17" borderId="66" xfId="2" applyNumberFormat="1" applyFont="1" applyFill="1" applyBorder="1" applyAlignment="1" applyProtection="1">
      <alignment horizontal="right" vertical="center" wrapText="1" readingOrder="2"/>
      <protection locked="0"/>
    </xf>
    <xf numFmtId="1" fontId="44" fillId="17" borderId="67" xfId="2" applyNumberFormat="1" applyFont="1" applyFill="1" applyBorder="1" applyAlignment="1" applyProtection="1">
      <alignment horizontal="right" vertical="center" wrapText="1" readingOrder="2"/>
      <protection locked="0"/>
    </xf>
    <xf numFmtId="1" fontId="44" fillId="17" borderId="68" xfId="2" applyNumberFormat="1" applyFont="1" applyFill="1" applyBorder="1" applyAlignment="1" applyProtection="1">
      <alignment horizontal="right" vertical="center" wrapText="1" readingOrder="2"/>
      <protection locked="0"/>
    </xf>
    <xf numFmtId="1" fontId="44" fillId="17" borderId="0" xfId="2" applyNumberFormat="1" applyFont="1" applyFill="1" applyBorder="1" applyAlignment="1" applyProtection="1">
      <alignment horizontal="right" vertical="center" wrapText="1" readingOrder="2"/>
      <protection locked="0"/>
    </xf>
    <xf numFmtId="1" fontId="44" fillId="17" borderId="69" xfId="2" applyNumberFormat="1" applyFont="1" applyFill="1" applyBorder="1" applyAlignment="1" applyProtection="1">
      <alignment horizontal="right" vertical="center" wrapText="1" readingOrder="2"/>
      <protection locked="0"/>
    </xf>
    <xf numFmtId="0" fontId="44" fillId="17" borderId="82" xfId="1" applyFont="1" applyFill="1" applyBorder="1" applyAlignment="1" applyProtection="1">
      <alignment horizontal="center" vertical="center" shrinkToFit="1" readingOrder="2"/>
      <protection locked="0"/>
    </xf>
    <xf numFmtId="0" fontId="44" fillId="17" borderId="8" xfId="1" applyFont="1" applyFill="1" applyBorder="1" applyAlignment="1" applyProtection="1">
      <alignment horizontal="center" vertical="center" shrinkToFit="1" readingOrder="2"/>
      <protection locked="0"/>
    </xf>
    <xf numFmtId="0" fontId="44" fillId="17" borderId="36" xfId="1" applyFont="1" applyFill="1" applyBorder="1" applyAlignment="1" applyProtection="1">
      <alignment horizontal="center" vertical="center" shrinkToFit="1" readingOrder="2"/>
      <protection locked="0"/>
    </xf>
    <xf numFmtId="0" fontId="44" fillId="17" borderId="7" xfId="1" applyFont="1" applyFill="1" applyBorder="1" applyAlignment="1" applyProtection="1">
      <alignment horizontal="right" vertical="center" wrapText="1" readingOrder="2"/>
      <protection locked="0"/>
    </xf>
    <xf numFmtId="0" fontId="44" fillId="17" borderId="5" xfId="2" applyFont="1" applyFill="1" applyBorder="1" applyAlignment="1" applyProtection="1">
      <alignment vertical="center"/>
      <protection locked="0"/>
    </xf>
    <xf numFmtId="0" fontId="44" fillId="17" borderId="8" xfId="2" applyFont="1" applyFill="1" applyBorder="1" applyAlignment="1" applyProtection="1">
      <alignment vertical="center"/>
      <protection locked="0"/>
    </xf>
    <xf numFmtId="0" fontId="44" fillId="17" borderId="9" xfId="2" applyFont="1" applyFill="1" applyBorder="1" applyAlignment="1" applyProtection="1">
      <alignment vertical="center"/>
      <protection locked="0"/>
    </xf>
    <xf numFmtId="0" fontId="44" fillId="17" borderId="86" xfId="1" applyFont="1" applyFill="1" applyBorder="1" applyAlignment="1" applyProtection="1">
      <alignment horizontal="center" vertical="center" wrapText="1" readingOrder="2"/>
      <protection locked="0"/>
    </xf>
    <xf numFmtId="1" fontId="44" fillId="17" borderId="84" xfId="2" applyNumberFormat="1" applyFont="1" applyFill="1" applyBorder="1" applyAlignment="1" applyProtection="1">
      <alignment vertical="center" readingOrder="2"/>
      <protection locked="0"/>
    </xf>
    <xf numFmtId="1" fontId="44" fillId="17" borderId="12" xfId="2" applyNumberFormat="1" applyFont="1" applyFill="1" applyBorder="1" applyAlignment="1" applyProtection="1">
      <alignment vertical="center" readingOrder="2"/>
      <protection locked="0"/>
    </xf>
    <xf numFmtId="167" fontId="44" fillId="2" borderId="87" xfId="2" applyNumberFormat="1" applyFont="1" applyFill="1" applyBorder="1" applyAlignment="1" applyProtection="1">
      <alignment horizontal="center" vertical="center" readingOrder="2"/>
      <protection locked="0"/>
    </xf>
    <xf numFmtId="167" fontId="44" fillId="2" borderId="88" xfId="2" applyNumberFormat="1" applyFont="1" applyFill="1" applyBorder="1" applyAlignment="1" applyProtection="1">
      <alignment horizontal="center" vertical="center" readingOrder="2"/>
      <protection locked="0"/>
    </xf>
    <xf numFmtId="167" fontId="44" fillId="2" borderId="79" xfId="2" applyNumberFormat="1" applyFont="1" applyFill="1" applyBorder="1" applyAlignment="1" applyProtection="1">
      <alignment horizontal="center" vertical="center" wrapText="1" readingOrder="2"/>
      <protection locked="0"/>
    </xf>
    <xf numFmtId="167" fontId="44" fillId="2" borderId="106" xfId="2" applyNumberFormat="1" applyFont="1" applyFill="1" applyBorder="1" applyAlignment="1" applyProtection="1">
      <alignment horizontal="center" vertical="center" wrapText="1" readingOrder="2"/>
      <protection locked="0"/>
    </xf>
    <xf numFmtId="167" fontId="44" fillId="2" borderId="15" xfId="2" applyNumberFormat="1" applyFont="1" applyFill="1" applyBorder="1" applyAlignment="1" applyProtection="1">
      <alignment horizontal="center" vertical="center" readingOrder="2"/>
      <protection locked="0"/>
    </xf>
    <xf numFmtId="167" fontId="44" fillId="2" borderId="17" xfId="2" applyNumberFormat="1" applyFont="1" applyFill="1" applyBorder="1" applyAlignment="1" applyProtection="1">
      <alignment horizontal="center" vertical="center" readingOrder="2"/>
      <protection locked="0"/>
    </xf>
    <xf numFmtId="167" fontId="44" fillId="2" borderId="15" xfId="2" applyNumberFormat="1" applyFont="1" applyFill="1" applyBorder="1" applyAlignment="1" applyProtection="1">
      <alignment horizontal="center" vertical="center" readingOrder="2"/>
    </xf>
    <xf numFmtId="167" fontId="44" fillId="2" borderId="17" xfId="2" applyNumberFormat="1" applyFont="1" applyFill="1" applyBorder="1" applyAlignment="1" applyProtection="1">
      <alignment horizontal="center" vertical="center" readingOrder="2"/>
    </xf>
    <xf numFmtId="167" fontId="44" fillId="2" borderId="107" xfId="2" applyNumberFormat="1" applyFont="1" applyFill="1" applyBorder="1" applyAlignment="1" applyProtection="1">
      <alignment horizontal="center" vertical="center" readingOrder="2"/>
      <protection locked="0"/>
    </xf>
    <xf numFmtId="167" fontId="44" fillId="2" borderId="108" xfId="2" applyNumberFormat="1" applyFont="1" applyFill="1" applyBorder="1" applyAlignment="1" applyProtection="1">
      <alignment horizontal="center" vertical="center" readingOrder="2"/>
      <protection locked="0"/>
    </xf>
    <xf numFmtId="167" fontId="44" fillId="2" borderId="109" xfId="2" applyNumberFormat="1" applyFont="1" applyFill="1" applyBorder="1" applyAlignment="1" applyProtection="1">
      <alignment horizontal="center" vertical="center" readingOrder="2"/>
      <protection locked="0"/>
    </xf>
    <xf numFmtId="167" fontId="44" fillId="2" borderId="110" xfId="2" applyNumberFormat="1" applyFont="1" applyFill="1" applyBorder="1" applyAlignment="1" applyProtection="1">
      <alignment horizontal="center" vertical="center" readingOrder="2"/>
      <protection locked="0"/>
    </xf>
    <xf numFmtId="167" fontId="44" fillId="2" borderId="22" xfId="2" applyNumberFormat="1" applyFont="1" applyFill="1" applyBorder="1" applyAlignment="1" applyProtection="1">
      <alignment horizontal="center" vertical="center" shrinkToFit="1" readingOrder="2"/>
      <protection locked="0"/>
    </xf>
    <xf numFmtId="167" fontId="44" fillId="2" borderId="27" xfId="2" applyNumberFormat="1" applyFont="1" applyFill="1" applyBorder="1" applyAlignment="1" applyProtection="1">
      <alignment horizontal="center" vertical="center" shrinkToFit="1" readingOrder="2"/>
      <protection locked="0"/>
    </xf>
    <xf numFmtId="167" fontId="103" fillId="2" borderId="59" xfId="2" applyNumberFormat="1" applyFont="1" applyFill="1" applyBorder="1" applyAlignment="1" applyProtection="1">
      <alignment horizontal="center" vertical="center" shrinkToFit="1" readingOrder="2"/>
      <protection locked="0"/>
    </xf>
    <xf numFmtId="167" fontId="103" fillId="2" borderId="25" xfId="2" applyNumberFormat="1" applyFont="1" applyFill="1" applyBorder="1" applyAlignment="1" applyProtection="1">
      <alignment horizontal="center" vertical="center" shrinkToFit="1" readingOrder="2"/>
      <protection locked="0"/>
    </xf>
    <xf numFmtId="1" fontId="44" fillId="17" borderId="40" xfId="2" applyNumberFormat="1" applyFont="1" applyFill="1" applyBorder="1" applyAlignment="1">
      <alignment horizontal="center" vertical="center"/>
    </xf>
    <xf numFmtId="1" fontId="44" fillId="17" borderId="41" xfId="2" applyNumberFormat="1" applyFont="1" applyFill="1" applyBorder="1" applyAlignment="1">
      <alignment horizontal="center" vertical="center"/>
    </xf>
    <xf numFmtId="1" fontId="44" fillId="17" borderId="42" xfId="2" applyNumberFormat="1" applyFont="1" applyFill="1" applyBorder="1" applyAlignment="1">
      <alignment horizontal="center" vertical="center"/>
    </xf>
    <xf numFmtId="167" fontId="44" fillId="24" borderId="79" xfId="0" applyNumberFormat="1" applyFont="1" applyFill="1" applyBorder="1" applyAlignment="1">
      <alignment horizontal="center" vertical="center" wrapText="1" readingOrder="2"/>
    </xf>
    <xf numFmtId="167" fontId="44" fillId="24" borderId="106" xfId="0" applyNumberFormat="1" applyFont="1" applyFill="1" applyBorder="1" applyAlignment="1">
      <alignment horizontal="center" vertical="center" wrapText="1" readingOrder="2"/>
    </xf>
    <xf numFmtId="167" fontId="44" fillId="2" borderId="79" xfId="0" applyNumberFormat="1" applyFont="1" applyFill="1" applyBorder="1" applyAlignment="1">
      <alignment horizontal="center" vertical="center" wrapText="1" readingOrder="2"/>
    </xf>
    <xf numFmtId="167" fontId="44" fillId="2" borderId="106" xfId="0" applyNumberFormat="1" applyFont="1" applyFill="1" applyBorder="1" applyAlignment="1">
      <alignment horizontal="center" vertical="center" wrapText="1" readingOrder="2"/>
    </xf>
    <xf numFmtId="167" fontId="44" fillId="2" borderId="15" xfId="0" applyNumberFormat="1" applyFont="1" applyFill="1" applyBorder="1" applyAlignment="1">
      <alignment horizontal="center" vertical="center" wrapText="1" readingOrder="2"/>
    </xf>
    <xf numFmtId="167" fontId="44" fillId="2" borderId="17" xfId="0" applyNumberFormat="1" applyFont="1" applyFill="1" applyBorder="1" applyAlignment="1">
      <alignment horizontal="center" vertical="center" wrapText="1" readingOrder="2"/>
    </xf>
    <xf numFmtId="167" fontId="44" fillId="24" borderId="59" xfId="0" applyNumberFormat="1" applyFont="1" applyFill="1" applyBorder="1" applyAlignment="1">
      <alignment horizontal="center" vertical="center" readingOrder="2"/>
    </xf>
    <xf numFmtId="167" fontId="44" fillId="24" borderId="29" xfId="0" applyNumberFormat="1" applyFont="1" applyFill="1" applyBorder="1" applyAlignment="1">
      <alignment horizontal="center" vertical="center" readingOrder="2"/>
    </xf>
    <xf numFmtId="167" fontId="44" fillId="24" borderId="25" xfId="0" applyNumberFormat="1" applyFont="1" applyFill="1" applyBorder="1" applyAlignment="1">
      <alignment horizontal="center" vertical="center" readingOrder="2"/>
    </xf>
    <xf numFmtId="167" fontId="44" fillId="24" borderId="30" xfId="0" applyNumberFormat="1" applyFont="1" applyFill="1" applyBorder="1" applyAlignment="1">
      <alignment horizontal="center" vertical="center" readingOrder="2"/>
    </xf>
    <xf numFmtId="167" fontId="44" fillId="2" borderId="59" xfId="0" applyNumberFormat="1" applyFont="1" applyFill="1" applyBorder="1" applyAlignment="1">
      <alignment horizontal="center" vertical="center" readingOrder="2"/>
    </xf>
    <xf numFmtId="167" fontId="44" fillId="2" borderId="29" xfId="0" applyNumberFormat="1" applyFont="1" applyFill="1" applyBorder="1" applyAlignment="1">
      <alignment horizontal="center" vertical="center" readingOrder="2"/>
    </xf>
    <xf numFmtId="167" fontId="44" fillId="2" borderId="25" xfId="0" applyNumberFormat="1" applyFont="1" applyFill="1" applyBorder="1" applyAlignment="1">
      <alignment horizontal="center" vertical="center" readingOrder="2"/>
    </xf>
    <xf numFmtId="167" fontId="44" fillId="2" borderId="30" xfId="0" applyNumberFormat="1" applyFont="1" applyFill="1" applyBorder="1" applyAlignment="1">
      <alignment horizontal="center" vertical="center" readingOrder="2"/>
    </xf>
    <xf numFmtId="167" fontId="44" fillId="2" borderId="15" xfId="0" applyNumberFormat="1" applyFont="1" applyFill="1" applyBorder="1" applyAlignment="1">
      <alignment horizontal="center" vertical="center" readingOrder="2"/>
    </xf>
    <xf numFmtId="167" fontId="44" fillId="2" borderId="17" xfId="0" applyNumberFormat="1" applyFont="1" applyFill="1" applyBorder="1" applyAlignment="1">
      <alignment horizontal="center" vertical="center" readingOrder="2"/>
    </xf>
    <xf numFmtId="167" fontId="126" fillId="2" borderId="22" xfId="2" applyNumberFormat="1" applyFont="1" applyFill="1" applyBorder="1" applyAlignment="1" applyProtection="1">
      <alignment horizontal="center" vertical="center" shrinkToFit="1" readingOrder="2"/>
      <protection locked="0"/>
    </xf>
    <xf numFmtId="167" fontId="126" fillId="2" borderId="27" xfId="2" applyNumberFormat="1" applyFont="1" applyFill="1" applyBorder="1" applyAlignment="1" applyProtection="1">
      <alignment horizontal="center" vertical="center" shrinkToFit="1" readingOrder="2"/>
      <protection locked="0"/>
    </xf>
    <xf numFmtId="171" fontId="124" fillId="0" borderId="0" xfId="0" applyNumberFormat="1" applyFont="1" applyAlignment="1">
      <alignment horizontal="center" vertical="center"/>
    </xf>
    <xf numFmtId="173" fontId="85" fillId="0" borderId="49" xfId="0" applyNumberFormat="1" applyFont="1" applyBorder="1" applyAlignment="1">
      <alignment horizontal="center" vertical="center"/>
    </xf>
    <xf numFmtId="173" fontId="85" fillId="0" borderId="50" xfId="0" applyNumberFormat="1" applyFont="1" applyBorder="1" applyAlignment="1">
      <alignment horizontal="center" vertical="center"/>
    </xf>
    <xf numFmtId="171" fontId="84" fillId="3" borderId="43" xfId="0" applyNumberFormat="1" applyFont="1" applyFill="1" applyBorder="1" applyAlignment="1">
      <alignment horizontal="center" vertical="center"/>
    </xf>
    <xf numFmtId="171" fontId="84" fillId="3" borderId="44" xfId="0" applyNumberFormat="1" applyFont="1" applyFill="1" applyBorder="1" applyAlignment="1">
      <alignment horizontal="center" vertical="center"/>
    </xf>
    <xf numFmtId="173" fontId="82" fillId="11" borderId="44" xfId="0" applyNumberFormat="1" applyFont="1" applyFill="1" applyBorder="1" applyAlignment="1">
      <alignment horizontal="center" vertical="center"/>
    </xf>
    <xf numFmtId="173" fontId="82" fillId="11" borderId="45" xfId="0" applyNumberFormat="1" applyFont="1" applyFill="1" applyBorder="1" applyAlignment="1">
      <alignment horizontal="center" vertical="center"/>
    </xf>
    <xf numFmtId="171" fontId="119" fillId="3" borderId="43" xfId="0" applyNumberFormat="1" applyFont="1" applyFill="1" applyBorder="1" applyAlignment="1">
      <alignment horizontal="center" vertical="center"/>
    </xf>
    <xf numFmtId="171" fontId="119" fillId="3" borderId="44" xfId="0" applyNumberFormat="1" applyFont="1" applyFill="1" applyBorder="1" applyAlignment="1">
      <alignment horizontal="center" vertical="center"/>
    </xf>
    <xf numFmtId="171" fontId="119" fillId="3" borderId="51" xfId="0" applyNumberFormat="1" applyFont="1" applyFill="1" applyBorder="1" applyAlignment="1">
      <alignment horizontal="center" vertical="center"/>
    </xf>
    <xf numFmtId="171" fontId="119" fillId="3" borderId="52" xfId="0" applyNumberFormat="1" applyFont="1" applyFill="1" applyBorder="1" applyAlignment="1">
      <alignment horizontal="center" vertical="center"/>
    </xf>
    <xf numFmtId="173" fontId="120" fillId="10" borderId="44" xfId="0" applyNumberFormat="1" applyFont="1" applyFill="1" applyBorder="1" applyAlignment="1">
      <alignment horizontal="center" vertical="center"/>
    </xf>
    <xf numFmtId="173" fontId="120" fillId="10" borderId="45" xfId="0" applyNumberFormat="1" applyFont="1" applyFill="1" applyBorder="1" applyAlignment="1">
      <alignment horizontal="center" vertical="center"/>
    </xf>
    <xf numFmtId="173" fontId="120" fillId="10" borderId="52" xfId="0" applyNumberFormat="1" applyFont="1" applyFill="1" applyBorder="1" applyAlignment="1">
      <alignment horizontal="center" vertical="center"/>
    </xf>
    <xf numFmtId="173" fontId="120" fillId="10" borderId="53" xfId="0" applyNumberFormat="1" applyFont="1" applyFill="1" applyBorder="1" applyAlignment="1">
      <alignment horizontal="center" vertical="center"/>
    </xf>
    <xf numFmtId="171" fontId="87" fillId="0" borderId="113" xfId="0" applyNumberFormat="1" applyFont="1" applyBorder="1" applyAlignment="1">
      <alignment horizontal="center"/>
    </xf>
    <xf numFmtId="171" fontId="99" fillId="0" borderId="113" xfId="0" applyNumberFormat="1" applyFont="1" applyBorder="1" applyAlignment="1">
      <alignment horizontal="center"/>
    </xf>
    <xf numFmtId="10" fontId="95" fillId="0" borderId="0" xfId="0" applyNumberFormat="1" applyFont="1" applyAlignment="1">
      <alignment horizontal="center"/>
    </xf>
    <xf numFmtId="173" fontId="85" fillId="2" borderId="49" xfId="0" applyNumberFormat="1" applyFont="1" applyFill="1" applyBorder="1" applyAlignment="1">
      <alignment horizontal="center" vertical="center"/>
    </xf>
    <xf numFmtId="173" fontId="85" fillId="2" borderId="50" xfId="0" applyNumberFormat="1" applyFont="1" applyFill="1" applyBorder="1" applyAlignment="1">
      <alignment horizontal="center" vertical="center"/>
    </xf>
    <xf numFmtId="10" fontId="96" fillId="0" borderId="0" xfId="0" applyNumberFormat="1" applyFont="1" applyAlignment="1">
      <alignment horizontal="center"/>
    </xf>
    <xf numFmtId="10" fontId="95" fillId="0" borderId="0" xfId="0" applyNumberFormat="1" applyFont="1" applyBorder="1" applyAlignment="1">
      <alignment horizontal="center"/>
    </xf>
    <xf numFmtId="171" fontId="74" fillId="0" borderId="0" xfId="0" applyNumberFormat="1" applyFont="1" applyAlignment="1">
      <alignment horizontal="center"/>
    </xf>
    <xf numFmtId="171" fontId="49" fillId="4" borderId="46" xfId="0" applyNumberFormat="1" applyFont="1" applyFill="1" applyBorder="1" applyAlignment="1">
      <alignment horizontal="center" vertical="center"/>
    </xf>
    <xf numFmtId="171" fontId="49" fillId="4" borderId="47" xfId="0" applyNumberFormat="1" applyFont="1" applyFill="1" applyBorder="1" applyAlignment="1">
      <alignment horizontal="center" vertical="center"/>
    </xf>
    <xf numFmtId="171" fontId="49" fillId="4" borderId="48" xfId="0" applyNumberFormat="1" applyFont="1" applyFill="1" applyBorder="1" applyAlignment="1">
      <alignment horizontal="center" vertical="center"/>
    </xf>
    <xf numFmtId="171" fontId="11" fillId="0" borderId="0" xfId="0" applyNumberFormat="1" applyFont="1" applyBorder="1" applyAlignment="1">
      <alignment horizontal="center" vertical="center"/>
    </xf>
    <xf numFmtId="173" fontId="82" fillId="12" borderId="44" xfId="0" applyNumberFormat="1" applyFont="1" applyFill="1" applyBorder="1" applyAlignment="1">
      <alignment horizontal="center" vertical="center"/>
    </xf>
    <xf numFmtId="173" fontId="82" fillId="12" borderId="45" xfId="0" applyNumberFormat="1" applyFont="1" applyFill="1" applyBorder="1" applyAlignment="1">
      <alignment horizontal="center" vertical="center"/>
    </xf>
    <xf numFmtId="171" fontId="82" fillId="7" borderId="40" xfId="0" applyNumberFormat="1" applyFont="1" applyFill="1" applyBorder="1" applyAlignment="1">
      <alignment horizontal="center" vertical="center"/>
    </xf>
    <xf numFmtId="171" fontId="82" fillId="7" borderId="41" xfId="0" applyNumberFormat="1" applyFont="1" applyFill="1" applyBorder="1" applyAlignment="1">
      <alignment horizontal="center" vertical="center"/>
    </xf>
    <xf numFmtId="171" fontId="82" fillId="7" borderId="42" xfId="0" applyNumberFormat="1" applyFont="1" applyFill="1" applyBorder="1" applyAlignment="1">
      <alignment horizontal="center" vertical="center"/>
    </xf>
    <xf numFmtId="171" fontId="84" fillId="10" borderId="44" xfId="0" applyNumberFormat="1" applyFont="1" applyFill="1" applyBorder="1" applyAlignment="1">
      <alignment horizontal="center" vertical="center"/>
    </xf>
    <xf numFmtId="171" fontId="84" fillId="10" borderId="49" xfId="0" applyNumberFormat="1" applyFont="1" applyFill="1" applyBorder="1" applyAlignment="1">
      <alignment horizontal="center" vertical="center"/>
    </xf>
    <xf numFmtId="169" fontId="4" fillId="14" borderId="0" xfId="7" applyNumberFormat="1" applyFont="1" applyFill="1" applyBorder="1" applyAlignment="1">
      <alignment horizontal="center" vertical="center" readingOrder="2"/>
    </xf>
    <xf numFmtId="171" fontId="82" fillId="7" borderId="0" xfId="0" applyNumberFormat="1" applyFont="1" applyFill="1" applyBorder="1" applyAlignment="1">
      <alignment horizontal="center" vertical="center"/>
    </xf>
    <xf numFmtId="173" fontId="85" fillId="0" borderId="44" xfId="0" applyNumberFormat="1" applyFont="1" applyBorder="1" applyAlignment="1">
      <alignment horizontal="center" vertical="center"/>
    </xf>
    <xf numFmtId="0" fontId="84" fillId="2" borderId="47" xfId="8" applyFont="1" applyFill="1" applyBorder="1" applyAlignment="1">
      <alignment horizontal="center" vertical="center"/>
    </xf>
    <xf numFmtId="2" fontId="117" fillId="2" borderId="72" xfId="8" applyNumberFormat="1" applyFont="1" applyFill="1" applyBorder="1" applyAlignment="1">
      <alignment horizontal="center" vertical="center" textRotation="180" wrapText="1" readingOrder="2"/>
    </xf>
    <xf numFmtId="2" fontId="117" fillId="2" borderId="127" xfId="8" applyNumberFormat="1" applyFont="1" applyFill="1" applyBorder="1" applyAlignment="1">
      <alignment horizontal="center" vertical="center" textRotation="180" wrapText="1" readingOrder="2"/>
    </xf>
    <xf numFmtId="2" fontId="117" fillId="2" borderId="73" xfId="8" applyNumberFormat="1" applyFont="1" applyFill="1" applyBorder="1" applyAlignment="1">
      <alignment horizontal="center" vertical="center" textRotation="180" wrapText="1" readingOrder="2"/>
    </xf>
    <xf numFmtId="0" fontId="10" fillId="2" borderId="44" xfId="8" applyFont="1" applyFill="1" applyBorder="1" applyAlignment="1">
      <alignment horizontal="center" vertical="center" wrapText="1" readingOrder="2"/>
    </xf>
    <xf numFmtId="0" fontId="10" fillId="25" borderId="44" xfId="8" applyFont="1" applyFill="1" applyBorder="1" applyAlignment="1">
      <alignment horizontal="center" vertical="center" wrapText="1" readingOrder="2"/>
    </xf>
    <xf numFmtId="0" fontId="49" fillId="2" borderId="44" xfId="8" applyFont="1" applyFill="1" applyBorder="1" applyAlignment="1">
      <alignment horizontal="center" vertical="center" wrapText="1" readingOrder="2"/>
    </xf>
    <xf numFmtId="49" fontId="117" fillId="2" borderId="43" xfId="8" applyNumberFormat="1" applyFont="1" applyFill="1" applyBorder="1" applyAlignment="1">
      <alignment horizontal="center" vertical="center" textRotation="180" wrapText="1" readingOrder="2"/>
    </xf>
    <xf numFmtId="2" fontId="73" fillId="2" borderId="44" xfId="8" applyNumberFormat="1" applyFont="1" applyFill="1" applyBorder="1" applyAlignment="1">
      <alignment horizontal="center" vertical="center" readingOrder="2"/>
    </xf>
    <xf numFmtId="0" fontId="43" fillId="2" borderId="43" xfId="8" applyFont="1" applyFill="1" applyBorder="1" applyAlignment="1">
      <alignment horizontal="center" vertical="center" wrapText="1" readingOrder="2"/>
    </xf>
    <xf numFmtId="0" fontId="43" fillId="2" borderId="44" xfId="8" applyFont="1" applyFill="1" applyBorder="1" applyAlignment="1">
      <alignment horizontal="center" vertical="center" wrapText="1" readingOrder="2"/>
    </xf>
    <xf numFmtId="2" fontId="90" fillId="2" borderId="54" xfId="8" applyNumberFormat="1" applyFont="1" applyFill="1" applyBorder="1" applyAlignment="1">
      <alignment horizontal="center" vertical="center" wrapText="1"/>
    </xf>
    <xf numFmtId="2" fontId="73" fillId="2" borderId="74" xfId="8" applyNumberFormat="1" applyFont="1" applyFill="1" applyBorder="1" applyAlignment="1">
      <alignment horizontal="center" vertical="center" readingOrder="2"/>
    </xf>
    <xf numFmtId="2" fontId="73" fillId="2" borderId="112" xfId="8" applyNumberFormat="1" applyFont="1" applyFill="1" applyBorder="1" applyAlignment="1">
      <alignment horizontal="center" vertical="center" readingOrder="2"/>
    </xf>
    <xf numFmtId="2" fontId="73" fillId="2" borderId="75" xfId="8" applyNumberFormat="1" applyFont="1" applyFill="1" applyBorder="1" applyAlignment="1">
      <alignment horizontal="center" vertical="center" readingOrder="2"/>
    </xf>
    <xf numFmtId="2" fontId="117" fillId="2" borderId="43" xfId="8" applyNumberFormat="1" applyFont="1" applyFill="1" applyBorder="1" applyAlignment="1">
      <alignment horizontal="center" vertical="center" textRotation="180" wrapText="1" readingOrder="2"/>
    </xf>
    <xf numFmtId="0" fontId="10" fillId="2" borderId="49" xfId="8" applyFont="1" applyFill="1" applyBorder="1" applyAlignment="1">
      <alignment horizontal="center" vertical="center" wrapText="1" readingOrder="2"/>
    </xf>
    <xf numFmtId="0" fontId="10" fillId="2" borderId="48" xfId="8" applyFont="1" applyFill="1" applyBorder="1" applyAlignment="1">
      <alignment horizontal="center" vertical="center" wrapText="1" readingOrder="2"/>
    </xf>
    <xf numFmtId="49" fontId="117" fillId="2" borderId="43" xfId="8" applyNumberFormat="1" applyFont="1" applyFill="1" applyBorder="1" applyAlignment="1">
      <alignment horizontal="center" vertical="center" wrapText="1" readingOrder="2"/>
    </xf>
    <xf numFmtId="49" fontId="49" fillId="2" borderId="74" xfId="8" applyNumberFormat="1" applyFont="1" applyFill="1" applyBorder="1" applyAlignment="1">
      <alignment horizontal="center" vertical="center" wrapText="1" readingOrder="2"/>
    </xf>
    <xf numFmtId="49" fontId="49" fillId="2" borderId="75" xfId="8" applyNumberFormat="1" applyFont="1" applyFill="1" applyBorder="1" applyAlignment="1">
      <alignment horizontal="center" vertical="center" wrapText="1" readingOrder="2"/>
    </xf>
    <xf numFmtId="0" fontId="82" fillId="2" borderId="43" xfId="8" applyFont="1" applyFill="1" applyBorder="1" applyAlignment="1">
      <alignment horizontal="center" vertical="center"/>
    </xf>
    <xf numFmtId="0" fontId="82" fillId="2" borderId="44" xfId="8" applyFont="1" applyFill="1" applyBorder="1" applyAlignment="1">
      <alignment horizontal="center" vertical="center"/>
    </xf>
    <xf numFmtId="2" fontId="82" fillId="2" borderId="44" xfId="8" applyNumberFormat="1" applyFont="1" applyFill="1" applyBorder="1" applyAlignment="1">
      <alignment horizontal="center" vertical="center" wrapText="1"/>
    </xf>
    <xf numFmtId="0" fontId="117" fillId="2" borderId="43" xfId="8" applyFont="1" applyFill="1" applyBorder="1" applyAlignment="1">
      <alignment horizontal="center" vertical="center" textRotation="180" wrapText="1" readingOrder="2"/>
    </xf>
    <xf numFmtId="49" fontId="49" fillId="2" borderId="44" xfId="8" applyNumberFormat="1" applyFont="1" applyFill="1" applyBorder="1" applyAlignment="1">
      <alignment horizontal="center" vertical="center" wrapText="1" readingOrder="2"/>
    </xf>
    <xf numFmtId="2" fontId="90" fillId="2" borderId="47" xfId="8" applyNumberFormat="1" applyFont="1" applyFill="1" applyBorder="1" applyAlignment="1">
      <alignment horizontal="center" vertical="center"/>
    </xf>
    <xf numFmtId="2" fontId="73" fillId="7" borderId="44" xfId="8" applyNumberFormat="1" applyFont="1" applyFill="1" applyBorder="1" applyAlignment="1">
      <alignment horizontal="center" vertical="center" readingOrder="2"/>
    </xf>
    <xf numFmtId="2" fontId="73" fillId="2" borderId="44" xfId="8" applyNumberFormat="1" applyFont="1" applyFill="1" applyBorder="1" applyAlignment="1">
      <alignment horizontal="center" vertical="center" wrapText="1" readingOrder="2"/>
    </xf>
    <xf numFmtId="2" fontId="73" fillId="2" borderId="44" xfId="8" applyNumberFormat="1" applyFont="1" applyFill="1" applyBorder="1" applyAlignment="1">
      <alignment horizontal="center" vertical="center" wrapText="1"/>
    </xf>
    <xf numFmtId="0" fontId="54" fillId="2" borderId="43" xfId="8" applyFont="1" applyFill="1" applyBorder="1" applyAlignment="1">
      <alignment horizontal="center" vertical="center" wrapText="1" readingOrder="2"/>
    </xf>
    <xf numFmtId="0" fontId="54" fillId="2" borderId="44" xfId="8" applyFont="1" applyFill="1" applyBorder="1" applyAlignment="1">
      <alignment horizontal="center" vertical="center" wrapText="1" readingOrder="2"/>
    </xf>
    <xf numFmtId="2" fontId="43" fillId="2" borderId="44" xfId="8" applyNumberFormat="1" applyFont="1" applyFill="1" applyBorder="1" applyAlignment="1">
      <alignment horizontal="center" vertical="center" wrapText="1" readingOrder="2"/>
    </xf>
    <xf numFmtId="2" fontId="43" fillId="2" borderId="49" xfId="8" applyNumberFormat="1" applyFont="1" applyFill="1" applyBorder="1" applyAlignment="1">
      <alignment horizontal="center" vertical="center" wrapText="1" readingOrder="2"/>
    </xf>
    <xf numFmtId="2" fontId="43" fillId="2" borderId="47" xfId="8" applyNumberFormat="1" applyFont="1" applyFill="1" applyBorder="1" applyAlignment="1">
      <alignment horizontal="center" vertical="center" wrapText="1" readingOrder="2"/>
    </xf>
    <xf numFmtId="2" fontId="43" fillId="2" borderId="54" xfId="8" applyNumberFormat="1" applyFont="1" applyFill="1" applyBorder="1" applyAlignment="1">
      <alignment horizontal="center" vertical="center" wrapText="1" readingOrder="2"/>
    </xf>
    <xf numFmtId="2" fontId="43" fillId="2" borderId="55" xfId="8" applyNumberFormat="1" applyFont="1" applyFill="1" applyBorder="1" applyAlignment="1">
      <alignment horizontal="center" vertical="center" wrapText="1" readingOrder="2"/>
    </xf>
    <xf numFmtId="1" fontId="73" fillId="2" borderId="44" xfId="8" applyNumberFormat="1" applyFont="1" applyFill="1" applyBorder="1" applyAlignment="1">
      <alignment horizontal="center" vertical="center" readingOrder="2"/>
    </xf>
    <xf numFmtId="0" fontId="43" fillId="25" borderId="43" xfId="8" applyFont="1" applyFill="1" applyBorder="1" applyAlignment="1">
      <alignment horizontal="center" vertical="center" wrapText="1" readingOrder="2"/>
    </xf>
    <xf numFmtId="0" fontId="43" fillId="25" borderId="44" xfId="8" applyFont="1" applyFill="1" applyBorder="1" applyAlignment="1">
      <alignment horizontal="center" vertical="center" wrapText="1" readingOrder="2"/>
    </xf>
    <xf numFmtId="0" fontId="117" fillId="2" borderId="43" xfId="8" applyFont="1" applyFill="1" applyBorder="1" applyAlignment="1">
      <alignment horizontal="center" vertical="center" textRotation="180" wrapText="1"/>
    </xf>
    <xf numFmtId="16" fontId="54" fillId="2" borderId="43" xfId="8" applyNumberFormat="1" applyFont="1" applyFill="1" applyBorder="1" applyAlignment="1">
      <alignment horizontal="center" vertical="center" wrapText="1" readingOrder="2"/>
    </xf>
    <xf numFmtId="16" fontId="54" fillId="2" borderId="44" xfId="8" applyNumberFormat="1" applyFont="1" applyFill="1" applyBorder="1" applyAlignment="1">
      <alignment horizontal="center" vertical="center" wrapText="1" readingOrder="2"/>
    </xf>
    <xf numFmtId="0" fontId="82" fillId="2" borderId="41" xfId="8" applyFont="1" applyFill="1" applyBorder="1" applyAlignment="1">
      <alignment horizontal="center" vertical="center" wrapText="1" readingOrder="2"/>
    </xf>
    <xf numFmtId="0" fontId="82" fillId="2" borderId="40" xfId="8" applyFont="1" applyFill="1" applyBorder="1" applyAlignment="1">
      <alignment horizontal="center" vertical="center" wrapText="1" readingOrder="2"/>
    </xf>
    <xf numFmtId="2" fontId="54" fillId="2" borderId="43" xfId="8" applyNumberFormat="1" applyFont="1" applyFill="1" applyBorder="1" applyAlignment="1">
      <alignment horizontal="center" vertical="center" wrapText="1" readingOrder="2"/>
    </xf>
    <xf numFmtId="2" fontId="54" fillId="2" borderId="44" xfId="8" applyNumberFormat="1" applyFont="1" applyFill="1" applyBorder="1" applyAlignment="1">
      <alignment horizontal="center" vertical="center" wrapText="1" readingOrder="2"/>
    </xf>
    <xf numFmtId="0" fontId="88" fillId="2" borderId="43" xfId="10" applyFont="1" applyFill="1" applyBorder="1" applyAlignment="1">
      <alignment horizontal="center" vertical="center"/>
    </xf>
    <xf numFmtId="0" fontId="88" fillId="2" borderId="44" xfId="10" applyFont="1" applyFill="1" applyBorder="1" applyAlignment="1">
      <alignment horizontal="center" vertical="center"/>
    </xf>
    <xf numFmtId="0" fontId="118" fillId="2" borderId="46" xfId="8" applyFont="1" applyFill="1" applyBorder="1" applyAlignment="1">
      <alignment horizontal="center" vertical="center"/>
    </xf>
    <xf numFmtId="0" fontId="118" fillId="2" borderId="47" xfId="8" applyFont="1" applyFill="1" applyBorder="1" applyAlignment="1">
      <alignment horizontal="center" vertical="center"/>
    </xf>
    <xf numFmtId="1" fontId="73" fillId="2" borderId="44" xfId="8" applyNumberFormat="1" applyFont="1" applyFill="1" applyBorder="1" applyAlignment="1">
      <alignment horizontal="center" vertical="center" wrapText="1" readingOrder="2"/>
    </xf>
    <xf numFmtId="1" fontId="9" fillId="4" borderId="7" xfId="2" applyNumberFormat="1" applyFont="1" applyFill="1" applyBorder="1" applyAlignment="1" applyProtection="1">
      <alignment horizontal="center" vertical="center" readingOrder="2"/>
      <protection locked="0"/>
    </xf>
    <xf numFmtId="49" fontId="9" fillId="2" borderId="7" xfId="0" applyNumberFormat="1" applyFont="1" applyFill="1" applyBorder="1" applyAlignment="1" applyProtection="1">
      <alignment horizontal="center" vertical="center" readingOrder="2"/>
      <protection locked="0"/>
    </xf>
    <xf numFmtId="0" fontId="9" fillId="4" borderId="6" xfId="1" applyFont="1" applyFill="1" applyBorder="1" applyAlignment="1" applyProtection="1">
      <alignment horizontal="right" vertical="center" shrinkToFit="1" readingOrder="2"/>
      <protection locked="0"/>
    </xf>
    <xf numFmtId="0" fontId="9" fillId="4" borderId="9" xfId="1" applyFont="1" applyFill="1" applyBorder="1" applyAlignment="1" applyProtection="1">
      <alignment horizontal="right" vertical="center" shrinkToFit="1" readingOrder="2"/>
      <protection locked="0"/>
    </xf>
    <xf numFmtId="0" fontId="9" fillId="4" borderId="6" xfId="1" applyFont="1" applyFill="1" applyBorder="1" applyAlignment="1" applyProtection="1">
      <alignment horizontal="center" vertical="center" wrapText="1" readingOrder="2"/>
      <protection locked="0"/>
    </xf>
    <xf numFmtId="0" fontId="9" fillId="4" borderId="9" xfId="1" applyFont="1" applyFill="1" applyBorder="1" applyAlignment="1" applyProtection="1">
      <alignment horizontal="center" vertical="center" wrapText="1" readingOrder="2"/>
      <protection locked="0"/>
    </xf>
    <xf numFmtId="0" fontId="17" fillId="4" borderId="7" xfId="1" applyFont="1" applyFill="1" applyBorder="1" applyAlignment="1" applyProtection="1">
      <alignment horizontal="center" vertical="center" readingOrder="2"/>
      <protection locked="0"/>
    </xf>
    <xf numFmtId="0" fontId="9" fillId="4" borderId="7" xfId="1" applyFont="1" applyFill="1" applyBorder="1" applyAlignment="1" applyProtection="1">
      <alignment horizontal="center" vertical="center" wrapText="1" readingOrder="2"/>
      <protection locked="0"/>
    </xf>
    <xf numFmtId="0" fontId="9" fillId="4" borderId="6" xfId="2" applyFont="1" applyFill="1" applyBorder="1" applyAlignment="1">
      <alignment horizontal="center" vertical="center" readingOrder="2"/>
    </xf>
    <xf numFmtId="0" fontId="9" fillId="4" borderId="9" xfId="2" applyFont="1" applyFill="1" applyBorder="1" applyAlignment="1">
      <alignment horizontal="center" vertical="center" readingOrder="2"/>
    </xf>
    <xf numFmtId="0" fontId="93" fillId="4" borderId="6" xfId="1" applyFont="1" applyFill="1" applyBorder="1" applyAlignment="1" applyProtection="1">
      <alignment horizontal="right" vertical="center" wrapText="1" shrinkToFit="1" readingOrder="2"/>
      <protection locked="0"/>
    </xf>
    <xf numFmtId="0" fontId="93" fillId="4" borderId="9" xfId="1" applyFont="1" applyFill="1" applyBorder="1" applyAlignment="1" applyProtection="1">
      <alignment horizontal="right" vertical="center" wrapText="1" shrinkToFit="1" readingOrder="2"/>
      <protection locked="0"/>
    </xf>
    <xf numFmtId="0" fontId="15" fillId="4" borderId="6" xfId="1" applyFont="1" applyFill="1" applyBorder="1" applyAlignment="1" applyProtection="1">
      <alignment horizontal="right" vertical="center" wrapText="1" readingOrder="2"/>
      <protection locked="0"/>
    </xf>
    <xf numFmtId="0" fontId="15" fillId="4" borderId="9" xfId="1" applyFont="1" applyFill="1" applyBorder="1" applyAlignment="1" applyProtection="1">
      <alignment horizontal="right" vertical="center" wrapText="1" readingOrder="2"/>
      <protection locked="0"/>
    </xf>
    <xf numFmtId="49" fontId="9" fillId="26" borderId="24" xfId="0" applyNumberFormat="1" applyFont="1" applyFill="1" applyBorder="1" applyAlignment="1" applyProtection="1">
      <alignment horizontal="center" vertical="center" readingOrder="2"/>
      <protection locked="0"/>
    </xf>
    <xf numFmtId="49" fontId="9" fillId="26" borderId="21" xfId="0" applyNumberFormat="1" applyFont="1" applyFill="1" applyBorder="1" applyAlignment="1" applyProtection="1">
      <alignment horizontal="center" vertical="center" readingOrder="2"/>
      <protection locked="0"/>
    </xf>
    <xf numFmtId="49" fontId="9" fillId="26" borderId="2" xfId="0" applyNumberFormat="1" applyFont="1" applyFill="1" applyBorder="1" applyAlignment="1" applyProtection="1">
      <alignment horizontal="center" vertical="center" readingOrder="2"/>
      <protection locked="0"/>
    </xf>
    <xf numFmtId="1" fontId="9" fillId="26" borderId="24" xfId="2" applyNumberFormat="1" applyFont="1" applyFill="1" applyBorder="1" applyAlignment="1" applyProtection="1">
      <alignment horizontal="center" vertical="center" readingOrder="2"/>
      <protection locked="0"/>
    </xf>
    <xf numFmtId="1" fontId="9" fillId="26" borderId="21" xfId="2" applyNumberFormat="1" applyFont="1" applyFill="1" applyBorder="1" applyAlignment="1" applyProtection="1">
      <alignment horizontal="center" vertical="center" readingOrder="2"/>
      <protection locked="0"/>
    </xf>
    <xf numFmtId="1" fontId="9" fillId="26" borderId="2" xfId="2" applyNumberFormat="1" applyFont="1" applyFill="1" applyBorder="1" applyAlignment="1" applyProtection="1">
      <alignment horizontal="center" vertical="center" readingOrder="2"/>
      <protection locked="0"/>
    </xf>
    <xf numFmtId="167" fontId="9" fillId="26" borderId="24" xfId="2" applyNumberFormat="1" applyFont="1" applyFill="1" applyBorder="1" applyAlignment="1" applyProtection="1">
      <alignment horizontal="center" vertical="center" readingOrder="2"/>
      <protection locked="0"/>
    </xf>
    <xf numFmtId="167" fontId="9" fillId="26" borderId="21" xfId="2" applyNumberFormat="1" applyFont="1" applyFill="1" applyBorder="1" applyAlignment="1" applyProtection="1">
      <alignment horizontal="center" vertical="center" readingOrder="2"/>
      <protection locked="0"/>
    </xf>
    <xf numFmtId="167" fontId="9" fillId="26" borderId="2" xfId="2" applyNumberFormat="1" applyFont="1" applyFill="1" applyBorder="1" applyAlignment="1" applyProtection="1">
      <alignment horizontal="center" vertical="center" readingOrder="2"/>
      <protection locked="0"/>
    </xf>
    <xf numFmtId="49" fontId="9" fillId="2" borderId="24" xfId="0" applyNumberFormat="1" applyFont="1" applyFill="1" applyBorder="1" applyAlignment="1" applyProtection="1">
      <alignment horizontal="center" vertical="center" readingOrder="2"/>
      <protection locked="0"/>
    </xf>
    <xf numFmtId="49" fontId="9" fillId="2" borderId="21" xfId="0" applyNumberFormat="1" applyFont="1" applyFill="1" applyBorder="1" applyAlignment="1" applyProtection="1">
      <alignment horizontal="center" vertical="center" readingOrder="2"/>
      <protection locked="0"/>
    </xf>
    <xf numFmtId="49" fontId="9" fillId="2" borderId="2" xfId="0" applyNumberFormat="1" applyFont="1" applyFill="1" applyBorder="1" applyAlignment="1" applyProtection="1">
      <alignment horizontal="center" vertical="center" readingOrder="2"/>
      <protection locked="0"/>
    </xf>
    <xf numFmtId="1" fontId="9" fillId="2" borderId="24" xfId="2" applyNumberFormat="1" applyFont="1" applyFill="1" applyBorder="1" applyAlignment="1" applyProtection="1">
      <alignment horizontal="center" vertical="center" readingOrder="2"/>
      <protection locked="0"/>
    </xf>
    <xf numFmtId="1" fontId="9" fillId="2" borderId="21" xfId="2" applyNumberFormat="1" applyFont="1" applyFill="1" applyBorder="1" applyAlignment="1" applyProtection="1">
      <alignment horizontal="center" vertical="center" readingOrder="2"/>
      <protection locked="0"/>
    </xf>
    <xf numFmtId="1" fontId="9" fillId="2" borderId="2" xfId="2" applyNumberFormat="1" applyFont="1" applyFill="1" applyBorder="1" applyAlignment="1" applyProtection="1">
      <alignment horizontal="center" vertical="center" readingOrder="2"/>
      <protection locked="0"/>
    </xf>
    <xf numFmtId="167" fontId="9" fillId="2" borderId="24" xfId="2" applyNumberFormat="1" applyFont="1" applyFill="1" applyBorder="1" applyAlignment="1" applyProtection="1">
      <alignment horizontal="center" vertical="center" readingOrder="2"/>
      <protection locked="0"/>
    </xf>
    <xf numFmtId="167" fontId="9" fillId="2" borderId="21" xfId="2" applyNumberFormat="1" applyFont="1" applyFill="1" applyBorder="1" applyAlignment="1" applyProtection="1">
      <alignment horizontal="center" vertical="center" readingOrder="2"/>
      <protection locked="0"/>
    </xf>
    <xf numFmtId="167" fontId="9" fillId="2" borderId="2" xfId="2" applyNumberFormat="1" applyFont="1" applyFill="1" applyBorder="1" applyAlignment="1" applyProtection="1">
      <alignment horizontal="center" vertical="center" readingOrder="2"/>
      <protection locked="0"/>
    </xf>
    <xf numFmtId="1" fontId="9" fillId="4" borderId="6" xfId="2" applyNumberFormat="1" applyFont="1" applyFill="1" applyBorder="1" applyAlignment="1" applyProtection="1">
      <alignment horizontal="center" vertical="center" readingOrder="2"/>
      <protection locked="0"/>
    </xf>
    <xf numFmtId="1" fontId="9" fillId="4" borderId="8" xfId="2" applyNumberFormat="1" applyFont="1" applyFill="1" applyBorder="1" applyAlignment="1" applyProtection="1">
      <alignment horizontal="center" vertical="center" readingOrder="2"/>
      <protection locked="0"/>
    </xf>
    <xf numFmtId="1" fontId="9" fillId="4" borderId="9" xfId="2" applyNumberFormat="1" applyFont="1" applyFill="1" applyBorder="1" applyAlignment="1" applyProtection="1">
      <alignment horizontal="center" vertical="center" readingOrder="2"/>
      <protection locked="0"/>
    </xf>
    <xf numFmtId="1" fontId="9" fillId="4" borderId="3" xfId="2" applyNumberFormat="1" applyFont="1" applyFill="1" applyBorder="1" applyAlignment="1" applyProtection="1">
      <alignment horizontal="right" vertical="center" readingOrder="2"/>
      <protection locked="0"/>
    </xf>
    <xf numFmtId="1" fontId="9" fillId="4" borderId="3" xfId="2" applyNumberFormat="1" applyFont="1" applyFill="1" applyBorder="1" applyAlignment="1" applyProtection="1">
      <alignment horizontal="center" vertical="center" readingOrder="2"/>
      <protection locked="0"/>
    </xf>
    <xf numFmtId="1" fontId="9" fillId="4" borderId="6" xfId="2" applyNumberFormat="1" applyFont="1" applyFill="1" applyBorder="1" applyAlignment="1">
      <alignment horizontal="center" vertical="center"/>
    </xf>
    <xf numFmtId="1" fontId="9" fillId="4" borderId="9" xfId="2" applyNumberFormat="1" applyFont="1" applyFill="1" applyBorder="1" applyAlignment="1">
      <alignment horizontal="center" vertical="center"/>
    </xf>
    <xf numFmtId="0" fontId="9" fillId="4" borderId="0" xfId="2" applyFont="1" applyFill="1" applyAlignment="1">
      <alignment horizontal="justify" vertical="center" readingOrder="2"/>
    </xf>
    <xf numFmtId="0" fontId="9" fillId="4" borderId="0" xfId="2" applyFont="1" applyFill="1" applyAlignment="1">
      <alignment horizontal="right" vertical="center" readingOrder="2"/>
    </xf>
    <xf numFmtId="0" fontId="9" fillId="4" borderId="8" xfId="0" applyFont="1" applyFill="1" applyBorder="1" applyAlignment="1" applyProtection="1">
      <alignment horizontal="center" vertical="center" wrapText="1" readingOrder="2"/>
      <protection locked="0"/>
    </xf>
    <xf numFmtId="0" fontId="9" fillId="4" borderId="9" xfId="0" applyFont="1" applyFill="1" applyBorder="1" applyAlignment="1" applyProtection="1">
      <alignment horizontal="center" vertical="center" wrapText="1" readingOrder="2"/>
      <protection locked="0"/>
    </xf>
    <xf numFmtId="0" fontId="9" fillId="4" borderId="8" xfId="1" applyFont="1" applyFill="1" applyBorder="1" applyAlignment="1" applyProtection="1">
      <alignment horizontal="center" vertical="center" wrapText="1" readingOrder="2"/>
      <protection locked="0"/>
    </xf>
    <xf numFmtId="0" fontId="9" fillId="5" borderId="7" xfId="2" applyFont="1" applyFill="1" applyBorder="1" applyAlignment="1">
      <alignment horizontal="center" vertical="center" wrapText="1" readingOrder="2"/>
    </xf>
    <xf numFmtId="0" fontId="9" fillId="5" borderId="7" xfId="2" applyFont="1" applyFill="1" applyBorder="1" applyAlignment="1">
      <alignment horizontal="center" vertical="center" readingOrder="2"/>
    </xf>
    <xf numFmtId="0" fontId="116" fillId="6" borderId="7" xfId="2" applyFont="1" applyFill="1" applyBorder="1" applyAlignment="1" applyProtection="1">
      <alignment horizontal="center" vertical="center" readingOrder="2"/>
      <protection locked="0"/>
    </xf>
    <xf numFmtId="0" fontId="116" fillId="6" borderId="7" xfId="2" applyFont="1" applyFill="1" applyBorder="1" applyAlignment="1" applyProtection="1">
      <alignment horizontal="center" vertical="center" wrapText="1" readingOrder="2"/>
      <protection locked="0"/>
    </xf>
    <xf numFmtId="166" fontId="9" fillId="2" borderId="0" xfId="2" applyNumberFormat="1" applyFont="1" applyFill="1" applyAlignment="1">
      <alignment horizontal="center" vertical="center"/>
    </xf>
    <xf numFmtId="0" fontId="9" fillId="2" borderId="0" xfId="2" applyFont="1" applyFill="1" applyAlignment="1">
      <alignment horizontal="center" vertical="center"/>
    </xf>
    <xf numFmtId="0" fontId="9" fillId="2" borderId="0" xfId="2" applyFont="1" applyFill="1" applyAlignment="1">
      <alignment horizontal="center"/>
    </xf>
    <xf numFmtId="168" fontId="9" fillId="3" borderId="39" xfId="0" applyNumberFormat="1" applyFont="1" applyFill="1" applyBorder="1" applyAlignment="1">
      <alignment horizontal="center" vertical="center" wrapText="1" readingOrder="2"/>
    </xf>
    <xf numFmtId="168" fontId="9" fillId="3" borderId="24" xfId="0" applyNumberFormat="1" applyFont="1" applyFill="1" applyBorder="1" applyAlignment="1">
      <alignment horizontal="center" vertical="center" wrapText="1" readingOrder="2"/>
    </xf>
    <xf numFmtId="2" fontId="9" fillId="3" borderId="39" xfId="0" applyNumberFormat="1" applyFont="1" applyFill="1" applyBorder="1" applyAlignment="1">
      <alignment horizontal="center" vertical="center" wrapText="1" readingOrder="2"/>
    </xf>
    <xf numFmtId="2" fontId="9" fillId="3" borderId="24" xfId="0" applyNumberFormat="1" applyFont="1" applyFill="1" applyBorder="1" applyAlignment="1">
      <alignment horizontal="center" vertical="center" wrapText="1" readingOrder="2"/>
    </xf>
    <xf numFmtId="2" fontId="9" fillId="3" borderId="39" xfId="0" applyNumberFormat="1" applyFont="1" applyFill="1" applyBorder="1" applyAlignment="1">
      <alignment horizontal="center" vertical="center" readingOrder="2"/>
    </xf>
    <xf numFmtId="2" fontId="9" fillId="3" borderId="24" xfId="0" applyNumberFormat="1" applyFont="1" applyFill="1" applyBorder="1" applyAlignment="1">
      <alignment horizontal="center" vertical="center" readingOrder="2"/>
    </xf>
    <xf numFmtId="49" fontId="9" fillId="3" borderId="39" xfId="0" applyNumberFormat="1" applyFont="1" applyFill="1" applyBorder="1" applyAlignment="1">
      <alignment horizontal="center" vertical="center" wrapText="1" readingOrder="2"/>
    </xf>
    <xf numFmtId="49" fontId="9" fillId="3" borderId="24" xfId="0" applyNumberFormat="1" applyFont="1" applyFill="1" applyBorder="1" applyAlignment="1">
      <alignment horizontal="center" vertical="center" wrapText="1" readingOrder="2"/>
    </xf>
    <xf numFmtId="0" fontId="9" fillId="3" borderId="39" xfId="0" applyFont="1" applyFill="1" applyBorder="1" applyAlignment="1">
      <alignment horizontal="center" vertical="center" shrinkToFit="1" readingOrder="2"/>
    </xf>
    <xf numFmtId="0" fontId="9" fillId="3" borderId="24" xfId="0" applyFont="1" applyFill="1" applyBorder="1" applyAlignment="1">
      <alignment horizontal="center" vertical="center" shrinkToFit="1" readingOrder="2"/>
    </xf>
    <xf numFmtId="0" fontId="9" fillId="3" borderId="39" xfId="0" applyFont="1" applyFill="1" applyBorder="1" applyAlignment="1">
      <alignment horizontal="center" vertical="center" readingOrder="2"/>
    </xf>
    <xf numFmtId="0" fontId="9" fillId="3" borderId="24" xfId="0" applyFont="1" applyFill="1" applyBorder="1" applyAlignment="1">
      <alignment horizontal="center" vertical="center" readingOrder="2"/>
    </xf>
    <xf numFmtId="0" fontId="9" fillId="3" borderId="39" xfId="0" applyFont="1" applyFill="1" applyBorder="1" applyAlignment="1">
      <alignment horizontal="center" vertical="center" wrapText="1" readingOrder="2"/>
    </xf>
    <xf numFmtId="0" fontId="9" fillId="3" borderId="24" xfId="0" applyFont="1" applyFill="1" applyBorder="1" applyAlignment="1">
      <alignment horizontal="center" vertical="center" wrapText="1" readingOrder="2"/>
    </xf>
    <xf numFmtId="166" fontId="9" fillId="3" borderId="39" xfId="0" applyNumberFormat="1" applyFont="1" applyFill="1" applyBorder="1" applyAlignment="1">
      <alignment horizontal="center" vertical="center" readingOrder="2"/>
    </xf>
    <xf numFmtId="0" fontId="116" fillId="6" borderId="24" xfId="2" applyFont="1" applyFill="1" applyBorder="1" applyAlignment="1" applyProtection="1">
      <alignment horizontal="center" vertical="center" readingOrder="2"/>
      <protection locked="0"/>
    </xf>
    <xf numFmtId="167" fontId="116" fillId="6" borderId="24" xfId="2" applyNumberFormat="1" applyFont="1" applyFill="1" applyBorder="1" applyAlignment="1" applyProtection="1">
      <alignment horizontal="center" vertical="center" readingOrder="2"/>
      <protection locked="0"/>
    </xf>
    <xf numFmtId="1" fontId="9" fillId="10" borderId="24" xfId="2" applyNumberFormat="1" applyFont="1" applyFill="1" applyBorder="1" applyAlignment="1" applyProtection="1">
      <alignment horizontal="center" vertical="center" readingOrder="2"/>
      <protection locked="0"/>
    </xf>
    <xf numFmtId="1" fontId="9" fillId="10" borderId="21" xfId="2" applyNumberFormat="1" applyFont="1" applyFill="1" applyBorder="1" applyAlignment="1" applyProtection="1">
      <alignment horizontal="center" vertical="center" readingOrder="2"/>
      <protection locked="0"/>
    </xf>
    <xf numFmtId="1" fontId="9" fillId="10" borderId="2" xfId="2" applyNumberFormat="1" applyFont="1" applyFill="1" applyBorder="1" applyAlignment="1" applyProtection="1">
      <alignment horizontal="center" vertical="center" readingOrder="2"/>
      <protection locked="0"/>
    </xf>
    <xf numFmtId="167" fontId="9" fillId="10" borderId="24" xfId="2" applyNumberFormat="1" applyFont="1" applyFill="1" applyBorder="1" applyAlignment="1" applyProtection="1">
      <alignment horizontal="center" vertical="center" readingOrder="2"/>
      <protection locked="0"/>
    </xf>
    <xf numFmtId="167" fontId="9" fillId="10" borderId="21" xfId="2" applyNumberFormat="1" applyFont="1" applyFill="1" applyBorder="1" applyAlignment="1" applyProtection="1">
      <alignment horizontal="center" vertical="center" readingOrder="2"/>
      <protection locked="0"/>
    </xf>
    <xf numFmtId="167" fontId="9" fillId="10" borderId="2" xfId="2" applyNumberFormat="1" applyFont="1" applyFill="1" applyBorder="1" applyAlignment="1" applyProtection="1">
      <alignment horizontal="center" vertical="center" readingOrder="2"/>
      <protection locked="0"/>
    </xf>
    <xf numFmtId="49" fontId="9" fillId="10" borderId="24" xfId="0" applyNumberFormat="1" applyFont="1" applyFill="1" applyBorder="1" applyAlignment="1" applyProtection="1">
      <alignment horizontal="center" vertical="center" readingOrder="2"/>
      <protection locked="0"/>
    </xf>
    <xf numFmtId="49" fontId="9" fillId="10" borderId="21" xfId="0" applyNumberFormat="1" applyFont="1" applyFill="1" applyBorder="1" applyAlignment="1" applyProtection="1">
      <alignment horizontal="center" vertical="center" readingOrder="2"/>
      <protection locked="0"/>
    </xf>
    <xf numFmtId="49" fontId="9" fillId="10" borderId="2" xfId="0" applyNumberFormat="1" applyFont="1" applyFill="1" applyBorder="1" applyAlignment="1" applyProtection="1">
      <alignment horizontal="center" vertical="center" readingOrder="2"/>
      <protection locked="0"/>
    </xf>
    <xf numFmtId="0" fontId="9" fillId="4" borderId="0" xfId="2" applyFont="1" applyFill="1" applyAlignment="1" applyProtection="1">
      <alignment horizontal="center"/>
      <protection locked="0"/>
    </xf>
    <xf numFmtId="0" fontId="9" fillId="4" borderId="3" xfId="2" applyFont="1" applyFill="1" applyBorder="1" applyAlignment="1" applyProtection="1">
      <alignment horizontal="center"/>
      <protection locked="0"/>
    </xf>
    <xf numFmtId="1" fontId="10" fillId="4" borderId="7" xfId="2" applyNumberFormat="1" applyFont="1" applyFill="1" applyBorder="1" applyAlignment="1" applyProtection="1">
      <alignment horizontal="center" vertical="center" readingOrder="2"/>
      <protection locked="0"/>
    </xf>
    <xf numFmtId="1" fontId="10" fillId="4" borderId="6" xfId="2" applyNumberFormat="1" applyFont="1" applyFill="1" applyBorder="1" applyAlignment="1" applyProtection="1">
      <alignment horizontal="center" vertical="center" readingOrder="2"/>
      <protection locked="0"/>
    </xf>
    <xf numFmtId="1" fontId="10" fillId="4" borderId="8" xfId="2" applyNumberFormat="1" applyFont="1" applyFill="1" applyBorder="1" applyAlignment="1" applyProtection="1">
      <alignment horizontal="center" vertical="center" readingOrder="2"/>
      <protection locked="0"/>
    </xf>
    <xf numFmtId="1" fontId="10" fillId="4" borderId="9" xfId="2" applyNumberFormat="1" applyFont="1" applyFill="1" applyBorder="1" applyAlignment="1" applyProtection="1">
      <alignment horizontal="center" vertical="center" readingOrder="2"/>
      <protection locked="0"/>
    </xf>
    <xf numFmtId="1" fontId="10" fillId="4" borderId="6" xfId="2" applyNumberFormat="1" applyFont="1" applyFill="1" applyBorder="1" applyAlignment="1">
      <alignment horizontal="center" vertical="center"/>
    </xf>
    <xf numFmtId="1" fontId="10" fillId="4" borderId="86" xfId="2" applyNumberFormat="1" applyFont="1" applyFill="1" applyBorder="1" applyAlignment="1">
      <alignment horizontal="center" vertical="center"/>
    </xf>
    <xf numFmtId="0" fontId="3" fillId="2" borderId="0" xfId="2" applyFont="1" applyFill="1" applyAlignment="1">
      <alignment horizontal="center"/>
    </xf>
    <xf numFmtId="0" fontId="10" fillId="17" borderId="5" xfId="2" applyFont="1" applyFill="1" applyBorder="1" applyAlignment="1" applyProtection="1">
      <alignment vertical="center"/>
      <protection locked="0"/>
    </xf>
    <xf numFmtId="0" fontId="10" fillId="17" borderId="8" xfId="2" applyFont="1" applyFill="1" applyBorder="1" applyAlignment="1" applyProtection="1">
      <alignment vertical="center"/>
      <protection locked="0"/>
    </xf>
    <xf numFmtId="0" fontId="10" fillId="17" borderId="9" xfId="2" applyFont="1" applyFill="1" applyBorder="1" applyAlignment="1" applyProtection="1">
      <alignment vertical="center"/>
      <protection locked="0"/>
    </xf>
    <xf numFmtId="1" fontId="10" fillId="17" borderId="12" xfId="2" applyNumberFormat="1" applyFont="1" applyFill="1" applyBorder="1" applyAlignment="1" applyProtection="1">
      <alignment horizontal="left" vertical="center" readingOrder="2"/>
      <protection locked="0"/>
    </xf>
    <xf numFmtId="0" fontId="10" fillId="4" borderId="6" xfId="1" applyFont="1" applyFill="1" applyBorder="1" applyAlignment="1" applyProtection="1">
      <alignment horizontal="right" vertical="center" wrapText="1" readingOrder="2"/>
      <protection locked="0"/>
    </xf>
    <xf numFmtId="0" fontId="10" fillId="4" borderId="9" xfId="1" applyFont="1" applyFill="1" applyBorder="1" applyAlignment="1" applyProtection="1">
      <alignment horizontal="right" vertical="center" wrapText="1" readingOrder="2"/>
      <protection locked="0"/>
    </xf>
    <xf numFmtId="0" fontId="10" fillId="4" borderId="7" xfId="1" applyFont="1" applyFill="1" applyBorder="1" applyAlignment="1" applyProtection="1">
      <alignment horizontal="center" vertical="center" wrapText="1" readingOrder="2"/>
      <protection locked="0"/>
    </xf>
    <xf numFmtId="0" fontId="10" fillId="4" borderId="6" xfId="1" applyFont="1" applyFill="1" applyBorder="1" applyAlignment="1" applyProtection="1">
      <alignment horizontal="center" vertical="center" wrapText="1" readingOrder="2"/>
      <protection locked="0"/>
    </xf>
    <xf numFmtId="0" fontId="54" fillId="2" borderId="0" xfId="0" applyFont="1" applyFill="1" applyAlignment="1" applyProtection="1">
      <alignment horizontal="center" readingOrder="2"/>
      <protection locked="0"/>
    </xf>
    <xf numFmtId="0" fontId="10" fillId="17" borderId="35" xfId="0" applyFont="1" applyFill="1" applyBorder="1" applyAlignment="1" applyProtection="1">
      <alignment horizontal="right" vertical="center" readingOrder="2"/>
      <protection locked="0"/>
    </xf>
    <xf numFmtId="0" fontId="10" fillId="17" borderId="12" xfId="0" applyFont="1" applyFill="1" applyBorder="1" applyAlignment="1" applyProtection="1">
      <alignment horizontal="right" vertical="center" readingOrder="2"/>
      <protection locked="0"/>
    </xf>
    <xf numFmtId="0" fontId="10" fillId="17" borderId="13" xfId="0" applyFont="1" applyFill="1" applyBorder="1" applyAlignment="1" applyProtection="1">
      <alignment horizontal="right" vertical="center" readingOrder="2"/>
      <protection locked="0"/>
    </xf>
    <xf numFmtId="0" fontId="10" fillId="17" borderId="33" xfId="0" applyFont="1" applyFill="1" applyBorder="1" applyAlignment="1" applyProtection="1">
      <alignment horizontal="right" vertical="center" readingOrder="2"/>
      <protection locked="0"/>
    </xf>
    <xf numFmtId="0" fontId="10" fillId="17" borderId="3" xfId="0" applyFont="1" applyFill="1" applyBorder="1" applyAlignment="1" applyProtection="1">
      <alignment horizontal="right" vertical="center" readingOrder="2"/>
      <protection locked="0"/>
    </xf>
    <xf numFmtId="0" fontId="10" fillId="17" borderId="4" xfId="0" applyFont="1" applyFill="1" applyBorder="1" applyAlignment="1" applyProtection="1">
      <alignment horizontal="right" vertical="center" readingOrder="2"/>
      <protection locked="0"/>
    </xf>
    <xf numFmtId="1" fontId="10" fillId="4" borderId="3" xfId="2" applyNumberFormat="1" applyFont="1" applyFill="1" applyBorder="1" applyAlignment="1" applyProtection="1">
      <alignment horizontal="right" vertical="center" readingOrder="2"/>
      <protection locked="0"/>
    </xf>
    <xf numFmtId="1" fontId="10" fillId="4" borderId="3" xfId="2" applyNumberFormat="1" applyFont="1" applyFill="1" applyBorder="1" applyAlignment="1" applyProtection="1">
      <alignment horizontal="center" vertical="center" readingOrder="2"/>
      <protection locked="0"/>
    </xf>
    <xf numFmtId="1" fontId="10" fillId="4" borderId="120" xfId="2" applyNumberFormat="1" applyFont="1" applyFill="1" applyBorder="1" applyAlignment="1" applyProtection="1">
      <alignment horizontal="center" vertical="center" readingOrder="2"/>
      <protection locked="0"/>
    </xf>
    <xf numFmtId="0" fontId="4" fillId="2" borderId="15" xfId="2" applyFont="1" applyFill="1" applyBorder="1" applyAlignment="1" applyProtection="1">
      <alignment horizontal="center" vertical="center"/>
      <protection locked="0"/>
    </xf>
    <xf numFmtId="0" fontId="4" fillId="2" borderId="16" xfId="2" applyFont="1" applyFill="1" applyBorder="1" applyAlignment="1" applyProtection="1">
      <alignment horizontal="center" vertical="center"/>
      <protection locked="0"/>
    </xf>
    <xf numFmtId="0" fontId="4" fillId="2" borderId="17" xfId="2" applyFont="1" applyFill="1" applyBorder="1" applyAlignment="1" applyProtection="1">
      <alignment horizontal="center" vertical="center"/>
      <protection locked="0"/>
    </xf>
    <xf numFmtId="0" fontId="49" fillId="4" borderId="0" xfId="2" applyFont="1" applyFill="1" applyBorder="1" applyAlignment="1">
      <alignment horizontal="center" vertical="center" readingOrder="2"/>
    </xf>
    <xf numFmtId="0" fontId="49" fillId="4" borderId="69" xfId="2" applyFont="1" applyFill="1" applyBorder="1" applyAlignment="1">
      <alignment horizontal="center" vertical="center" readingOrder="2"/>
    </xf>
    <xf numFmtId="0" fontId="10" fillId="6" borderId="95" xfId="2" applyFont="1" applyFill="1" applyBorder="1" applyAlignment="1" applyProtection="1">
      <alignment horizontal="center" vertical="center" wrapText="1" readingOrder="2"/>
      <protection locked="0"/>
    </xf>
    <xf numFmtId="0" fontId="10" fillId="6" borderId="115" xfId="2" applyFont="1" applyFill="1" applyBorder="1" applyAlignment="1" applyProtection="1">
      <alignment horizontal="center" vertical="center" wrapText="1" readingOrder="2"/>
      <protection locked="0"/>
    </xf>
    <xf numFmtId="0" fontId="10" fillId="6" borderId="7" xfId="2" applyFont="1" applyFill="1" applyBorder="1" applyAlignment="1" applyProtection="1">
      <alignment horizontal="center" vertical="center" wrapText="1" readingOrder="2"/>
      <protection locked="0"/>
    </xf>
    <xf numFmtId="0" fontId="10" fillId="6" borderId="83" xfId="2" applyFont="1" applyFill="1" applyBorder="1" applyAlignment="1" applyProtection="1">
      <alignment horizontal="center" vertical="center" wrapText="1" readingOrder="2"/>
      <protection locked="0"/>
    </xf>
    <xf numFmtId="168" fontId="10" fillId="3" borderId="2" xfId="0" applyNumberFormat="1" applyFont="1" applyFill="1" applyBorder="1" applyAlignment="1">
      <alignment horizontal="center" vertical="center" wrapText="1" readingOrder="2"/>
    </xf>
    <xf numFmtId="168" fontId="10" fillId="3" borderId="24" xfId="0" applyNumberFormat="1" applyFont="1" applyFill="1" applyBorder="1" applyAlignment="1">
      <alignment horizontal="center" vertical="center" wrapText="1" readingOrder="2"/>
    </xf>
    <xf numFmtId="2" fontId="10" fillId="3" borderId="2" xfId="0" applyNumberFormat="1" applyFont="1" applyFill="1" applyBorder="1" applyAlignment="1">
      <alignment horizontal="center" vertical="center" wrapText="1" readingOrder="2"/>
    </xf>
    <xf numFmtId="2" fontId="10" fillId="3" borderId="24" xfId="0" applyNumberFormat="1" applyFont="1" applyFill="1" applyBorder="1" applyAlignment="1">
      <alignment horizontal="center" vertical="center" wrapText="1" readingOrder="2"/>
    </xf>
    <xf numFmtId="2" fontId="10" fillId="3" borderId="118" xfId="0" applyNumberFormat="1" applyFont="1" applyFill="1" applyBorder="1" applyAlignment="1">
      <alignment horizontal="center" vertical="center" readingOrder="2"/>
    </xf>
    <xf numFmtId="2" fontId="10" fillId="3" borderId="119" xfId="0" applyNumberFormat="1" applyFont="1" applyFill="1" applyBorder="1" applyAlignment="1">
      <alignment horizontal="center" vertical="center" readingOrder="2"/>
    </xf>
    <xf numFmtId="0" fontId="10" fillId="4" borderId="7" xfId="1" applyFont="1" applyFill="1" applyBorder="1" applyAlignment="1" applyProtection="1">
      <alignment horizontal="center" vertical="center" readingOrder="2"/>
      <protection locked="0"/>
    </xf>
    <xf numFmtId="1" fontId="10" fillId="4" borderId="9" xfId="2" applyNumberFormat="1" applyFont="1" applyFill="1" applyBorder="1" applyAlignment="1">
      <alignment horizontal="center" vertical="center"/>
    </xf>
    <xf numFmtId="0" fontId="10" fillId="6" borderId="114" xfId="2" applyFont="1" applyFill="1" applyBorder="1" applyAlignment="1" applyProtection="1">
      <alignment horizontal="center" vertical="center" readingOrder="2"/>
      <protection locked="0"/>
    </xf>
    <xf numFmtId="0" fontId="10" fillId="6" borderId="95" xfId="2" applyFont="1" applyFill="1" applyBorder="1" applyAlignment="1" applyProtection="1">
      <alignment horizontal="center" vertical="center" readingOrder="2"/>
      <protection locked="0"/>
    </xf>
    <xf numFmtId="0" fontId="10" fillId="6" borderId="105" xfId="2" applyFont="1" applyFill="1" applyBorder="1" applyAlignment="1" applyProtection="1">
      <alignment horizontal="center" vertical="center" readingOrder="2"/>
      <protection locked="0"/>
    </xf>
    <xf numFmtId="0" fontId="10" fillId="6" borderId="7" xfId="2" applyFont="1" applyFill="1" applyBorder="1" applyAlignment="1" applyProtection="1">
      <alignment horizontal="center" vertical="center" readingOrder="2"/>
      <protection locked="0"/>
    </xf>
    <xf numFmtId="0" fontId="10" fillId="6" borderId="6" xfId="2" applyFont="1" applyFill="1" applyBorder="1" applyAlignment="1" applyProtection="1">
      <alignment horizontal="center" vertical="center" readingOrder="2"/>
      <protection locked="0"/>
    </xf>
    <xf numFmtId="0" fontId="10" fillId="6" borderId="116" xfId="2" applyFont="1" applyFill="1" applyBorder="1" applyAlignment="1" applyProtection="1">
      <alignment horizontal="center" vertical="center" readingOrder="2"/>
      <protection locked="0"/>
    </xf>
    <xf numFmtId="0" fontId="10" fillId="6" borderId="24" xfId="2" applyFont="1" applyFill="1" applyBorder="1" applyAlignment="1" applyProtection="1">
      <alignment horizontal="center" vertical="center" readingOrder="2"/>
      <protection locked="0"/>
    </xf>
    <xf numFmtId="49" fontId="11" fillId="3" borderId="117" xfId="0" applyNumberFormat="1" applyFont="1" applyFill="1" applyBorder="1" applyAlignment="1">
      <alignment horizontal="center" vertical="center" wrapText="1" readingOrder="1"/>
    </xf>
    <xf numFmtId="49" fontId="11" fillId="3" borderId="116" xfId="0" applyNumberFormat="1" applyFont="1" applyFill="1" applyBorder="1" applyAlignment="1">
      <alignment horizontal="center" vertical="center" wrapText="1" readingOrder="1"/>
    </xf>
    <xf numFmtId="0" fontId="10" fillId="3" borderId="39" xfId="0" applyFont="1" applyFill="1" applyBorder="1" applyAlignment="1">
      <alignment horizontal="center" vertical="center" shrinkToFit="1" readingOrder="2"/>
    </xf>
    <xf numFmtId="0" fontId="10" fillId="3" borderId="24" xfId="0" applyFont="1" applyFill="1" applyBorder="1" applyAlignment="1">
      <alignment horizontal="center" vertical="center" shrinkToFit="1" readingOrder="2"/>
    </xf>
    <xf numFmtId="0" fontId="10" fillId="3" borderId="39" xfId="0" applyFont="1" applyFill="1" applyBorder="1" applyAlignment="1">
      <alignment horizontal="center" vertical="center" readingOrder="2"/>
    </xf>
    <xf numFmtId="0" fontId="10" fillId="3" borderId="24" xfId="0" applyFont="1" applyFill="1" applyBorder="1" applyAlignment="1">
      <alignment horizontal="center" vertical="center" readingOrder="2"/>
    </xf>
    <xf numFmtId="0" fontId="10" fillId="3" borderId="39" xfId="0" applyFont="1" applyFill="1" applyBorder="1" applyAlignment="1">
      <alignment horizontal="center" vertical="center" wrapText="1" readingOrder="2"/>
    </xf>
    <xf numFmtId="0" fontId="10" fillId="3" borderId="24" xfId="0" applyFont="1" applyFill="1" applyBorder="1" applyAlignment="1">
      <alignment horizontal="center" vertical="center" wrapText="1" readingOrder="2"/>
    </xf>
    <xf numFmtId="167" fontId="10" fillId="6" borderId="24" xfId="2" applyNumberFormat="1" applyFont="1" applyFill="1" applyBorder="1" applyAlignment="1" applyProtection="1">
      <alignment horizontal="center" vertical="center" readingOrder="2"/>
      <protection locked="0"/>
    </xf>
    <xf numFmtId="167" fontId="10" fillId="6" borderId="11" xfId="2" applyNumberFormat="1" applyFont="1" applyFill="1" applyBorder="1" applyAlignment="1" applyProtection="1">
      <alignment horizontal="center" vertical="center" readingOrder="2"/>
      <protection locked="0"/>
    </xf>
    <xf numFmtId="166" fontId="10" fillId="3" borderId="39" xfId="0" applyNumberFormat="1" applyFont="1" applyFill="1" applyBorder="1" applyAlignment="1">
      <alignment horizontal="center" vertical="center" readingOrder="2"/>
    </xf>
    <xf numFmtId="0" fontId="10" fillId="4" borderId="82" xfId="1" applyFont="1" applyFill="1" applyBorder="1" applyAlignment="1" applyProtection="1">
      <alignment horizontal="center" vertical="center" wrapText="1" readingOrder="2"/>
      <protection locked="0"/>
    </xf>
    <xf numFmtId="0" fontId="10" fillId="4" borderId="9" xfId="1" applyFont="1" applyFill="1" applyBorder="1" applyAlignment="1" applyProtection="1">
      <alignment horizontal="center" vertical="center" wrapText="1" readingOrder="2"/>
      <protection locked="0"/>
    </xf>
    <xf numFmtId="0" fontId="10" fillId="4" borderId="8" xfId="1" applyFont="1" applyFill="1" applyBorder="1" applyAlignment="1" applyProtection="1">
      <alignment horizontal="center" vertical="center" wrapText="1" readingOrder="2"/>
      <protection locked="0"/>
    </xf>
    <xf numFmtId="0" fontId="10" fillId="5" borderId="105" xfId="2" applyFont="1" applyFill="1" applyBorder="1" applyAlignment="1">
      <alignment horizontal="center" vertical="center" wrapText="1" readingOrder="2"/>
    </xf>
    <xf numFmtId="0" fontId="10" fillId="5" borderId="7" xfId="2" applyFont="1" applyFill="1" applyBorder="1" applyAlignment="1">
      <alignment horizontal="center" vertical="center" wrapText="1" readingOrder="2"/>
    </xf>
    <xf numFmtId="0" fontId="11" fillId="4" borderId="81" xfId="2" applyFont="1" applyFill="1" applyBorder="1" applyAlignment="1">
      <alignment horizontal="justify" vertical="center" readingOrder="2"/>
    </xf>
    <xf numFmtId="0" fontId="11" fillId="4" borderId="0" xfId="2" applyFont="1" applyFill="1" applyBorder="1" applyAlignment="1">
      <alignment horizontal="justify" vertical="center" readingOrder="2"/>
    </xf>
    <xf numFmtId="0" fontId="10" fillId="4" borderId="8" xfId="0" applyFont="1" applyFill="1" applyBorder="1" applyAlignment="1" applyProtection="1">
      <alignment horizontal="center" vertical="center" wrapText="1" readingOrder="2"/>
      <protection locked="0"/>
    </xf>
    <xf numFmtId="0" fontId="10" fillId="4" borderId="9" xfId="0" applyFont="1" applyFill="1" applyBorder="1" applyAlignment="1" applyProtection="1">
      <alignment horizontal="center" vertical="center" wrapText="1" readingOrder="2"/>
      <protection locked="0"/>
    </xf>
    <xf numFmtId="0" fontId="10" fillId="4" borderId="82" xfId="1" applyFont="1" applyFill="1" applyBorder="1" applyAlignment="1" applyProtection="1">
      <alignment horizontal="right" vertical="center" shrinkToFit="1" readingOrder="2"/>
      <protection locked="0"/>
    </xf>
    <xf numFmtId="0" fontId="10" fillId="4" borderId="9" xfId="1" applyFont="1" applyFill="1" applyBorder="1" applyAlignment="1" applyProtection="1">
      <alignment horizontal="right" vertical="center" shrinkToFit="1" readingOrder="2"/>
      <protection locked="0"/>
    </xf>
    <xf numFmtId="0" fontId="10" fillId="4" borderId="6" xfId="2" applyFont="1" applyFill="1" applyBorder="1" applyAlignment="1">
      <alignment horizontal="center" vertical="center" readingOrder="2"/>
    </xf>
    <xf numFmtId="0" fontId="10" fillId="4" borderId="9" xfId="2" applyFont="1" applyFill="1" applyBorder="1" applyAlignment="1">
      <alignment horizontal="center" vertical="center" readingOrder="2"/>
    </xf>
    <xf numFmtId="0" fontId="10" fillId="4" borderId="82" xfId="1" applyFont="1" applyFill="1" applyBorder="1" applyAlignment="1" applyProtection="1">
      <alignment horizontal="right" vertical="center" wrapText="1" shrinkToFit="1" readingOrder="2"/>
      <protection locked="0"/>
    </xf>
    <xf numFmtId="0" fontId="10" fillId="4" borderId="9" xfId="1" applyFont="1" applyFill="1" applyBorder="1" applyAlignment="1" applyProtection="1">
      <alignment horizontal="right" vertical="center" wrapText="1" shrinkToFit="1" readingOrder="2"/>
      <protection locked="0"/>
    </xf>
    <xf numFmtId="1" fontId="10" fillId="4" borderId="84" xfId="2" applyNumberFormat="1" applyFont="1" applyFill="1" applyBorder="1" applyAlignment="1" applyProtection="1">
      <alignment horizontal="right" vertical="center" readingOrder="1"/>
      <protection locked="0"/>
    </xf>
    <xf numFmtId="1" fontId="10" fillId="4" borderId="12" xfId="2" applyNumberFormat="1" applyFont="1" applyFill="1" applyBorder="1" applyAlignment="1" applyProtection="1">
      <alignment horizontal="right" vertical="center" readingOrder="1"/>
      <protection locked="0"/>
    </xf>
    <xf numFmtId="0" fontId="121" fillId="5" borderId="124" xfId="2" applyFont="1" applyFill="1" applyBorder="1" applyAlignment="1">
      <alignment horizontal="center" vertical="center" readingOrder="2"/>
    </xf>
    <xf numFmtId="0" fontId="121" fillId="5" borderId="125" xfId="2" applyFont="1" applyFill="1" applyBorder="1" applyAlignment="1">
      <alignment horizontal="center" vertical="center" readingOrder="2"/>
    </xf>
    <xf numFmtId="0" fontId="121" fillId="5" borderId="126" xfId="2" applyFont="1" applyFill="1" applyBorder="1" applyAlignment="1">
      <alignment horizontal="center" vertical="center" readingOrder="2"/>
    </xf>
    <xf numFmtId="49" fontId="122" fillId="2" borderId="6" xfId="0" applyNumberFormat="1" applyFont="1" applyFill="1" applyBorder="1" applyAlignment="1" applyProtection="1">
      <alignment horizontal="center" vertical="center" readingOrder="1"/>
      <protection locked="0"/>
    </xf>
    <xf numFmtId="49" fontId="122" fillId="2" borderId="8" xfId="0" applyNumberFormat="1" applyFont="1" applyFill="1" applyBorder="1" applyAlignment="1" applyProtection="1">
      <alignment horizontal="center" vertical="center" readingOrder="1"/>
      <protection locked="0"/>
    </xf>
    <xf numFmtId="49" fontId="122" fillId="2" borderId="9" xfId="0" applyNumberFormat="1" applyFont="1" applyFill="1" applyBorder="1" applyAlignment="1" applyProtection="1">
      <alignment horizontal="center" vertical="center" readingOrder="1"/>
      <protection locked="0"/>
    </xf>
    <xf numFmtId="0" fontId="10" fillId="5" borderId="7" xfId="2" applyFont="1" applyFill="1" applyBorder="1" applyAlignment="1">
      <alignment horizontal="center" vertical="center" readingOrder="2"/>
    </xf>
    <xf numFmtId="0" fontId="123" fillId="17" borderId="81" xfId="2" applyFont="1" applyFill="1" applyBorder="1" applyAlignment="1">
      <alignment vertical="center" readingOrder="2"/>
    </xf>
    <xf numFmtId="0" fontId="123" fillId="17" borderId="0" xfId="2" applyFont="1" applyFill="1" applyBorder="1" applyAlignment="1">
      <alignment vertical="center" readingOrder="2"/>
    </xf>
    <xf numFmtId="0" fontId="123" fillId="17" borderId="0" xfId="2" applyFont="1" applyFill="1" applyBorder="1" applyAlignment="1">
      <alignment horizontal="right" vertical="center" readingOrder="2"/>
    </xf>
    <xf numFmtId="0" fontId="123" fillId="17" borderId="69" xfId="2" applyFont="1" applyFill="1" applyBorder="1" applyAlignment="1">
      <alignment horizontal="right" vertical="center" readingOrder="2"/>
    </xf>
    <xf numFmtId="0" fontId="11" fillId="4" borderId="7" xfId="1" applyFont="1" applyFill="1" applyBorder="1" applyAlignment="1" applyProtection="1">
      <alignment horizontal="right" vertical="center" shrinkToFit="1" readingOrder="2"/>
      <protection locked="0"/>
    </xf>
    <xf numFmtId="0" fontId="11" fillId="4" borderId="6" xfId="1" applyFont="1" applyFill="1" applyBorder="1" applyAlignment="1" applyProtection="1">
      <alignment horizontal="right" vertical="center" shrinkToFit="1" readingOrder="2"/>
      <protection locked="0"/>
    </xf>
    <xf numFmtId="0" fontId="10" fillId="4" borderId="7" xfId="1" applyFont="1" applyFill="1" applyBorder="1" applyAlignment="1" applyProtection="1">
      <alignment horizontal="right" vertical="center" wrapText="1" readingOrder="2"/>
      <protection locked="0"/>
    </xf>
    <xf numFmtId="1" fontId="10" fillId="4" borderId="6" xfId="2" applyNumberFormat="1" applyFont="1" applyFill="1" applyBorder="1" applyAlignment="1" applyProtection="1">
      <alignment horizontal="left" vertical="center" readingOrder="2"/>
      <protection locked="0"/>
    </xf>
    <xf numFmtId="1" fontId="10" fillId="4" borderId="8" xfId="2" applyNumberFormat="1" applyFont="1" applyFill="1" applyBorder="1" applyAlignment="1" applyProtection="1">
      <alignment horizontal="left" vertical="center" readingOrder="2"/>
      <protection locked="0"/>
    </xf>
    <xf numFmtId="1" fontId="10" fillId="4" borderId="9" xfId="2" applyNumberFormat="1" applyFont="1" applyFill="1" applyBorder="1" applyAlignment="1" applyProtection="1">
      <alignment horizontal="left" vertical="center" readingOrder="2"/>
      <protection locked="0"/>
    </xf>
    <xf numFmtId="0" fontId="10" fillId="4" borderId="86" xfId="2" applyFont="1" applyFill="1" applyBorder="1" applyAlignment="1">
      <alignment horizontal="center" vertical="center" readingOrder="2"/>
    </xf>
    <xf numFmtId="0" fontId="10" fillId="4" borderId="5" xfId="1" applyFont="1" applyFill="1" applyBorder="1" applyAlignment="1" applyProtection="1">
      <alignment horizontal="right" vertical="center" wrapText="1" readingOrder="2"/>
      <protection locked="0"/>
    </xf>
    <xf numFmtId="0" fontId="10" fillId="4" borderId="8" xfId="1" applyFont="1" applyFill="1" applyBorder="1" applyAlignment="1" applyProtection="1">
      <alignment horizontal="right" vertical="center" wrapText="1" readingOrder="2"/>
      <protection locked="0"/>
    </xf>
    <xf numFmtId="0" fontId="10" fillId="4" borderId="36" xfId="1" applyFont="1" applyFill="1" applyBorder="1" applyAlignment="1" applyProtection="1">
      <alignment horizontal="right" vertical="center" wrapText="1" readingOrder="2"/>
      <protection locked="0"/>
    </xf>
    <xf numFmtId="0" fontId="10" fillId="4" borderId="6" xfId="0" applyFont="1" applyFill="1" applyBorder="1" applyAlignment="1" applyProtection="1">
      <alignment horizontal="right" vertical="center" readingOrder="2"/>
      <protection locked="0"/>
    </xf>
    <xf numFmtId="0" fontId="10" fillId="4" borderId="8" xfId="0" applyFont="1" applyFill="1" applyBorder="1" applyAlignment="1" applyProtection="1">
      <alignment horizontal="right" vertical="center" readingOrder="2"/>
      <protection locked="0"/>
    </xf>
    <xf numFmtId="0" fontId="10" fillId="4" borderId="9" xfId="0" applyFont="1" applyFill="1" applyBorder="1" applyAlignment="1" applyProtection="1">
      <alignment horizontal="right" vertical="center" readingOrder="2"/>
      <protection locked="0"/>
    </xf>
    <xf numFmtId="0" fontId="10" fillId="4" borderId="33" xfId="0" applyFont="1" applyFill="1" applyBorder="1" applyAlignment="1" applyProtection="1">
      <alignment horizontal="center" vertical="center" readingOrder="2"/>
      <protection locked="0"/>
    </xf>
    <xf numFmtId="0" fontId="10" fillId="4" borderId="4" xfId="0" applyFont="1" applyFill="1" applyBorder="1" applyAlignment="1" applyProtection="1">
      <alignment horizontal="center" vertical="center" readingOrder="2"/>
      <protection locked="0"/>
    </xf>
    <xf numFmtId="0" fontId="64" fillId="0" borderId="7" xfId="0" applyFont="1" applyBorder="1" applyAlignment="1">
      <alignment horizontal="center" vertical="center"/>
    </xf>
    <xf numFmtId="0" fontId="65" fillId="0" borderId="3" xfId="0" applyFont="1" applyBorder="1" applyAlignment="1">
      <alignment horizontal="center"/>
    </xf>
    <xf numFmtId="0" fontId="64" fillId="0" borderId="6" xfId="0" applyFont="1" applyBorder="1" applyAlignment="1">
      <alignment horizontal="center" vertical="center"/>
    </xf>
    <xf numFmtId="0" fontId="64" fillId="0" borderId="8" xfId="0" applyFont="1" applyBorder="1" applyAlignment="1">
      <alignment horizontal="center" vertical="center"/>
    </xf>
    <xf numFmtId="0" fontId="64" fillId="0" borderId="9" xfId="0" applyFont="1" applyBorder="1" applyAlignment="1">
      <alignment horizontal="center" vertical="center"/>
    </xf>
    <xf numFmtId="0" fontId="67" fillId="7" borderId="6" xfId="0" applyFont="1" applyFill="1" applyBorder="1" applyAlignment="1">
      <alignment horizontal="center" vertical="center"/>
    </xf>
    <xf numFmtId="0" fontId="67" fillId="7" borderId="8" xfId="0" applyFont="1" applyFill="1" applyBorder="1" applyAlignment="1">
      <alignment horizontal="center" vertical="center"/>
    </xf>
    <xf numFmtId="0" fontId="67" fillId="7" borderId="9" xfId="0" applyFont="1" applyFill="1" applyBorder="1" applyAlignment="1">
      <alignment horizontal="center" vertical="center"/>
    </xf>
    <xf numFmtId="173" fontId="32" fillId="0" borderId="49" xfId="0" applyNumberFormat="1" applyFont="1" applyBorder="1" applyAlignment="1">
      <alignment horizontal="center" vertical="center"/>
    </xf>
    <xf numFmtId="173" fontId="32" fillId="0" borderId="50" xfId="0" applyNumberFormat="1" applyFont="1" applyBorder="1" applyAlignment="1">
      <alignment horizontal="center" vertical="center"/>
    </xf>
    <xf numFmtId="171" fontId="30" fillId="3" borderId="43" xfId="0" applyNumberFormat="1" applyFont="1" applyFill="1" applyBorder="1" applyAlignment="1">
      <alignment horizontal="center" vertical="center"/>
    </xf>
    <xf numFmtId="171" fontId="30" fillId="3" borderId="44" xfId="0" applyNumberFormat="1" applyFont="1" applyFill="1" applyBorder="1" applyAlignment="1">
      <alignment horizontal="center" vertical="center"/>
    </xf>
    <xf numFmtId="173" fontId="33" fillId="11" borderId="44" xfId="0" applyNumberFormat="1" applyFont="1" applyFill="1" applyBorder="1" applyAlignment="1">
      <alignment horizontal="center" vertical="center"/>
    </xf>
    <xf numFmtId="173" fontId="33" fillId="11" borderId="45" xfId="0" applyNumberFormat="1" applyFont="1" applyFill="1" applyBorder="1" applyAlignment="1">
      <alignment horizontal="center" vertical="center"/>
    </xf>
    <xf numFmtId="171" fontId="30" fillId="3" borderId="51" xfId="0" applyNumberFormat="1" applyFont="1" applyFill="1" applyBorder="1" applyAlignment="1">
      <alignment horizontal="center" vertical="center"/>
    </xf>
    <xf numFmtId="171" fontId="30" fillId="3" borderId="52" xfId="0" applyNumberFormat="1" applyFont="1" applyFill="1" applyBorder="1" applyAlignment="1">
      <alignment horizontal="center" vertical="center"/>
    </xf>
    <xf numFmtId="173" fontId="33" fillId="12" borderId="44" xfId="0" applyNumberFormat="1" applyFont="1" applyFill="1" applyBorder="1" applyAlignment="1">
      <alignment horizontal="center" vertical="center"/>
    </xf>
    <xf numFmtId="173" fontId="33" fillId="12" borderId="45" xfId="0" applyNumberFormat="1" applyFont="1" applyFill="1" applyBorder="1" applyAlignment="1">
      <alignment horizontal="center" vertical="center"/>
    </xf>
    <xf numFmtId="173" fontId="33" fillId="12" borderId="52" xfId="0" applyNumberFormat="1" applyFont="1" applyFill="1" applyBorder="1" applyAlignment="1">
      <alignment horizontal="center" vertical="center"/>
    </xf>
    <xf numFmtId="173" fontId="33" fillId="12" borderId="53" xfId="0" applyNumberFormat="1" applyFont="1" applyFill="1" applyBorder="1" applyAlignment="1">
      <alignment horizontal="center" vertical="center"/>
    </xf>
    <xf numFmtId="173" fontId="32" fillId="7" borderId="49" xfId="0" applyNumberFormat="1" applyFont="1" applyFill="1" applyBorder="1" applyAlignment="1">
      <alignment horizontal="center" vertical="center"/>
    </xf>
    <xf numFmtId="173" fontId="32" fillId="7" borderId="50" xfId="0" applyNumberFormat="1" applyFont="1" applyFill="1" applyBorder="1" applyAlignment="1">
      <alignment horizontal="center" vertical="center"/>
    </xf>
    <xf numFmtId="10" fontId="27" fillId="0" borderId="0" xfId="0" applyNumberFormat="1" applyFont="1" applyAlignment="1">
      <alignment horizontal="center"/>
    </xf>
    <xf numFmtId="173" fontId="32" fillId="0" borderId="44" xfId="0" applyNumberFormat="1" applyFont="1" applyBorder="1" applyAlignment="1">
      <alignment horizontal="center" vertical="center"/>
    </xf>
    <xf numFmtId="173" fontId="32" fillId="0" borderId="45" xfId="0" applyNumberFormat="1" applyFont="1" applyBorder="1" applyAlignment="1">
      <alignment horizontal="center" vertical="center"/>
    </xf>
    <xf numFmtId="171" fontId="22" fillId="7" borderId="40" xfId="0" applyNumberFormat="1" applyFont="1" applyFill="1" applyBorder="1" applyAlignment="1">
      <alignment horizontal="center" vertical="center"/>
    </xf>
    <xf numFmtId="171" fontId="22" fillId="7" borderId="41" xfId="0" applyNumberFormat="1" applyFont="1" applyFill="1" applyBorder="1" applyAlignment="1">
      <alignment horizontal="center" vertical="center"/>
    </xf>
    <xf numFmtId="171" fontId="22" fillId="7" borderId="42" xfId="0" applyNumberFormat="1" applyFont="1" applyFill="1" applyBorder="1" applyAlignment="1">
      <alignment horizontal="center" vertical="center"/>
    </xf>
    <xf numFmtId="10" fontId="29" fillId="0" borderId="0" xfId="0" applyNumberFormat="1" applyFont="1" applyAlignment="1">
      <alignment horizontal="center"/>
    </xf>
    <xf numFmtId="171" fontId="28" fillId="0" borderId="0" xfId="0" applyNumberFormat="1" applyFont="1" applyAlignment="1">
      <alignment horizontal="center"/>
    </xf>
    <xf numFmtId="171" fontId="24" fillId="4" borderId="46" xfId="0" applyNumberFormat="1" applyFont="1" applyFill="1" applyBorder="1" applyAlignment="1">
      <alignment horizontal="center" vertical="center"/>
    </xf>
    <xf numFmtId="171" fontId="24" fillId="4" borderId="47" xfId="0" applyNumberFormat="1" applyFont="1" applyFill="1" applyBorder="1" applyAlignment="1">
      <alignment horizontal="center" vertical="center"/>
    </xf>
    <xf numFmtId="171" fontId="24" fillId="4" borderId="48" xfId="0" applyNumberFormat="1" applyFont="1" applyFill="1" applyBorder="1" applyAlignment="1">
      <alignment horizontal="center" vertical="center"/>
    </xf>
    <xf numFmtId="171" fontId="30" fillId="10" borderId="44" xfId="0" applyNumberFormat="1" applyFont="1" applyFill="1" applyBorder="1" applyAlignment="1">
      <alignment horizontal="center" vertical="center"/>
    </xf>
    <xf numFmtId="171" fontId="30" fillId="10" borderId="45" xfId="0" applyNumberFormat="1" applyFont="1" applyFill="1" applyBorder="1" applyAlignment="1">
      <alignment horizontal="center" vertical="center"/>
    </xf>
    <xf numFmtId="169" fontId="4" fillId="14" borderId="22" xfId="7" applyNumberFormat="1" applyFont="1" applyFill="1" applyBorder="1" applyAlignment="1">
      <alignment horizontal="center" vertical="center" readingOrder="2"/>
    </xf>
    <xf numFmtId="169" fontId="4" fillId="14" borderId="23" xfId="7" applyNumberFormat="1" applyFont="1" applyFill="1" applyBorder="1" applyAlignment="1">
      <alignment horizontal="center" vertical="center" readingOrder="2"/>
    </xf>
    <xf numFmtId="1" fontId="61" fillId="0" borderId="0" xfId="0" applyNumberFormat="1" applyFont="1" applyAlignment="1">
      <alignment horizontal="center" vertical="center" readingOrder="2"/>
    </xf>
    <xf numFmtId="0" fontId="59" fillId="0" borderId="81" xfId="7" applyFont="1" applyBorder="1" applyAlignment="1">
      <alignment horizontal="right" vertical="center" readingOrder="2"/>
    </xf>
    <xf numFmtId="0" fontId="60" fillId="0" borderId="0" xfId="7" applyFont="1" applyBorder="1" applyAlignment="1">
      <alignment horizontal="right" vertical="center" readingOrder="2"/>
    </xf>
    <xf numFmtId="0" fontId="60" fillId="0" borderId="31" xfId="7" applyFont="1" applyBorder="1" applyAlignment="1">
      <alignment horizontal="right" vertical="center" readingOrder="2"/>
    </xf>
    <xf numFmtId="169" fontId="17" fillId="4" borderId="22" xfId="7" applyNumberFormat="1" applyFont="1" applyFill="1" applyBorder="1" applyAlignment="1">
      <alignment horizontal="center" vertical="center" readingOrder="2"/>
    </xf>
    <xf numFmtId="169" fontId="17" fillId="4" borderId="23" xfId="7" applyNumberFormat="1" applyFont="1" applyFill="1" applyBorder="1" applyAlignment="1">
      <alignment horizontal="center" vertical="center" readingOrder="2"/>
    </xf>
    <xf numFmtId="169" fontId="17" fillId="4" borderId="27" xfId="7" applyNumberFormat="1" applyFont="1" applyFill="1" applyBorder="1" applyAlignment="1">
      <alignment horizontal="center" vertical="center" readingOrder="2"/>
    </xf>
    <xf numFmtId="0" fontId="60" fillId="0" borderId="20" xfId="7" applyFont="1" applyBorder="1" applyAlignment="1">
      <alignment horizontal="center" vertical="center" readingOrder="2"/>
    </xf>
    <xf numFmtId="0" fontId="60" fillId="0" borderId="0" xfId="7" applyFont="1" applyBorder="1" applyAlignment="1">
      <alignment horizontal="center" vertical="center" readingOrder="2"/>
    </xf>
    <xf numFmtId="0" fontId="4" fillId="0" borderId="20" xfId="7" applyFont="1" applyBorder="1" applyAlignment="1">
      <alignment horizontal="center" vertical="center" readingOrder="2"/>
    </xf>
    <xf numFmtId="0" fontId="4" fillId="0" borderId="69" xfId="7" applyFont="1" applyBorder="1" applyAlignment="1">
      <alignment horizontal="center" vertical="center" readingOrder="2"/>
    </xf>
    <xf numFmtId="0" fontId="60" fillId="0" borderId="81" xfId="7" applyFont="1" applyBorder="1" applyAlignment="1">
      <alignment horizontal="right" vertical="center" readingOrder="2"/>
    </xf>
    <xf numFmtId="0" fontId="4" fillId="0" borderId="81" xfId="7" applyFont="1" applyBorder="1" applyAlignment="1">
      <alignment horizontal="right" vertical="center" readingOrder="2"/>
    </xf>
    <xf numFmtId="0" fontId="4" fillId="0" borderId="0" xfId="7" applyFont="1" applyBorder="1" applyAlignment="1">
      <alignment horizontal="right" vertical="center" readingOrder="2"/>
    </xf>
    <xf numFmtId="174" fontId="4" fillId="0" borderId="0" xfId="7" applyNumberFormat="1" applyFont="1" applyBorder="1" applyAlignment="1">
      <alignment horizontal="center" vertical="center" readingOrder="2"/>
    </xf>
    <xf numFmtId="174" fontId="4" fillId="0" borderId="31" xfId="7" applyNumberFormat="1" applyFont="1" applyBorder="1" applyAlignment="1">
      <alignment horizontal="center" vertical="center" readingOrder="2"/>
    </xf>
    <xf numFmtId="0" fontId="39" fillId="0" borderId="81" xfId="7" applyFont="1" applyBorder="1" applyAlignment="1">
      <alignment horizontal="center"/>
    </xf>
    <xf numFmtId="0" fontId="39" fillId="0" borderId="0" xfId="7" applyFont="1" applyBorder="1" applyAlignment="1">
      <alignment horizontal="center"/>
    </xf>
    <xf numFmtId="0" fontId="40" fillId="0" borderId="81" xfId="7" applyFont="1" applyBorder="1" applyAlignment="1">
      <alignment horizontal="center" vertical="center" readingOrder="2"/>
    </xf>
    <xf numFmtId="0" fontId="40" fillId="0" borderId="0" xfId="7" applyFont="1" applyBorder="1" applyAlignment="1">
      <alignment horizontal="center" vertical="center" readingOrder="2"/>
    </xf>
    <xf numFmtId="0" fontId="40" fillId="0" borderId="69" xfId="7" applyFont="1" applyBorder="1" applyAlignment="1">
      <alignment horizontal="center" vertical="center" readingOrder="2"/>
    </xf>
    <xf numFmtId="0" fontId="62" fillId="0" borderId="81" xfId="7" applyFont="1" applyBorder="1" applyAlignment="1">
      <alignment horizontal="center" vertical="center" readingOrder="2"/>
    </xf>
    <xf numFmtId="0" fontId="62" fillId="0" borderId="0" xfId="7" applyFont="1" applyBorder="1" applyAlignment="1">
      <alignment horizontal="center" vertical="center" readingOrder="2"/>
    </xf>
    <xf numFmtId="0" fontId="62" fillId="0" borderId="69" xfId="7" applyFont="1" applyBorder="1" applyAlignment="1">
      <alignment horizontal="center" vertical="center" readingOrder="2"/>
    </xf>
    <xf numFmtId="0" fontId="4" fillId="0" borderId="81" xfId="7" applyFont="1" applyBorder="1" applyAlignment="1">
      <alignment horizontal="center" vertical="center" readingOrder="2"/>
    </xf>
    <xf numFmtId="0" fontId="4" fillId="0" borderId="0" xfId="7" applyFont="1" applyBorder="1" applyAlignment="1">
      <alignment horizontal="center" vertical="center" readingOrder="2"/>
    </xf>
    <xf numFmtId="10" fontId="4" fillId="4" borderId="49" xfId="7" applyNumberFormat="1" applyFont="1" applyFill="1" applyBorder="1" applyAlignment="1">
      <alignment horizontal="center" vertical="center" readingOrder="2"/>
    </xf>
    <xf numFmtId="10" fontId="4" fillId="4" borderId="48" xfId="7" applyNumberFormat="1" applyFont="1" applyFill="1" applyBorder="1" applyAlignment="1">
      <alignment horizontal="center" vertical="center" readingOrder="2"/>
    </xf>
    <xf numFmtId="0" fontId="60" fillId="0" borderId="81" xfId="7" applyFont="1" applyBorder="1" applyAlignment="1">
      <alignment horizontal="center" vertical="center" readingOrder="2"/>
    </xf>
    <xf numFmtId="0" fontId="60" fillId="0" borderId="69" xfId="7" applyFont="1" applyBorder="1" applyAlignment="1">
      <alignment horizontal="center" vertical="center" readingOrder="2"/>
    </xf>
    <xf numFmtId="0" fontId="59" fillId="0" borderId="0" xfId="7" applyFont="1" applyBorder="1" applyAlignment="1">
      <alignment horizontal="right" vertical="center" readingOrder="2"/>
    </xf>
    <xf numFmtId="0" fontId="60" fillId="0" borderId="69" xfId="7" applyFont="1" applyBorder="1" applyAlignment="1">
      <alignment horizontal="right" vertical="center" readingOrder="2"/>
    </xf>
    <xf numFmtId="0" fontId="103" fillId="0" borderId="0" xfId="7" applyFont="1" applyAlignment="1">
      <alignment horizontal="center" vertical="center"/>
    </xf>
    <xf numFmtId="177" fontId="4" fillId="4" borderId="22" xfId="7" applyNumberFormat="1" applyFont="1" applyFill="1" applyBorder="1" applyAlignment="1">
      <alignment horizontal="center" vertical="center" readingOrder="2"/>
    </xf>
    <xf numFmtId="177" fontId="4" fillId="4" borderId="23" xfId="7" applyNumberFormat="1" applyFont="1" applyFill="1" applyBorder="1" applyAlignment="1">
      <alignment horizontal="center" vertical="center" readingOrder="2"/>
    </xf>
    <xf numFmtId="177" fontId="4" fillId="4" borderId="27" xfId="7" applyNumberFormat="1" applyFont="1" applyFill="1" applyBorder="1" applyAlignment="1">
      <alignment horizontal="center" vertical="center" readingOrder="2"/>
    </xf>
    <xf numFmtId="169" fontId="4" fillId="4" borderId="22" xfId="7" applyNumberFormat="1" applyFont="1" applyFill="1" applyBorder="1" applyAlignment="1">
      <alignment horizontal="center" vertical="center" readingOrder="2"/>
    </xf>
    <xf numFmtId="169" fontId="4" fillId="4" borderId="23" xfId="7" applyNumberFormat="1" applyFont="1" applyFill="1" applyBorder="1" applyAlignment="1">
      <alignment horizontal="center" vertical="center" readingOrder="2"/>
    </xf>
    <xf numFmtId="169" fontId="4" fillId="4" borderId="27" xfId="7" applyNumberFormat="1" applyFont="1" applyFill="1" applyBorder="1" applyAlignment="1">
      <alignment horizontal="center" vertical="center" readingOrder="2"/>
    </xf>
    <xf numFmtId="0" fontId="3" fillId="0" borderId="20" xfId="7" applyFont="1" applyBorder="1" applyAlignment="1">
      <alignment horizontal="center" vertical="center" readingOrder="2"/>
    </xf>
    <xf numFmtId="0" fontId="3" fillId="0" borderId="0" xfId="7" applyFont="1" applyBorder="1" applyAlignment="1">
      <alignment horizontal="center" vertical="center" readingOrder="2"/>
    </xf>
    <xf numFmtId="0" fontId="3" fillId="0" borderId="69" xfId="7" applyFont="1" applyBorder="1" applyAlignment="1">
      <alignment horizontal="center" vertical="center" readingOrder="2"/>
    </xf>
    <xf numFmtId="0" fontId="60" fillId="0" borderId="0" xfId="7" applyFont="1" applyBorder="1" applyAlignment="1">
      <alignment horizontal="center" vertical="center"/>
    </xf>
    <xf numFmtId="0" fontId="60" fillId="0" borderId="69" xfId="7" applyFont="1" applyBorder="1" applyAlignment="1">
      <alignment horizontal="center" vertical="center"/>
    </xf>
    <xf numFmtId="0" fontId="56" fillId="0" borderId="0" xfId="7" applyFont="1" applyAlignment="1">
      <alignment horizontal="center"/>
    </xf>
    <xf numFmtId="0" fontId="70" fillId="22" borderId="24" xfId="0" applyFont="1" applyFill="1" applyBorder="1" applyAlignment="1">
      <alignment horizontal="center" vertical="center" wrapText="1"/>
    </xf>
    <xf numFmtId="0" fontId="70" fillId="22" borderId="2" xfId="0" applyFont="1" applyFill="1" applyBorder="1" applyAlignment="1">
      <alignment horizontal="center" vertical="center" wrapText="1"/>
    </xf>
    <xf numFmtId="0" fontId="69" fillId="22" borderId="7" xfId="0" applyFont="1" applyFill="1" applyBorder="1" applyAlignment="1">
      <alignment horizontal="center" wrapText="1"/>
    </xf>
    <xf numFmtId="0" fontId="69" fillId="22" borderId="7" xfId="0" applyFont="1" applyFill="1" applyBorder="1" applyAlignment="1">
      <alignment horizontal="center" vertical="center" wrapText="1"/>
    </xf>
    <xf numFmtId="0" fontId="71" fillId="22" borderId="24" xfId="0" applyFont="1" applyFill="1" applyBorder="1" applyAlignment="1">
      <alignment horizontal="center" vertical="center" wrapText="1"/>
    </xf>
    <xf numFmtId="0" fontId="71" fillId="22" borderId="2" xfId="0" applyFont="1" applyFill="1" applyBorder="1" applyAlignment="1">
      <alignment horizontal="center" vertical="center" wrapText="1"/>
    </xf>
    <xf numFmtId="0" fontId="68" fillId="23" borderId="7" xfId="0" applyFont="1" applyFill="1" applyBorder="1" applyAlignment="1">
      <alignment horizontal="center" vertical="center"/>
    </xf>
    <xf numFmtId="0" fontId="68" fillId="23" borderId="24" xfId="0" applyFont="1" applyFill="1" applyBorder="1" applyAlignment="1">
      <alignment horizontal="center" vertical="center"/>
    </xf>
    <xf numFmtId="0" fontId="68" fillId="23" borderId="2" xfId="0" applyFont="1" applyFill="1" applyBorder="1" applyAlignment="1">
      <alignment horizontal="center" vertical="center"/>
    </xf>
  </cellXfs>
  <cellStyles count="11">
    <cellStyle name="Normal" xfId="0" builtinId="0"/>
    <cellStyle name="Normal 2" xfId="2" xr:uid="{00000000-0005-0000-0000-000001000000}"/>
    <cellStyle name="Normal 2 2 2" xfId="4" xr:uid="{00000000-0005-0000-0000-000002000000}"/>
    <cellStyle name="Normal 2 2 2 2" xfId="6" xr:uid="{00000000-0005-0000-0000-000003000000}"/>
    <cellStyle name="Normal 3" xfId="3" xr:uid="{00000000-0005-0000-0000-000004000000}"/>
    <cellStyle name="Normal 3 2" xfId="8" xr:uid="{00000000-0005-0000-0000-000005000000}"/>
    <cellStyle name="Normal 4" xfId="7" xr:uid="{00000000-0005-0000-0000-000006000000}"/>
    <cellStyle name="Normal 4 2" xfId="9" xr:uid="{00000000-0005-0000-0000-000007000000}"/>
    <cellStyle name="Normal 5" xfId="10" xr:uid="{00000000-0005-0000-0000-000008000000}"/>
    <cellStyle name="Percent" xfId="5" builtinId="5"/>
    <cellStyle name="Title" xfId="1" builtinId="15"/>
  </cellStyles>
  <dxfs count="0"/>
  <tableStyles count="0" defaultTableStyle="TableStyleMedium2" defaultPivotStyle="PivotStyleLight16"/>
  <colors>
    <mruColors>
      <color rgb="FFBC8FDD"/>
      <color rgb="FF99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2677026</xdr:colOff>
      <xdr:row>1</xdr:row>
      <xdr:rowOff>137109</xdr:rowOff>
    </xdr:from>
    <xdr:ext cx="9133974" cy="3215691"/>
    <xdr:pic>
      <xdr:nvPicPr>
        <xdr:cNvPr id="2" name="Picture 1">
          <a:extLst>
            <a:ext uri="{FF2B5EF4-FFF2-40B4-BE49-F238E27FC236}">
              <a16:creationId xmlns:a16="http://schemas.microsoft.com/office/drawing/2014/main" id="{AEF6D913-D327-465D-B295-7B8B4AC003F4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32159200" y="1051509"/>
          <a:ext cx="9133974" cy="3215691"/>
        </a:xfrm>
        <a:prstGeom prst="rect">
          <a:avLst/>
        </a:prstGeom>
      </xdr:spPr>
    </xdr:pic>
    <xdr:clientData/>
  </xdr:oneCellAnchor>
  <xdr:oneCellAnchor>
    <xdr:from>
      <xdr:col>56</xdr:col>
      <xdr:colOff>216567</xdr:colOff>
      <xdr:row>0</xdr:row>
      <xdr:rowOff>838200</xdr:rowOff>
    </xdr:from>
    <xdr:ext cx="13080332" cy="4832685"/>
    <xdr:pic>
      <xdr:nvPicPr>
        <xdr:cNvPr id="3" name="Picture 2">
          <a:extLst>
            <a:ext uri="{FF2B5EF4-FFF2-40B4-BE49-F238E27FC236}">
              <a16:creationId xmlns:a16="http://schemas.microsoft.com/office/drawing/2014/main" id="{6A9F0E1E-E27B-456A-9995-521120BD0DD3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20335701" y="838200"/>
          <a:ext cx="13080332" cy="4832685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1801812</xdr:colOff>
      <xdr:row>3</xdr:row>
      <xdr:rowOff>219075</xdr:rowOff>
    </xdr:from>
    <xdr:to>
      <xdr:col>16</xdr:col>
      <xdr:colOff>3811587</xdr:colOff>
      <xdr:row>4</xdr:row>
      <xdr:rowOff>1244600</xdr:rowOff>
    </xdr:to>
    <xdr:pic>
      <xdr:nvPicPr>
        <xdr:cNvPr id="2" name="Picture 5">
          <a:extLst>
            <a:ext uri="{FF2B5EF4-FFF2-40B4-BE49-F238E27FC236}">
              <a16:creationId xmlns:a16="http://schemas.microsoft.com/office/drawing/2014/main" id="{2A90963E-3AB4-41C7-A01F-9911A68789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11604933" y="5156835"/>
          <a:ext cx="2025015" cy="26714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>
    <tabColor theme="8" tint="-0.499984740745262"/>
    <pageSetUpPr fitToPage="1"/>
  </sheetPr>
  <dimension ref="A1:BN336"/>
  <sheetViews>
    <sheetView rightToLeft="1" view="pageBreakPreview" zoomScale="10" zoomScaleNormal="10" zoomScaleSheetLayoutView="10" workbookViewId="0">
      <pane xSplit="6" ySplit="7" topLeftCell="G34" activePane="bottomRight" state="frozen"/>
      <selection pane="topRight" activeCell="G1" sqref="G1"/>
      <selection pane="bottomLeft" activeCell="A8" sqref="A8"/>
      <selection pane="bottomRight" activeCell="F3" sqref="F1:F1048576"/>
    </sheetView>
  </sheetViews>
  <sheetFormatPr defaultColWidth="8.85546875" defaultRowHeight="96" x14ac:dyDescent="1.4"/>
  <cols>
    <col min="1" max="1" width="36.7109375" style="393" customWidth="1"/>
    <col min="2" max="2" width="160.28515625" style="92" customWidth="1"/>
    <col min="3" max="3" width="37.85546875" style="91" customWidth="1"/>
    <col min="4" max="4" width="47" style="90" customWidth="1"/>
    <col min="5" max="5" width="54.140625" style="89" customWidth="1"/>
    <col min="6" max="6" width="45.7109375" style="385" customWidth="1"/>
    <col min="7" max="59" width="25.7109375" style="386" customWidth="1"/>
    <col min="60" max="60" width="25.7109375" style="387" customWidth="1"/>
    <col min="61" max="61" width="100.28515625" style="367" customWidth="1"/>
    <col min="62" max="62" width="95.140625" style="87" hidden="1" customWidth="1"/>
    <col min="63" max="63" width="223.7109375" style="86" customWidth="1"/>
    <col min="64" max="64" width="114.5703125" style="85" customWidth="1"/>
    <col min="65" max="66" width="8.85546875" style="84"/>
    <col min="67" max="16384" width="8.85546875" style="83"/>
  </cols>
  <sheetData>
    <row r="1" spans="1:64" s="100" customFormat="1" ht="70.900000000000006" customHeight="1" x14ac:dyDescent="1.1499999999999999">
      <c r="A1" s="825" t="s">
        <v>0</v>
      </c>
      <c r="B1" s="825"/>
      <c r="C1" s="825"/>
      <c r="D1" s="825"/>
      <c r="E1" s="830"/>
      <c r="F1" s="830"/>
      <c r="G1" s="830"/>
      <c r="H1" s="830"/>
      <c r="I1" s="830"/>
      <c r="J1" s="830"/>
      <c r="K1" s="830"/>
      <c r="L1" s="830"/>
      <c r="M1" s="830"/>
      <c r="N1" s="830"/>
      <c r="O1" s="830"/>
      <c r="P1" s="830"/>
      <c r="Q1" s="830"/>
      <c r="R1" s="830"/>
      <c r="S1" s="830"/>
      <c r="T1" s="830"/>
      <c r="U1" s="830"/>
      <c r="V1" s="831" t="s">
        <v>785</v>
      </c>
      <c r="W1" s="831"/>
      <c r="X1" s="831"/>
      <c r="Y1" s="831"/>
      <c r="Z1" s="831"/>
      <c r="AA1" s="831"/>
      <c r="AB1" s="831"/>
      <c r="AC1" s="831"/>
      <c r="AD1" s="831"/>
      <c r="AE1" s="831"/>
      <c r="AF1" s="831"/>
      <c r="AG1" s="831"/>
      <c r="AH1" s="831"/>
      <c r="AI1" s="831"/>
      <c r="AJ1" s="831"/>
      <c r="AK1" s="831"/>
      <c r="AL1" s="831"/>
      <c r="AM1" s="831"/>
      <c r="AN1" s="369"/>
      <c r="AO1" s="370"/>
      <c r="AP1" s="370"/>
      <c r="AQ1" s="370"/>
      <c r="AR1" s="370"/>
      <c r="AS1" s="370"/>
      <c r="AT1" s="370"/>
      <c r="AU1" s="370"/>
      <c r="AV1" s="370"/>
      <c r="AW1" s="370"/>
      <c r="AX1" s="370"/>
      <c r="AY1" s="370"/>
      <c r="AZ1" s="370"/>
      <c r="BA1" s="370"/>
      <c r="BB1" s="370"/>
      <c r="BC1" s="370"/>
      <c r="BD1" s="370"/>
      <c r="BE1" s="370"/>
      <c r="BF1" s="370"/>
      <c r="BG1" s="370"/>
      <c r="BH1" s="370"/>
      <c r="BI1" s="823"/>
      <c r="BJ1" s="823"/>
      <c r="BK1" s="163"/>
      <c r="BL1" s="164"/>
    </row>
    <row r="2" spans="1:64" s="100" customFormat="1" ht="99" customHeight="1" x14ac:dyDescent="1.1499999999999999">
      <c r="A2" s="825" t="s">
        <v>2</v>
      </c>
      <c r="B2" s="825"/>
      <c r="C2" s="825"/>
      <c r="D2" s="825"/>
      <c r="E2" s="830"/>
      <c r="F2" s="830"/>
      <c r="G2" s="830"/>
      <c r="H2" s="830"/>
      <c r="I2" s="830"/>
      <c r="J2" s="830"/>
      <c r="K2" s="830"/>
      <c r="L2" s="830"/>
      <c r="M2" s="830"/>
      <c r="N2" s="830"/>
      <c r="O2" s="830"/>
      <c r="P2" s="830"/>
      <c r="Q2" s="830"/>
      <c r="R2" s="830"/>
      <c r="S2" s="830"/>
      <c r="T2" s="830"/>
      <c r="U2" s="830"/>
      <c r="V2" s="826" t="s">
        <v>786</v>
      </c>
      <c r="W2" s="826"/>
      <c r="X2" s="826"/>
      <c r="Y2" s="826"/>
      <c r="Z2" s="826"/>
      <c r="AA2" s="826"/>
      <c r="AB2" s="826"/>
      <c r="AC2" s="826"/>
      <c r="AD2" s="826"/>
      <c r="AE2" s="826"/>
      <c r="AF2" s="826"/>
      <c r="AG2" s="826"/>
      <c r="AH2" s="826"/>
      <c r="AI2" s="826"/>
      <c r="AJ2" s="826"/>
      <c r="AK2" s="826"/>
      <c r="AL2" s="826"/>
      <c r="AM2" s="826"/>
      <c r="AN2" s="826"/>
      <c r="AO2" s="371"/>
      <c r="AP2" s="371"/>
      <c r="AQ2" s="371"/>
      <c r="AR2" s="371"/>
      <c r="AS2" s="371"/>
      <c r="AT2" s="371"/>
      <c r="AU2" s="371"/>
      <c r="AV2" s="371"/>
      <c r="AW2" s="371"/>
      <c r="AX2" s="371"/>
      <c r="AY2" s="371"/>
      <c r="AZ2" s="371"/>
      <c r="BA2" s="371"/>
      <c r="BB2" s="371"/>
      <c r="BC2" s="371"/>
      <c r="BD2" s="371"/>
      <c r="BE2" s="371"/>
      <c r="BF2" s="371"/>
      <c r="BG2" s="371"/>
      <c r="BH2" s="371"/>
      <c r="BI2" s="823"/>
      <c r="BJ2" s="823"/>
      <c r="BK2" s="163"/>
      <c r="BL2" s="164"/>
    </row>
    <row r="3" spans="1:64" s="100" customFormat="1" ht="71.25" customHeight="1" x14ac:dyDescent="1.1499999999999999">
      <c r="A3" s="825"/>
      <c r="B3" s="825"/>
      <c r="C3" s="825"/>
      <c r="D3" s="825"/>
      <c r="E3" s="165"/>
      <c r="F3" s="372"/>
      <c r="G3" s="372"/>
      <c r="H3" s="372"/>
      <c r="I3" s="372"/>
      <c r="J3" s="372"/>
      <c r="K3" s="827" t="s">
        <v>312</v>
      </c>
      <c r="L3" s="827"/>
      <c r="M3" s="827"/>
      <c r="N3" s="827"/>
      <c r="O3" s="827"/>
      <c r="P3" s="827"/>
      <c r="Q3" s="827"/>
      <c r="R3" s="827"/>
      <c r="S3" s="827"/>
      <c r="T3" s="827"/>
      <c r="U3" s="827"/>
      <c r="V3" s="827"/>
      <c r="W3" s="827"/>
      <c r="X3" s="827"/>
      <c r="Y3" s="827"/>
      <c r="Z3" s="827"/>
      <c r="AA3" s="827"/>
      <c r="AB3" s="827"/>
      <c r="AC3" s="827"/>
      <c r="AD3" s="827"/>
      <c r="AE3" s="827"/>
      <c r="AF3" s="827"/>
      <c r="AG3" s="827"/>
      <c r="AH3" s="827"/>
      <c r="AI3" s="827"/>
      <c r="AJ3" s="827"/>
      <c r="AK3" s="827"/>
      <c r="AL3" s="827"/>
      <c r="AM3" s="827"/>
      <c r="AN3" s="827"/>
      <c r="AO3" s="827"/>
      <c r="AP3" s="371"/>
      <c r="AQ3" s="371"/>
      <c r="AR3" s="371"/>
      <c r="AS3" s="371"/>
      <c r="AT3" s="371"/>
      <c r="AU3" s="371"/>
      <c r="AV3" s="371"/>
      <c r="AW3" s="371"/>
      <c r="AX3" s="371"/>
      <c r="AY3" s="371"/>
      <c r="AZ3" s="371"/>
      <c r="BA3" s="371"/>
      <c r="BB3" s="371"/>
      <c r="BC3" s="371"/>
      <c r="BD3" s="371"/>
      <c r="BE3" s="371"/>
      <c r="BF3" s="371"/>
      <c r="BG3" s="371"/>
      <c r="BH3" s="371"/>
      <c r="BI3" s="823"/>
      <c r="BJ3" s="823"/>
      <c r="BK3" s="163"/>
      <c r="BL3" s="164"/>
    </row>
    <row r="4" spans="1:64" s="100" customFormat="1" ht="93" customHeight="1" x14ac:dyDescent="1.1499999999999999">
      <c r="A4" s="388"/>
      <c r="B4" s="692" t="s">
        <v>311</v>
      </c>
      <c r="C4" s="167"/>
      <c r="D4" s="167"/>
      <c r="E4" s="166"/>
      <c r="F4" s="372"/>
      <c r="G4" s="372"/>
      <c r="H4" s="372"/>
      <c r="I4" s="372"/>
      <c r="J4" s="372"/>
      <c r="K4" s="371"/>
      <c r="L4" s="371"/>
      <c r="M4" s="371"/>
      <c r="N4" s="371"/>
      <c r="O4" s="371"/>
      <c r="P4" s="371"/>
      <c r="Q4" s="371"/>
      <c r="R4" s="371"/>
      <c r="S4" s="371"/>
      <c r="T4" s="371"/>
      <c r="U4" s="371"/>
      <c r="V4" s="371"/>
      <c r="W4" s="371"/>
      <c r="X4" s="827" t="s">
        <v>310</v>
      </c>
      <c r="Y4" s="827"/>
      <c r="Z4" s="827"/>
      <c r="AA4" s="827"/>
      <c r="AB4" s="827"/>
      <c r="AC4" s="827"/>
      <c r="AD4" s="827"/>
      <c r="AE4" s="827"/>
      <c r="AF4" s="827"/>
      <c r="AG4" s="827"/>
      <c r="AH4" s="827"/>
      <c r="AI4" s="827"/>
      <c r="AJ4" s="827"/>
      <c r="AK4" s="827"/>
      <c r="AL4" s="827"/>
      <c r="AM4" s="827"/>
      <c r="AN4" s="371"/>
      <c r="AO4" s="371"/>
      <c r="AP4" s="371"/>
      <c r="AQ4" s="371"/>
      <c r="AR4" s="371"/>
      <c r="AS4" s="371"/>
      <c r="AT4" s="371"/>
      <c r="AU4" s="371"/>
      <c r="AV4" s="371"/>
      <c r="AW4" s="371"/>
      <c r="AX4" s="371"/>
      <c r="AY4" s="371"/>
      <c r="AZ4" s="371"/>
      <c r="BA4" s="371"/>
      <c r="BB4" s="371"/>
      <c r="BC4" s="371"/>
      <c r="BD4" s="371"/>
      <c r="BE4" s="371"/>
      <c r="BF4" s="371"/>
      <c r="BG4" s="371"/>
      <c r="BH4" s="371"/>
      <c r="BI4" s="823"/>
      <c r="BJ4" s="823"/>
      <c r="BK4" s="163"/>
      <c r="BL4" s="164"/>
    </row>
    <row r="5" spans="1:64" s="99" customFormat="1" ht="149.44999999999999" customHeight="1" thickBot="1" x14ac:dyDescent="1.2">
      <c r="A5" s="389"/>
      <c r="B5" s="168"/>
      <c r="C5" s="168"/>
      <c r="D5" s="169"/>
      <c r="E5" s="828"/>
      <c r="F5" s="828"/>
      <c r="G5" s="828"/>
      <c r="H5" s="828"/>
      <c r="I5" s="828"/>
      <c r="J5" s="828"/>
      <c r="K5" s="828"/>
      <c r="L5" s="828"/>
      <c r="M5" s="828"/>
      <c r="N5" s="828"/>
      <c r="O5" s="828"/>
      <c r="P5" s="828"/>
      <c r="Q5" s="828"/>
      <c r="R5" s="373"/>
      <c r="S5" s="373"/>
      <c r="T5" s="829" t="s">
        <v>309</v>
      </c>
      <c r="U5" s="829"/>
      <c r="V5" s="829"/>
      <c r="W5" s="829"/>
      <c r="X5" s="829"/>
      <c r="Y5" s="829"/>
      <c r="Z5" s="829"/>
      <c r="AA5" s="829"/>
      <c r="AB5" s="829"/>
      <c r="AC5" s="829"/>
      <c r="AD5" s="829"/>
      <c r="AE5" s="829"/>
      <c r="AF5" s="829"/>
      <c r="AG5" s="829"/>
      <c r="AH5" s="829"/>
      <c r="AI5" s="829"/>
      <c r="AJ5" s="829"/>
      <c r="AK5" s="829"/>
      <c r="AL5" s="829"/>
      <c r="AM5" s="829"/>
      <c r="AN5" s="373"/>
      <c r="AO5" s="373"/>
      <c r="AP5" s="374"/>
      <c r="AQ5" s="374"/>
      <c r="AR5" s="374"/>
      <c r="AS5" s="374"/>
      <c r="AT5" s="374"/>
      <c r="AU5" s="374"/>
      <c r="AV5" s="374"/>
      <c r="AW5" s="374"/>
      <c r="AX5" s="374"/>
      <c r="AY5" s="374"/>
      <c r="AZ5" s="374"/>
      <c r="BA5" s="374"/>
      <c r="BB5" s="374"/>
      <c r="BC5" s="374"/>
      <c r="BD5" s="374"/>
      <c r="BE5" s="374"/>
      <c r="BF5" s="374"/>
      <c r="BG5" s="374"/>
      <c r="BH5" s="374"/>
      <c r="BI5" s="824"/>
      <c r="BJ5" s="823"/>
      <c r="BK5" s="170"/>
      <c r="BL5" s="171"/>
    </row>
    <row r="6" spans="1:64" s="98" customFormat="1" ht="119.25" customHeight="1" thickBot="1" x14ac:dyDescent="0.95">
      <c r="A6" s="813" t="s">
        <v>308</v>
      </c>
      <c r="B6" s="815" t="s">
        <v>307</v>
      </c>
      <c r="C6" s="817" t="s">
        <v>306</v>
      </c>
      <c r="D6" s="819" t="s">
        <v>305</v>
      </c>
      <c r="E6" s="819" t="s">
        <v>304</v>
      </c>
      <c r="F6" s="821" t="s">
        <v>1</v>
      </c>
      <c r="G6" s="809" t="s">
        <v>303</v>
      </c>
      <c r="H6" s="809"/>
      <c r="I6" s="809"/>
      <c r="J6" s="809"/>
      <c r="K6" s="809"/>
      <c r="L6" s="809"/>
      <c r="M6" s="809"/>
      <c r="N6" s="809"/>
      <c r="O6" s="809"/>
      <c r="P6" s="809"/>
      <c r="Q6" s="809"/>
      <c r="R6" s="809"/>
      <c r="S6" s="809"/>
      <c r="T6" s="809"/>
      <c r="U6" s="809"/>
      <c r="V6" s="809"/>
      <c r="W6" s="809"/>
      <c r="X6" s="809"/>
      <c r="Y6" s="809"/>
      <c r="Z6" s="809"/>
      <c r="AA6" s="809"/>
      <c r="AB6" s="809"/>
      <c r="AC6" s="809"/>
      <c r="AD6" s="809"/>
      <c r="AE6" s="809"/>
      <c r="AF6" s="809"/>
      <c r="AG6" s="809"/>
      <c r="AH6" s="809"/>
      <c r="AI6" s="809"/>
      <c r="AJ6" s="809"/>
      <c r="AK6" s="809"/>
      <c r="AL6" s="809"/>
      <c r="AM6" s="809"/>
      <c r="AN6" s="809"/>
      <c r="AO6" s="809"/>
      <c r="AP6" s="809"/>
      <c r="AQ6" s="809"/>
      <c r="AR6" s="809"/>
      <c r="AS6" s="809"/>
      <c r="AT6" s="809"/>
      <c r="AU6" s="809"/>
      <c r="AV6" s="809"/>
      <c r="AW6" s="809"/>
      <c r="AX6" s="809"/>
      <c r="AY6" s="809"/>
      <c r="AZ6" s="809"/>
      <c r="BA6" s="809"/>
      <c r="BB6" s="809"/>
      <c r="BC6" s="809"/>
      <c r="BD6" s="809"/>
      <c r="BE6" s="809"/>
      <c r="BF6" s="809"/>
      <c r="BG6" s="809"/>
      <c r="BH6" s="809"/>
      <c r="BI6" s="810" t="s">
        <v>302</v>
      </c>
      <c r="BJ6" s="812" t="s">
        <v>301</v>
      </c>
      <c r="BK6" s="172"/>
      <c r="BL6" s="173"/>
    </row>
    <row r="7" spans="1:64" s="98" customFormat="1" ht="182.25" customHeight="1" thickBot="1" x14ac:dyDescent="0.95">
      <c r="A7" s="814"/>
      <c r="B7" s="816"/>
      <c r="C7" s="818"/>
      <c r="D7" s="820"/>
      <c r="E7" s="820"/>
      <c r="F7" s="822"/>
      <c r="G7" s="375">
        <v>300</v>
      </c>
      <c r="H7" s="375">
        <v>301</v>
      </c>
      <c r="I7" s="375">
        <v>302</v>
      </c>
      <c r="J7" s="375">
        <v>303</v>
      </c>
      <c r="K7" s="375">
        <v>304</v>
      </c>
      <c r="L7" s="375">
        <v>305</v>
      </c>
      <c r="M7" s="375">
        <v>306</v>
      </c>
      <c r="N7" s="375">
        <v>307</v>
      </c>
      <c r="O7" s="375">
        <v>308</v>
      </c>
      <c r="P7" s="376">
        <v>309</v>
      </c>
      <c r="Q7" s="376">
        <v>310</v>
      </c>
      <c r="R7" s="376">
        <v>311</v>
      </c>
      <c r="S7" s="376">
        <v>312</v>
      </c>
      <c r="T7" s="376">
        <v>313</v>
      </c>
      <c r="U7" s="376">
        <v>314</v>
      </c>
      <c r="V7" s="376">
        <v>315</v>
      </c>
      <c r="W7" s="376">
        <v>316</v>
      </c>
      <c r="X7" s="376">
        <v>317</v>
      </c>
      <c r="Y7" s="376">
        <v>318</v>
      </c>
      <c r="Z7" s="376">
        <v>319</v>
      </c>
      <c r="AA7" s="376">
        <v>320</v>
      </c>
      <c r="AB7" s="376">
        <v>321</v>
      </c>
      <c r="AC7" s="376">
        <v>322</v>
      </c>
      <c r="AD7" s="376">
        <v>323</v>
      </c>
      <c r="AE7" s="376">
        <v>324</v>
      </c>
      <c r="AF7" s="376">
        <v>325</v>
      </c>
      <c r="AG7" s="376">
        <v>326</v>
      </c>
      <c r="AH7" s="376">
        <v>327</v>
      </c>
      <c r="AI7" s="376">
        <v>328</v>
      </c>
      <c r="AJ7" s="376">
        <v>329</v>
      </c>
      <c r="AK7" s="376">
        <v>330</v>
      </c>
      <c r="AL7" s="376">
        <v>331</v>
      </c>
      <c r="AM7" s="376">
        <v>332</v>
      </c>
      <c r="AN7" s="376">
        <v>333</v>
      </c>
      <c r="AO7" s="376">
        <v>334</v>
      </c>
      <c r="AP7" s="376">
        <v>335</v>
      </c>
      <c r="AQ7" s="376">
        <v>336</v>
      </c>
      <c r="AR7" s="376">
        <v>337</v>
      </c>
      <c r="AS7" s="376">
        <v>338</v>
      </c>
      <c r="AT7" s="376">
        <v>339</v>
      </c>
      <c r="AU7" s="376">
        <v>340</v>
      </c>
      <c r="AV7" s="375">
        <v>341</v>
      </c>
      <c r="AW7" s="375">
        <v>342</v>
      </c>
      <c r="AX7" s="375">
        <v>343</v>
      </c>
      <c r="AY7" s="375">
        <v>344</v>
      </c>
      <c r="AZ7" s="375">
        <v>345</v>
      </c>
      <c r="BA7" s="375">
        <v>346</v>
      </c>
      <c r="BB7" s="375">
        <v>347</v>
      </c>
      <c r="BC7" s="376">
        <v>348</v>
      </c>
      <c r="BD7" s="376">
        <v>349</v>
      </c>
      <c r="BE7" s="376">
        <v>350</v>
      </c>
      <c r="BF7" s="376">
        <v>351</v>
      </c>
      <c r="BG7" s="376">
        <v>352</v>
      </c>
      <c r="BH7" s="376">
        <v>353</v>
      </c>
      <c r="BI7" s="811"/>
      <c r="BJ7" s="812"/>
      <c r="BK7" s="172"/>
      <c r="BL7" s="173"/>
    </row>
    <row r="8" spans="1:64" s="96" customFormat="1" ht="169.9" customHeight="1" thickTop="1" thickBot="1" x14ac:dyDescent="0.95">
      <c r="A8" s="390">
        <v>1</v>
      </c>
      <c r="B8" s="351" t="s">
        <v>247</v>
      </c>
      <c r="C8" s="352" t="s">
        <v>35</v>
      </c>
      <c r="D8" s="353">
        <v>1</v>
      </c>
      <c r="E8" s="354" t="s">
        <v>250</v>
      </c>
      <c r="F8" s="377">
        <f>(SUM(G8:BH8))/D8</f>
        <v>54</v>
      </c>
      <c r="G8" s="378">
        <v>1</v>
      </c>
      <c r="H8" s="378">
        <v>1</v>
      </c>
      <c r="I8" s="378">
        <v>1</v>
      </c>
      <c r="J8" s="378">
        <v>1</v>
      </c>
      <c r="K8" s="378">
        <v>1</v>
      </c>
      <c r="L8" s="378">
        <v>1</v>
      </c>
      <c r="M8" s="378">
        <v>1</v>
      </c>
      <c r="N8" s="378">
        <v>1</v>
      </c>
      <c r="O8" s="378">
        <v>1</v>
      </c>
      <c r="P8" s="378">
        <v>1</v>
      </c>
      <c r="Q8" s="378">
        <v>1</v>
      </c>
      <c r="R8" s="378">
        <v>1</v>
      </c>
      <c r="S8" s="378">
        <v>1</v>
      </c>
      <c r="T8" s="378">
        <v>1</v>
      </c>
      <c r="U8" s="378">
        <v>1</v>
      </c>
      <c r="V8" s="378">
        <v>1</v>
      </c>
      <c r="W8" s="378">
        <v>1</v>
      </c>
      <c r="X8" s="378">
        <v>1</v>
      </c>
      <c r="Y8" s="378">
        <v>1</v>
      </c>
      <c r="Z8" s="378">
        <v>1</v>
      </c>
      <c r="AA8" s="378">
        <v>1</v>
      </c>
      <c r="AB8" s="378">
        <v>1</v>
      </c>
      <c r="AC8" s="378">
        <v>1</v>
      </c>
      <c r="AD8" s="378">
        <v>1</v>
      </c>
      <c r="AE8" s="378">
        <v>1</v>
      </c>
      <c r="AF8" s="378">
        <v>1</v>
      </c>
      <c r="AG8" s="378">
        <v>1</v>
      </c>
      <c r="AH8" s="378">
        <v>1</v>
      </c>
      <c r="AI8" s="378">
        <v>1</v>
      </c>
      <c r="AJ8" s="378">
        <v>1</v>
      </c>
      <c r="AK8" s="378">
        <v>1</v>
      </c>
      <c r="AL8" s="378">
        <v>1</v>
      </c>
      <c r="AM8" s="378">
        <v>1</v>
      </c>
      <c r="AN8" s="378">
        <v>1</v>
      </c>
      <c r="AO8" s="378">
        <v>1</v>
      </c>
      <c r="AP8" s="378">
        <v>1</v>
      </c>
      <c r="AQ8" s="378">
        <v>1</v>
      </c>
      <c r="AR8" s="378">
        <v>1</v>
      </c>
      <c r="AS8" s="378">
        <v>1</v>
      </c>
      <c r="AT8" s="378">
        <v>1</v>
      </c>
      <c r="AU8" s="378">
        <v>1</v>
      </c>
      <c r="AV8" s="378">
        <v>1</v>
      </c>
      <c r="AW8" s="378">
        <v>1</v>
      </c>
      <c r="AX8" s="378">
        <v>1</v>
      </c>
      <c r="AY8" s="378">
        <v>1</v>
      </c>
      <c r="AZ8" s="378">
        <v>1</v>
      </c>
      <c r="BA8" s="378">
        <v>1</v>
      </c>
      <c r="BB8" s="378">
        <v>1</v>
      </c>
      <c r="BC8" s="378">
        <v>1</v>
      </c>
      <c r="BD8" s="378">
        <v>1</v>
      </c>
      <c r="BE8" s="378">
        <v>1</v>
      </c>
      <c r="BF8" s="378">
        <v>1</v>
      </c>
      <c r="BG8" s="378">
        <v>1</v>
      </c>
      <c r="BH8" s="378">
        <v>1</v>
      </c>
      <c r="BI8" s="362">
        <f>SUM(G8:BH8)</f>
        <v>54</v>
      </c>
      <c r="BJ8" s="177"/>
      <c r="BK8" s="174"/>
      <c r="BL8" s="175"/>
    </row>
    <row r="9" spans="1:64" s="96" customFormat="1" ht="169.9" customHeight="1" thickTop="1" thickBot="1" x14ac:dyDescent="0.95">
      <c r="A9" s="391">
        <v>2</v>
      </c>
      <c r="B9" s="355" t="s">
        <v>248</v>
      </c>
      <c r="C9" s="356" t="s">
        <v>35</v>
      </c>
      <c r="D9" s="357">
        <v>12</v>
      </c>
      <c r="E9" s="358" t="s">
        <v>250</v>
      </c>
      <c r="F9" s="360">
        <f>BI9/D9</f>
        <v>54</v>
      </c>
      <c r="G9" s="379">
        <v>12</v>
      </c>
      <c r="H9" s="379">
        <v>12</v>
      </c>
      <c r="I9" s="379">
        <v>12</v>
      </c>
      <c r="J9" s="379">
        <v>12</v>
      </c>
      <c r="K9" s="379">
        <v>12</v>
      </c>
      <c r="L9" s="379">
        <v>12</v>
      </c>
      <c r="M9" s="379">
        <v>12</v>
      </c>
      <c r="N9" s="379">
        <v>12</v>
      </c>
      <c r="O9" s="379">
        <v>12</v>
      </c>
      <c r="P9" s="379">
        <v>12</v>
      </c>
      <c r="Q9" s="379">
        <v>12</v>
      </c>
      <c r="R9" s="379">
        <v>12</v>
      </c>
      <c r="S9" s="379">
        <v>12</v>
      </c>
      <c r="T9" s="379">
        <v>12</v>
      </c>
      <c r="U9" s="379">
        <v>12</v>
      </c>
      <c r="V9" s="379">
        <v>12</v>
      </c>
      <c r="W9" s="379">
        <v>12</v>
      </c>
      <c r="X9" s="379">
        <v>12</v>
      </c>
      <c r="Y9" s="379">
        <v>12</v>
      </c>
      <c r="Z9" s="379">
        <v>12</v>
      </c>
      <c r="AA9" s="379">
        <v>12</v>
      </c>
      <c r="AB9" s="379">
        <v>12</v>
      </c>
      <c r="AC9" s="379">
        <v>12</v>
      </c>
      <c r="AD9" s="379">
        <v>12</v>
      </c>
      <c r="AE9" s="379">
        <v>12</v>
      </c>
      <c r="AF9" s="379">
        <v>12</v>
      </c>
      <c r="AG9" s="379">
        <v>12</v>
      </c>
      <c r="AH9" s="379">
        <v>12</v>
      </c>
      <c r="AI9" s="379">
        <v>12</v>
      </c>
      <c r="AJ9" s="379">
        <v>12</v>
      </c>
      <c r="AK9" s="379">
        <v>12</v>
      </c>
      <c r="AL9" s="379">
        <v>12</v>
      </c>
      <c r="AM9" s="379">
        <v>12</v>
      </c>
      <c r="AN9" s="379">
        <v>12</v>
      </c>
      <c r="AO9" s="379">
        <v>12</v>
      </c>
      <c r="AP9" s="379">
        <v>12</v>
      </c>
      <c r="AQ9" s="379">
        <v>12</v>
      </c>
      <c r="AR9" s="379">
        <v>12</v>
      </c>
      <c r="AS9" s="379">
        <v>12</v>
      </c>
      <c r="AT9" s="379">
        <v>12</v>
      </c>
      <c r="AU9" s="379">
        <v>12</v>
      </c>
      <c r="AV9" s="379">
        <v>12</v>
      </c>
      <c r="AW9" s="379">
        <v>12</v>
      </c>
      <c r="AX9" s="379">
        <v>12</v>
      </c>
      <c r="AY9" s="379">
        <v>12</v>
      </c>
      <c r="AZ9" s="379">
        <v>12</v>
      </c>
      <c r="BA9" s="379">
        <v>12</v>
      </c>
      <c r="BB9" s="379">
        <v>12</v>
      </c>
      <c r="BC9" s="379">
        <v>12</v>
      </c>
      <c r="BD9" s="379">
        <v>12</v>
      </c>
      <c r="BE9" s="379">
        <v>12</v>
      </c>
      <c r="BF9" s="379">
        <v>12</v>
      </c>
      <c r="BG9" s="379">
        <v>12</v>
      </c>
      <c r="BH9" s="379">
        <v>12</v>
      </c>
      <c r="BI9" s="363">
        <f t="shared" ref="BI9:BI26" si="0">SUM(G9:BH9)</f>
        <v>648</v>
      </c>
      <c r="BJ9" s="177" t="e">
        <f>#REF!/D9</f>
        <v>#REF!</v>
      </c>
      <c r="BK9" s="174"/>
      <c r="BL9" s="176"/>
    </row>
    <row r="10" spans="1:64" s="96" customFormat="1" ht="169.9" customHeight="1" thickTop="1" thickBot="1" x14ac:dyDescent="0.95">
      <c r="A10" s="788">
        <v>3</v>
      </c>
      <c r="B10" s="790" t="s">
        <v>249</v>
      </c>
      <c r="C10" s="792" t="s">
        <v>35</v>
      </c>
      <c r="D10" s="794">
        <v>24</v>
      </c>
      <c r="E10" s="358" t="s">
        <v>250</v>
      </c>
      <c r="F10" s="360">
        <f t="shared" ref="F10:F14" si="1">BI10/D10</f>
        <v>0</v>
      </c>
      <c r="G10" s="379"/>
      <c r="H10" s="379"/>
      <c r="I10" s="379"/>
      <c r="J10" s="379"/>
      <c r="K10" s="379"/>
      <c r="L10" s="379"/>
      <c r="M10" s="379"/>
      <c r="N10" s="379"/>
      <c r="O10" s="379"/>
      <c r="P10" s="379"/>
      <c r="Q10" s="379"/>
      <c r="R10" s="379"/>
      <c r="S10" s="379"/>
      <c r="T10" s="379"/>
      <c r="U10" s="379"/>
      <c r="V10" s="379"/>
      <c r="W10" s="379"/>
      <c r="X10" s="379"/>
      <c r="Y10" s="379"/>
      <c r="Z10" s="379"/>
      <c r="AA10" s="379"/>
      <c r="AB10" s="379"/>
      <c r="AC10" s="379"/>
      <c r="AD10" s="379"/>
      <c r="AE10" s="379"/>
      <c r="AF10" s="379"/>
      <c r="AG10" s="379"/>
      <c r="AH10" s="379"/>
      <c r="AI10" s="379"/>
      <c r="AJ10" s="379"/>
      <c r="AK10" s="379"/>
      <c r="AL10" s="379"/>
      <c r="AM10" s="379"/>
      <c r="AN10" s="379"/>
      <c r="AO10" s="379"/>
      <c r="AP10" s="379"/>
      <c r="AQ10" s="379"/>
      <c r="AR10" s="379"/>
      <c r="AS10" s="379"/>
      <c r="AT10" s="379"/>
      <c r="AU10" s="379"/>
      <c r="AV10" s="379"/>
      <c r="AW10" s="379"/>
      <c r="AX10" s="379"/>
      <c r="AY10" s="379"/>
      <c r="AZ10" s="379"/>
      <c r="BA10" s="379"/>
      <c r="BB10" s="379"/>
      <c r="BC10" s="379"/>
      <c r="BD10" s="379"/>
      <c r="BE10" s="379"/>
      <c r="BF10" s="379"/>
      <c r="BG10" s="379"/>
      <c r="BH10" s="379"/>
      <c r="BI10" s="363">
        <f t="shared" si="0"/>
        <v>0</v>
      </c>
      <c r="BJ10" s="177" t="e">
        <f>#REF!/D10</f>
        <v>#REF!</v>
      </c>
      <c r="BK10" s="174"/>
      <c r="BL10" s="176"/>
    </row>
    <row r="11" spans="1:64" s="96" customFormat="1" ht="169.9" customHeight="1" thickTop="1" thickBot="1" x14ac:dyDescent="0.95">
      <c r="A11" s="789"/>
      <c r="B11" s="791"/>
      <c r="C11" s="793"/>
      <c r="D11" s="795"/>
      <c r="E11" s="358" t="s">
        <v>251</v>
      </c>
      <c r="F11" s="360">
        <f>BI11/D10</f>
        <v>54</v>
      </c>
      <c r="G11" s="379">
        <v>24</v>
      </c>
      <c r="H11" s="379">
        <v>24</v>
      </c>
      <c r="I11" s="379">
        <v>24</v>
      </c>
      <c r="J11" s="379">
        <v>24</v>
      </c>
      <c r="K11" s="379">
        <v>24</v>
      </c>
      <c r="L11" s="379">
        <v>24</v>
      </c>
      <c r="M11" s="379">
        <v>24</v>
      </c>
      <c r="N11" s="379">
        <v>24</v>
      </c>
      <c r="O11" s="379">
        <v>24</v>
      </c>
      <c r="P11" s="379">
        <v>24</v>
      </c>
      <c r="Q11" s="379">
        <v>24</v>
      </c>
      <c r="R11" s="379">
        <v>24</v>
      </c>
      <c r="S11" s="379">
        <v>24</v>
      </c>
      <c r="T11" s="379">
        <v>24</v>
      </c>
      <c r="U11" s="379">
        <v>24</v>
      </c>
      <c r="V11" s="379">
        <v>24</v>
      </c>
      <c r="W11" s="379">
        <v>24</v>
      </c>
      <c r="X11" s="379">
        <v>24</v>
      </c>
      <c r="Y11" s="379">
        <v>24</v>
      </c>
      <c r="Z11" s="379">
        <v>24</v>
      </c>
      <c r="AA11" s="379">
        <v>24</v>
      </c>
      <c r="AB11" s="379">
        <v>24</v>
      </c>
      <c r="AC11" s="379">
        <v>24</v>
      </c>
      <c r="AD11" s="379">
        <v>24</v>
      </c>
      <c r="AE11" s="379">
        <v>24</v>
      </c>
      <c r="AF11" s="379">
        <v>24</v>
      </c>
      <c r="AG11" s="379">
        <v>24</v>
      </c>
      <c r="AH11" s="379">
        <v>24</v>
      </c>
      <c r="AI11" s="379">
        <v>24</v>
      </c>
      <c r="AJ11" s="379">
        <v>24</v>
      </c>
      <c r="AK11" s="379">
        <v>24</v>
      </c>
      <c r="AL11" s="379">
        <v>24</v>
      </c>
      <c r="AM11" s="379">
        <v>24</v>
      </c>
      <c r="AN11" s="379">
        <v>24</v>
      </c>
      <c r="AO11" s="379">
        <v>24</v>
      </c>
      <c r="AP11" s="379">
        <v>24</v>
      </c>
      <c r="AQ11" s="379">
        <v>24</v>
      </c>
      <c r="AR11" s="379">
        <v>24</v>
      </c>
      <c r="AS11" s="379">
        <v>24</v>
      </c>
      <c r="AT11" s="379">
        <v>24</v>
      </c>
      <c r="AU11" s="379">
        <v>24</v>
      </c>
      <c r="AV11" s="379">
        <v>24</v>
      </c>
      <c r="AW11" s="379">
        <v>24</v>
      </c>
      <c r="AX11" s="379">
        <v>24</v>
      </c>
      <c r="AY11" s="379">
        <v>24</v>
      </c>
      <c r="AZ11" s="379">
        <v>24</v>
      </c>
      <c r="BA11" s="379">
        <v>24</v>
      </c>
      <c r="BB11" s="379">
        <v>24</v>
      </c>
      <c r="BC11" s="379">
        <v>24</v>
      </c>
      <c r="BD11" s="379">
        <v>24</v>
      </c>
      <c r="BE11" s="379">
        <v>24</v>
      </c>
      <c r="BF11" s="379">
        <v>24</v>
      </c>
      <c r="BG11" s="379">
        <v>24</v>
      </c>
      <c r="BH11" s="379">
        <v>24</v>
      </c>
      <c r="BI11" s="363">
        <f t="shared" si="0"/>
        <v>1296</v>
      </c>
      <c r="BJ11" s="177"/>
      <c r="BK11" s="174"/>
      <c r="BL11" s="176"/>
    </row>
    <row r="12" spans="1:64" s="96" customFormat="1" ht="169.9" customHeight="1" thickTop="1" thickBot="1" x14ac:dyDescent="0.95">
      <c r="A12" s="788">
        <v>4</v>
      </c>
      <c r="B12" s="790" t="s">
        <v>252</v>
      </c>
      <c r="C12" s="792" t="s">
        <v>35</v>
      </c>
      <c r="D12" s="794">
        <v>24</v>
      </c>
      <c r="E12" s="358" t="s">
        <v>250</v>
      </c>
      <c r="F12" s="360">
        <f t="shared" si="1"/>
        <v>0</v>
      </c>
      <c r="G12" s="379"/>
      <c r="H12" s="379"/>
      <c r="I12" s="379"/>
      <c r="J12" s="379"/>
      <c r="K12" s="379"/>
      <c r="L12" s="379"/>
      <c r="M12" s="379"/>
      <c r="N12" s="379"/>
      <c r="O12" s="379"/>
      <c r="P12" s="379"/>
      <c r="Q12" s="379"/>
      <c r="R12" s="379"/>
      <c r="S12" s="379"/>
      <c r="T12" s="379"/>
      <c r="U12" s="379"/>
      <c r="V12" s="379"/>
      <c r="W12" s="379"/>
      <c r="X12" s="379"/>
      <c r="Y12" s="379"/>
      <c r="Z12" s="379"/>
      <c r="AA12" s="379"/>
      <c r="AB12" s="379"/>
      <c r="AC12" s="379"/>
      <c r="AD12" s="379"/>
      <c r="AE12" s="379"/>
      <c r="AF12" s="379"/>
      <c r="AG12" s="379"/>
      <c r="AH12" s="379"/>
      <c r="AI12" s="379"/>
      <c r="AJ12" s="379"/>
      <c r="AK12" s="379"/>
      <c r="AL12" s="379"/>
      <c r="AM12" s="379"/>
      <c r="AN12" s="379"/>
      <c r="AO12" s="379"/>
      <c r="AP12" s="379"/>
      <c r="AQ12" s="379"/>
      <c r="AR12" s="379"/>
      <c r="AS12" s="379"/>
      <c r="AT12" s="379"/>
      <c r="AU12" s="379"/>
      <c r="AV12" s="379"/>
      <c r="AW12" s="379"/>
      <c r="AX12" s="379"/>
      <c r="AY12" s="379"/>
      <c r="AZ12" s="379"/>
      <c r="BA12" s="379"/>
      <c r="BB12" s="379"/>
      <c r="BC12" s="379"/>
      <c r="BD12" s="379"/>
      <c r="BE12" s="379"/>
      <c r="BF12" s="379"/>
      <c r="BG12" s="379"/>
      <c r="BH12" s="379"/>
      <c r="BI12" s="363">
        <f t="shared" si="0"/>
        <v>0</v>
      </c>
      <c r="BJ12" s="177"/>
      <c r="BK12" s="174"/>
      <c r="BL12" s="176"/>
    </row>
    <row r="13" spans="1:64" s="96" customFormat="1" ht="169.9" customHeight="1" thickTop="1" thickBot="1" x14ac:dyDescent="0.95">
      <c r="A13" s="789"/>
      <c r="B13" s="791"/>
      <c r="C13" s="793"/>
      <c r="D13" s="795"/>
      <c r="E13" s="358" t="s">
        <v>251</v>
      </c>
      <c r="F13" s="360">
        <f>BI13/D12</f>
        <v>54</v>
      </c>
      <c r="G13" s="379">
        <v>24</v>
      </c>
      <c r="H13" s="379">
        <v>24</v>
      </c>
      <c r="I13" s="379">
        <v>24</v>
      </c>
      <c r="J13" s="379">
        <v>24</v>
      </c>
      <c r="K13" s="379">
        <v>24</v>
      </c>
      <c r="L13" s="379">
        <v>24</v>
      </c>
      <c r="M13" s="379">
        <v>24</v>
      </c>
      <c r="N13" s="379">
        <v>24</v>
      </c>
      <c r="O13" s="379">
        <v>24</v>
      </c>
      <c r="P13" s="379">
        <v>24</v>
      </c>
      <c r="Q13" s="379">
        <v>24</v>
      </c>
      <c r="R13" s="379">
        <v>24</v>
      </c>
      <c r="S13" s="379">
        <v>24</v>
      </c>
      <c r="T13" s="379">
        <v>24</v>
      </c>
      <c r="U13" s="379">
        <v>24</v>
      </c>
      <c r="V13" s="379">
        <v>24</v>
      </c>
      <c r="W13" s="379">
        <v>24</v>
      </c>
      <c r="X13" s="379">
        <v>24</v>
      </c>
      <c r="Y13" s="379">
        <v>24</v>
      </c>
      <c r="Z13" s="379">
        <v>24</v>
      </c>
      <c r="AA13" s="379">
        <v>24</v>
      </c>
      <c r="AB13" s="379">
        <v>24</v>
      </c>
      <c r="AC13" s="379">
        <v>24</v>
      </c>
      <c r="AD13" s="379">
        <v>24</v>
      </c>
      <c r="AE13" s="379">
        <v>24</v>
      </c>
      <c r="AF13" s="379">
        <v>24</v>
      </c>
      <c r="AG13" s="379">
        <v>24</v>
      </c>
      <c r="AH13" s="379">
        <v>24</v>
      </c>
      <c r="AI13" s="379">
        <v>24</v>
      </c>
      <c r="AJ13" s="379">
        <v>24</v>
      </c>
      <c r="AK13" s="379">
        <v>24</v>
      </c>
      <c r="AL13" s="379">
        <v>24</v>
      </c>
      <c r="AM13" s="379">
        <v>24</v>
      </c>
      <c r="AN13" s="379">
        <v>24</v>
      </c>
      <c r="AO13" s="379">
        <v>24</v>
      </c>
      <c r="AP13" s="379">
        <v>24</v>
      </c>
      <c r="AQ13" s="379">
        <v>24</v>
      </c>
      <c r="AR13" s="379">
        <v>24</v>
      </c>
      <c r="AS13" s="379">
        <v>24</v>
      </c>
      <c r="AT13" s="379">
        <v>24</v>
      </c>
      <c r="AU13" s="379">
        <v>24</v>
      </c>
      <c r="AV13" s="379">
        <v>24</v>
      </c>
      <c r="AW13" s="379">
        <v>24</v>
      </c>
      <c r="AX13" s="379">
        <v>24</v>
      </c>
      <c r="AY13" s="379">
        <v>24</v>
      </c>
      <c r="AZ13" s="379">
        <v>24</v>
      </c>
      <c r="BA13" s="379">
        <v>24</v>
      </c>
      <c r="BB13" s="379">
        <v>24</v>
      </c>
      <c r="BC13" s="379">
        <v>24</v>
      </c>
      <c r="BD13" s="379">
        <v>24</v>
      </c>
      <c r="BE13" s="379">
        <v>24</v>
      </c>
      <c r="BF13" s="379">
        <v>24</v>
      </c>
      <c r="BG13" s="379">
        <v>24</v>
      </c>
      <c r="BH13" s="379">
        <v>24</v>
      </c>
      <c r="BI13" s="363">
        <f t="shared" si="0"/>
        <v>1296</v>
      </c>
      <c r="BJ13" s="177"/>
      <c r="BK13" s="174"/>
      <c r="BL13" s="176"/>
    </row>
    <row r="14" spans="1:64" s="96" customFormat="1" ht="169.9" customHeight="1" thickTop="1" thickBot="1" x14ac:dyDescent="0.95">
      <c r="A14" s="788">
        <v>5</v>
      </c>
      <c r="B14" s="790" t="s">
        <v>253</v>
      </c>
      <c r="C14" s="792" t="s">
        <v>35</v>
      </c>
      <c r="D14" s="794">
        <v>1</v>
      </c>
      <c r="E14" s="358" t="s">
        <v>250</v>
      </c>
      <c r="F14" s="360">
        <f t="shared" si="1"/>
        <v>0</v>
      </c>
      <c r="G14" s="379"/>
      <c r="H14" s="379"/>
      <c r="I14" s="379"/>
      <c r="J14" s="379"/>
      <c r="K14" s="379"/>
      <c r="L14" s="379"/>
      <c r="M14" s="379"/>
      <c r="N14" s="379"/>
      <c r="O14" s="379"/>
      <c r="P14" s="379"/>
      <c r="Q14" s="379"/>
      <c r="R14" s="379"/>
      <c r="S14" s="379"/>
      <c r="T14" s="379"/>
      <c r="U14" s="379"/>
      <c r="V14" s="379"/>
      <c r="W14" s="379"/>
      <c r="X14" s="379"/>
      <c r="Y14" s="379"/>
      <c r="Z14" s="379"/>
      <c r="AA14" s="379"/>
      <c r="AB14" s="379"/>
      <c r="AC14" s="379"/>
      <c r="AD14" s="379"/>
      <c r="AE14" s="379"/>
      <c r="AF14" s="379"/>
      <c r="AG14" s="379"/>
      <c r="AH14" s="379"/>
      <c r="AI14" s="379"/>
      <c r="AJ14" s="379"/>
      <c r="AK14" s="379"/>
      <c r="AL14" s="379"/>
      <c r="AM14" s="379"/>
      <c r="AN14" s="379"/>
      <c r="AO14" s="379"/>
      <c r="AP14" s="379"/>
      <c r="AQ14" s="379"/>
      <c r="AR14" s="379"/>
      <c r="AS14" s="379"/>
      <c r="AT14" s="379"/>
      <c r="AU14" s="379"/>
      <c r="AV14" s="379"/>
      <c r="AW14" s="379"/>
      <c r="AX14" s="379"/>
      <c r="AY14" s="379"/>
      <c r="AZ14" s="379"/>
      <c r="BA14" s="379"/>
      <c r="BB14" s="379"/>
      <c r="BC14" s="379"/>
      <c r="BD14" s="379"/>
      <c r="BE14" s="379"/>
      <c r="BF14" s="379"/>
      <c r="BG14" s="379"/>
      <c r="BH14" s="379"/>
      <c r="BI14" s="363">
        <f t="shared" si="0"/>
        <v>0</v>
      </c>
      <c r="BJ14" s="177"/>
      <c r="BK14" s="174"/>
      <c r="BL14" s="176"/>
    </row>
    <row r="15" spans="1:64" s="96" customFormat="1" ht="169.9" customHeight="1" thickTop="1" thickBot="1" x14ac:dyDescent="0.95">
      <c r="A15" s="789"/>
      <c r="B15" s="791"/>
      <c r="C15" s="793"/>
      <c r="D15" s="795"/>
      <c r="E15" s="358" t="s">
        <v>251</v>
      </c>
      <c r="F15" s="360">
        <f>BI15/D14</f>
        <v>54</v>
      </c>
      <c r="G15" s="379">
        <v>1</v>
      </c>
      <c r="H15" s="379">
        <v>1</v>
      </c>
      <c r="I15" s="379">
        <v>1</v>
      </c>
      <c r="J15" s="379">
        <v>1</v>
      </c>
      <c r="K15" s="379">
        <v>1</v>
      </c>
      <c r="L15" s="379">
        <v>1</v>
      </c>
      <c r="M15" s="379">
        <v>1</v>
      </c>
      <c r="N15" s="379">
        <v>1</v>
      </c>
      <c r="O15" s="379">
        <v>1</v>
      </c>
      <c r="P15" s="379">
        <v>1</v>
      </c>
      <c r="Q15" s="379">
        <v>1</v>
      </c>
      <c r="R15" s="379">
        <v>1</v>
      </c>
      <c r="S15" s="379">
        <v>1</v>
      </c>
      <c r="T15" s="379">
        <v>1</v>
      </c>
      <c r="U15" s="379">
        <v>1</v>
      </c>
      <c r="V15" s="379">
        <v>1</v>
      </c>
      <c r="W15" s="379">
        <v>1</v>
      </c>
      <c r="X15" s="379">
        <v>1</v>
      </c>
      <c r="Y15" s="379">
        <v>1</v>
      </c>
      <c r="Z15" s="379">
        <v>1</v>
      </c>
      <c r="AA15" s="379">
        <v>1</v>
      </c>
      <c r="AB15" s="379">
        <v>1</v>
      </c>
      <c r="AC15" s="379">
        <v>1</v>
      </c>
      <c r="AD15" s="379">
        <v>1</v>
      </c>
      <c r="AE15" s="379">
        <v>1</v>
      </c>
      <c r="AF15" s="379">
        <v>1</v>
      </c>
      <c r="AG15" s="379">
        <v>1</v>
      </c>
      <c r="AH15" s="379">
        <v>1</v>
      </c>
      <c r="AI15" s="379">
        <v>1</v>
      </c>
      <c r="AJ15" s="379">
        <v>1</v>
      </c>
      <c r="AK15" s="379">
        <v>1</v>
      </c>
      <c r="AL15" s="379">
        <v>1</v>
      </c>
      <c r="AM15" s="379">
        <v>1</v>
      </c>
      <c r="AN15" s="379">
        <v>1</v>
      </c>
      <c r="AO15" s="379">
        <v>1</v>
      </c>
      <c r="AP15" s="379">
        <v>1</v>
      </c>
      <c r="AQ15" s="379">
        <v>1</v>
      </c>
      <c r="AR15" s="379">
        <v>1</v>
      </c>
      <c r="AS15" s="379">
        <v>1</v>
      </c>
      <c r="AT15" s="379">
        <v>1</v>
      </c>
      <c r="AU15" s="379">
        <v>1</v>
      </c>
      <c r="AV15" s="379">
        <v>1</v>
      </c>
      <c r="AW15" s="379">
        <v>1</v>
      </c>
      <c r="AX15" s="379">
        <v>1</v>
      </c>
      <c r="AY15" s="379">
        <v>1</v>
      </c>
      <c r="AZ15" s="379">
        <v>1</v>
      </c>
      <c r="BA15" s="379">
        <v>1</v>
      </c>
      <c r="BB15" s="379">
        <v>1</v>
      </c>
      <c r="BC15" s="379">
        <v>1</v>
      </c>
      <c r="BD15" s="379">
        <v>1</v>
      </c>
      <c r="BE15" s="379">
        <v>1</v>
      </c>
      <c r="BF15" s="379">
        <v>1</v>
      </c>
      <c r="BG15" s="379">
        <v>1</v>
      </c>
      <c r="BH15" s="379">
        <v>1</v>
      </c>
      <c r="BI15" s="363">
        <f t="shared" si="0"/>
        <v>54</v>
      </c>
      <c r="BJ15" s="177"/>
      <c r="BK15" s="174"/>
      <c r="BL15" s="176"/>
    </row>
    <row r="16" spans="1:64" s="96" customFormat="1" ht="169.9" customHeight="1" thickTop="1" thickBot="1" x14ac:dyDescent="0.95">
      <c r="A16" s="391">
        <v>6</v>
      </c>
      <c r="B16" s="355" t="s">
        <v>300</v>
      </c>
      <c r="C16" s="356" t="s">
        <v>35</v>
      </c>
      <c r="D16" s="357">
        <v>24</v>
      </c>
      <c r="E16" s="358" t="s">
        <v>250</v>
      </c>
      <c r="F16" s="360">
        <f>BI16/D16</f>
        <v>54</v>
      </c>
      <c r="G16" s="379">
        <v>24</v>
      </c>
      <c r="H16" s="379">
        <v>24</v>
      </c>
      <c r="I16" s="379">
        <v>24</v>
      </c>
      <c r="J16" s="379">
        <v>24</v>
      </c>
      <c r="K16" s="379">
        <v>24</v>
      </c>
      <c r="L16" s="379">
        <v>24</v>
      </c>
      <c r="M16" s="379">
        <v>24</v>
      </c>
      <c r="N16" s="379">
        <v>24</v>
      </c>
      <c r="O16" s="379">
        <v>24</v>
      </c>
      <c r="P16" s="379">
        <v>24</v>
      </c>
      <c r="Q16" s="379">
        <v>24</v>
      </c>
      <c r="R16" s="379">
        <v>24</v>
      </c>
      <c r="S16" s="379">
        <v>24</v>
      </c>
      <c r="T16" s="379">
        <v>24</v>
      </c>
      <c r="U16" s="379">
        <v>24</v>
      </c>
      <c r="V16" s="379">
        <v>24</v>
      </c>
      <c r="W16" s="379">
        <v>24</v>
      </c>
      <c r="X16" s="379">
        <v>24</v>
      </c>
      <c r="Y16" s="379">
        <v>24</v>
      </c>
      <c r="Z16" s="379">
        <v>24</v>
      </c>
      <c r="AA16" s="379">
        <v>24</v>
      </c>
      <c r="AB16" s="379">
        <v>24</v>
      </c>
      <c r="AC16" s="379">
        <v>24</v>
      </c>
      <c r="AD16" s="379">
        <v>24</v>
      </c>
      <c r="AE16" s="379">
        <v>24</v>
      </c>
      <c r="AF16" s="379">
        <v>24</v>
      </c>
      <c r="AG16" s="379">
        <v>24</v>
      </c>
      <c r="AH16" s="379">
        <v>24</v>
      </c>
      <c r="AI16" s="379">
        <v>24</v>
      </c>
      <c r="AJ16" s="379">
        <v>24</v>
      </c>
      <c r="AK16" s="379">
        <v>24</v>
      </c>
      <c r="AL16" s="379">
        <v>24</v>
      </c>
      <c r="AM16" s="379">
        <v>24</v>
      </c>
      <c r="AN16" s="379">
        <v>24</v>
      </c>
      <c r="AO16" s="379">
        <v>24</v>
      </c>
      <c r="AP16" s="379">
        <v>24</v>
      </c>
      <c r="AQ16" s="379">
        <v>24</v>
      </c>
      <c r="AR16" s="379">
        <v>24</v>
      </c>
      <c r="AS16" s="379">
        <v>24</v>
      </c>
      <c r="AT16" s="379">
        <v>24</v>
      </c>
      <c r="AU16" s="379">
        <v>24</v>
      </c>
      <c r="AV16" s="379">
        <v>24</v>
      </c>
      <c r="AW16" s="379">
        <v>24</v>
      </c>
      <c r="AX16" s="379">
        <v>24</v>
      </c>
      <c r="AY16" s="379">
        <v>24</v>
      </c>
      <c r="AZ16" s="379">
        <v>24</v>
      </c>
      <c r="BA16" s="379">
        <v>24</v>
      </c>
      <c r="BB16" s="379">
        <v>24</v>
      </c>
      <c r="BC16" s="379">
        <v>24</v>
      </c>
      <c r="BD16" s="379">
        <v>24</v>
      </c>
      <c r="BE16" s="379">
        <v>24</v>
      </c>
      <c r="BF16" s="379">
        <v>24</v>
      </c>
      <c r="BG16" s="379">
        <v>24</v>
      </c>
      <c r="BH16" s="379">
        <v>24</v>
      </c>
      <c r="BI16" s="363">
        <f t="shared" si="0"/>
        <v>1296</v>
      </c>
      <c r="BJ16" s="177"/>
      <c r="BK16" s="174"/>
      <c r="BL16" s="176"/>
    </row>
    <row r="17" spans="1:64" s="96" customFormat="1" ht="229.9" customHeight="1" thickTop="1" thickBot="1" x14ac:dyDescent="0.95">
      <c r="A17" s="391">
        <v>7</v>
      </c>
      <c r="B17" s="355" t="s">
        <v>255</v>
      </c>
      <c r="C17" s="356" t="s">
        <v>34</v>
      </c>
      <c r="D17" s="357">
        <v>1</v>
      </c>
      <c r="E17" s="358" t="s">
        <v>250</v>
      </c>
      <c r="F17" s="360">
        <f>(SUM(G17:BH17))/D17</f>
        <v>54</v>
      </c>
      <c r="G17" s="379">
        <v>1</v>
      </c>
      <c r="H17" s="379">
        <v>1</v>
      </c>
      <c r="I17" s="379">
        <v>1</v>
      </c>
      <c r="J17" s="379">
        <v>1</v>
      </c>
      <c r="K17" s="379">
        <v>1</v>
      </c>
      <c r="L17" s="379">
        <v>1</v>
      </c>
      <c r="M17" s="379">
        <v>1</v>
      </c>
      <c r="N17" s="379">
        <v>1</v>
      </c>
      <c r="O17" s="379">
        <v>1</v>
      </c>
      <c r="P17" s="379">
        <v>1</v>
      </c>
      <c r="Q17" s="379">
        <v>1</v>
      </c>
      <c r="R17" s="379">
        <v>1</v>
      </c>
      <c r="S17" s="379">
        <v>1</v>
      </c>
      <c r="T17" s="379">
        <v>1</v>
      </c>
      <c r="U17" s="379">
        <v>1</v>
      </c>
      <c r="V17" s="379">
        <v>1</v>
      </c>
      <c r="W17" s="379">
        <v>1</v>
      </c>
      <c r="X17" s="379">
        <v>1</v>
      </c>
      <c r="Y17" s="379">
        <v>1</v>
      </c>
      <c r="Z17" s="379">
        <v>1</v>
      </c>
      <c r="AA17" s="379">
        <v>1</v>
      </c>
      <c r="AB17" s="379">
        <v>1</v>
      </c>
      <c r="AC17" s="379">
        <v>1</v>
      </c>
      <c r="AD17" s="379">
        <v>1</v>
      </c>
      <c r="AE17" s="379">
        <v>1</v>
      </c>
      <c r="AF17" s="379">
        <v>1</v>
      </c>
      <c r="AG17" s="379">
        <v>1</v>
      </c>
      <c r="AH17" s="379">
        <v>1</v>
      </c>
      <c r="AI17" s="379">
        <v>1</v>
      </c>
      <c r="AJ17" s="379">
        <v>1</v>
      </c>
      <c r="AK17" s="379">
        <v>1</v>
      </c>
      <c r="AL17" s="379">
        <v>1</v>
      </c>
      <c r="AM17" s="379">
        <v>1</v>
      </c>
      <c r="AN17" s="379">
        <v>1</v>
      </c>
      <c r="AO17" s="379">
        <v>1</v>
      </c>
      <c r="AP17" s="379">
        <v>1</v>
      </c>
      <c r="AQ17" s="379">
        <v>1</v>
      </c>
      <c r="AR17" s="379">
        <v>1</v>
      </c>
      <c r="AS17" s="379">
        <v>1</v>
      </c>
      <c r="AT17" s="379">
        <v>1</v>
      </c>
      <c r="AU17" s="379">
        <v>1</v>
      </c>
      <c r="AV17" s="379">
        <v>1</v>
      </c>
      <c r="AW17" s="379">
        <v>1</v>
      </c>
      <c r="AX17" s="379">
        <v>1</v>
      </c>
      <c r="AY17" s="379">
        <v>1</v>
      </c>
      <c r="AZ17" s="379">
        <v>1</v>
      </c>
      <c r="BA17" s="379">
        <v>1</v>
      </c>
      <c r="BB17" s="379">
        <v>1</v>
      </c>
      <c r="BC17" s="379">
        <v>1</v>
      </c>
      <c r="BD17" s="379">
        <v>1</v>
      </c>
      <c r="BE17" s="379">
        <v>1</v>
      </c>
      <c r="BF17" s="379">
        <v>1</v>
      </c>
      <c r="BG17" s="379">
        <v>1</v>
      </c>
      <c r="BH17" s="379">
        <v>1</v>
      </c>
      <c r="BI17" s="363">
        <f t="shared" si="0"/>
        <v>54</v>
      </c>
      <c r="BJ17" s="177"/>
      <c r="BK17" s="174"/>
      <c r="BL17" s="176"/>
    </row>
    <row r="18" spans="1:64" s="96" customFormat="1" ht="169.9" customHeight="1" thickTop="1" thickBot="1" x14ac:dyDescent="0.95">
      <c r="A18" s="559">
        <v>8</v>
      </c>
      <c r="B18" s="560" t="s">
        <v>256</v>
      </c>
      <c r="C18" s="561" t="s">
        <v>40</v>
      </c>
      <c r="D18" s="357">
        <v>70</v>
      </c>
      <c r="E18" s="358" t="s">
        <v>258</v>
      </c>
      <c r="F18" s="360">
        <v>54</v>
      </c>
      <c r="G18" s="379">
        <v>58</v>
      </c>
      <c r="H18" s="379">
        <v>58</v>
      </c>
      <c r="I18" s="379">
        <v>58</v>
      </c>
      <c r="J18" s="379">
        <v>58</v>
      </c>
      <c r="K18" s="379">
        <v>58</v>
      </c>
      <c r="L18" s="379">
        <v>58</v>
      </c>
      <c r="M18" s="379">
        <v>58</v>
      </c>
      <c r="N18" s="379">
        <v>58</v>
      </c>
      <c r="O18" s="379">
        <v>58</v>
      </c>
      <c r="P18" s="379">
        <v>58</v>
      </c>
      <c r="Q18" s="379">
        <v>58</v>
      </c>
      <c r="R18" s="379">
        <v>58</v>
      </c>
      <c r="S18" s="379">
        <v>58</v>
      </c>
      <c r="T18" s="379">
        <v>58</v>
      </c>
      <c r="U18" s="379">
        <v>58</v>
      </c>
      <c r="V18" s="379">
        <v>58</v>
      </c>
      <c r="W18" s="379">
        <v>58</v>
      </c>
      <c r="X18" s="379">
        <v>58</v>
      </c>
      <c r="Y18" s="379">
        <v>58</v>
      </c>
      <c r="Z18" s="379">
        <v>58</v>
      </c>
      <c r="AA18" s="379">
        <v>58</v>
      </c>
      <c r="AB18" s="379">
        <v>58</v>
      </c>
      <c r="AC18" s="379">
        <v>58</v>
      </c>
      <c r="AD18" s="379">
        <v>58</v>
      </c>
      <c r="AE18" s="379">
        <v>58</v>
      </c>
      <c r="AF18" s="379">
        <v>58</v>
      </c>
      <c r="AG18" s="379">
        <v>58</v>
      </c>
      <c r="AH18" s="379">
        <v>58</v>
      </c>
      <c r="AI18" s="379">
        <v>58</v>
      </c>
      <c r="AJ18" s="379">
        <v>58</v>
      </c>
      <c r="AK18" s="379">
        <v>58</v>
      </c>
      <c r="AL18" s="379">
        <v>58</v>
      </c>
      <c r="AM18" s="379">
        <v>58</v>
      </c>
      <c r="AN18" s="379">
        <v>58</v>
      </c>
      <c r="AO18" s="379">
        <v>58</v>
      </c>
      <c r="AP18" s="379">
        <v>58</v>
      </c>
      <c r="AQ18" s="379">
        <v>58</v>
      </c>
      <c r="AR18" s="379">
        <v>58</v>
      </c>
      <c r="AS18" s="379">
        <v>58</v>
      </c>
      <c r="AT18" s="379">
        <v>58</v>
      </c>
      <c r="AU18" s="379">
        <v>58</v>
      </c>
      <c r="AV18" s="379">
        <v>58</v>
      </c>
      <c r="AW18" s="379">
        <v>58</v>
      </c>
      <c r="AX18" s="379">
        <v>58</v>
      </c>
      <c r="AY18" s="379">
        <v>58</v>
      </c>
      <c r="AZ18" s="379">
        <v>58</v>
      </c>
      <c r="BA18" s="379">
        <v>58</v>
      </c>
      <c r="BB18" s="379">
        <v>58</v>
      </c>
      <c r="BC18" s="379">
        <v>58</v>
      </c>
      <c r="BD18" s="379">
        <v>58</v>
      </c>
      <c r="BE18" s="379">
        <v>58</v>
      </c>
      <c r="BF18" s="379">
        <v>58</v>
      </c>
      <c r="BG18" s="379">
        <v>58</v>
      </c>
      <c r="BH18" s="379">
        <v>58</v>
      </c>
      <c r="BI18" s="363">
        <f t="shared" si="0"/>
        <v>3132</v>
      </c>
      <c r="BJ18" s="177"/>
      <c r="BK18" s="174"/>
      <c r="BL18" s="176"/>
    </row>
    <row r="19" spans="1:64" s="96" customFormat="1" ht="169.9" customHeight="1" thickTop="1" thickBot="1" x14ac:dyDescent="0.95">
      <c r="A19" s="788">
        <v>9</v>
      </c>
      <c r="B19" s="790" t="s">
        <v>257</v>
      </c>
      <c r="C19" s="792" t="s">
        <v>40</v>
      </c>
      <c r="D19" s="794">
        <v>192</v>
      </c>
      <c r="E19" s="786" t="s">
        <v>258</v>
      </c>
      <c r="F19" s="360">
        <f>BI19/192</f>
        <v>0</v>
      </c>
      <c r="G19" s="379"/>
      <c r="H19" s="379"/>
      <c r="I19" s="379"/>
      <c r="J19" s="379"/>
      <c r="K19" s="379"/>
      <c r="L19" s="379"/>
      <c r="M19" s="379"/>
      <c r="N19" s="379"/>
      <c r="O19" s="379"/>
      <c r="P19" s="379"/>
      <c r="Q19" s="379"/>
      <c r="R19" s="379"/>
      <c r="S19" s="379"/>
      <c r="T19" s="379"/>
      <c r="U19" s="379"/>
      <c r="V19" s="379"/>
      <c r="W19" s="379"/>
      <c r="X19" s="379"/>
      <c r="Y19" s="379"/>
      <c r="Z19" s="379"/>
      <c r="AA19" s="379"/>
      <c r="AB19" s="379"/>
      <c r="AC19" s="379"/>
      <c r="AD19" s="379"/>
      <c r="AE19" s="379"/>
      <c r="AF19" s="379"/>
      <c r="AG19" s="379"/>
      <c r="AH19" s="379"/>
      <c r="AI19" s="379"/>
      <c r="AJ19" s="379"/>
      <c r="AK19" s="379"/>
      <c r="AL19" s="379"/>
      <c r="AM19" s="379"/>
      <c r="AN19" s="379"/>
      <c r="AO19" s="379"/>
      <c r="AP19" s="379"/>
      <c r="AQ19" s="379"/>
      <c r="AR19" s="379"/>
      <c r="AS19" s="379"/>
      <c r="AT19" s="379"/>
      <c r="AU19" s="379"/>
      <c r="AV19" s="379"/>
      <c r="AW19" s="379"/>
      <c r="AX19" s="379"/>
      <c r="AY19" s="379"/>
      <c r="AZ19" s="379"/>
      <c r="BA19" s="379"/>
      <c r="BB19" s="379"/>
      <c r="BC19" s="379"/>
      <c r="BD19" s="379"/>
      <c r="BE19" s="379"/>
      <c r="BF19" s="379"/>
      <c r="BG19" s="379"/>
      <c r="BH19" s="379"/>
      <c r="BI19" s="363">
        <f t="shared" si="0"/>
        <v>0</v>
      </c>
      <c r="BJ19" s="177"/>
      <c r="BK19" s="174"/>
      <c r="BL19" s="176"/>
    </row>
    <row r="20" spans="1:64" s="96" customFormat="1" ht="169.9" customHeight="1" thickTop="1" thickBot="1" x14ac:dyDescent="0.95">
      <c r="A20" s="789"/>
      <c r="B20" s="791"/>
      <c r="C20" s="793"/>
      <c r="D20" s="795"/>
      <c r="E20" s="787"/>
      <c r="F20" s="562">
        <f>BI20/192</f>
        <v>54</v>
      </c>
      <c r="G20" s="379">
        <v>192</v>
      </c>
      <c r="H20" s="379">
        <v>192</v>
      </c>
      <c r="I20" s="379">
        <v>192</v>
      </c>
      <c r="J20" s="379">
        <v>192</v>
      </c>
      <c r="K20" s="379">
        <v>192</v>
      </c>
      <c r="L20" s="379">
        <v>192</v>
      </c>
      <c r="M20" s="379">
        <v>192</v>
      </c>
      <c r="N20" s="379">
        <v>192</v>
      </c>
      <c r="O20" s="379">
        <v>192</v>
      </c>
      <c r="P20" s="379">
        <v>192</v>
      </c>
      <c r="Q20" s="379">
        <v>192</v>
      </c>
      <c r="R20" s="379">
        <v>192</v>
      </c>
      <c r="S20" s="379">
        <v>192</v>
      </c>
      <c r="T20" s="379">
        <v>192</v>
      </c>
      <c r="U20" s="379">
        <v>192</v>
      </c>
      <c r="V20" s="379">
        <v>192</v>
      </c>
      <c r="W20" s="379">
        <v>192</v>
      </c>
      <c r="X20" s="379">
        <v>192</v>
      </c>
      <c r="Y20" s="379">
        <v>192</v>
      </c>
      <c r="Z20" s="379">
        <v>192</v>
      </c>
      <c r="AA20" s="379">
        <v>192</v>
      </c>
      <c r="AB20" s="379">
        <v>192</v>
      </c>
      <c r="AC20" s="379">
        <v>192</v>
      </c>
      <c r="AD20" s="379">
        <v>192</v>
      </c>
      <c r="AE20" s="379">
        <v>192</v>
      </c>
      <c r="AF20" s="379">
        <v>192</v>
      </c>
      <c r="AG20" s="379">
        <v>192</v>
      </c>
      <c r="AH20" s="379">
        <v>192</v>
      </c>
      <c r="AI20" s="379">
        <v>192</v>
      </c>
      <c r="AJ20" s="379">
        <v>192</v>
      </c>
      <c r="AK20" s="379">
        <v>192</v>
      </c>
      <c r="AL20" s="379">
        <v>192</v>
      </c>
      <c r="AM20" s="379">
        <v>192</v>
      </c>
      <c r="AN20" s="379">
        <v>192</v>
      </c>
      <c r="AO20" s="379">
        <v>192</v>
      </c>
      <c r="AP20" s="379">
        <v>192</v>
      </c>
      <c r="AQ20" s="379">
        <v>192</v>
      </c>
      <c r="AR20" s="379">
        <v>192</v>
      </c>
      <c r="AS20" s="379">
        <v>192</v>
      </c>
      <c r="AT20" s="379">
        <v>192</v>
      </c>
      <c r="AU20" s="379">
        <v>192</v>
      </c>
      <c r="AV20" s="379">
        <v>192</v>
      </c>
      <c r="AW20" s="379">
        <v>192</v>
      </c>
      <c r="AX20" s="379">
        <v>192</v>
      </c>
      <c r="AY20" s="379">
        <v>192</v>
      </c>
      <c r="AZ20" s="379">
        <v>192</v>
      </c>
      <c r="BA20" s="379">
        <v>192</v>
      </c>
      <c r="BB20" s="379">
        <v>192</v>
      </c>
      <c r="BC20" s="379">
        <v>192</v>
      </c>
      <c r="BD20" s="379">
        <v>192</v>
      </c>
      <c r="BE20" s="379">
        <v>192</v>
      </c>
      <c r="BF20" s="379">
        <v>192</v>
      </c>
      <c r="BG20" s="379">
        <v>192</v>
      </c>
      <c r="BH20" s="379">
        <v>192</v>
      </c>
      <c r="BI20" s="363">
        <f>SUM(G20:BH20)</f>
        <v>10368</v>
      </c>
      <c r="BJ20" s="177"/>
      <c r="BK20" s="174"/>
      <c r="BL20" s="368"/>
    </row>
    <row r="21" spans="1:64" s="96" customFormat="1" ht="169.9" customHeight="1" thickTop="1" thickBot="1" x14ac:dyDescent="0.95">
      <c r="A21" s="391">
        <v>10</v>
      </c>
      <c r="B21" s="355" t="s">
        <v>676</v>
      </c>
      <c r="C21" s="356" t="s">
        <v>33</v>
      </c>
      <c r="D21" s="357">
        <v>48</v>
      </c>
      <c r="E21" s="358" t="s">
        <v>664</v>
      </c>
      <c r="F21" s="380">
        <f>(SUM(G21:BH21))/D21</f>
        <v>54</v>
      </c>
      <c r="G21" s="379">
        <v>48</v>
      </c>
      <c r="H21" s="379">
        <v>48</v>
      </c>
      <c r="I21" s="379">
        <v>48</v>
      </c>
      <c r="J21" s="379">
        <v>48</v>
      </c>
      <c r="K21" s="379">
        <v>48</v>
      </c>
      <c r="L21" s="379">
        <v>48</v>
      </c>
      <c r="M21" s="379">
        <v>48</v>
      </c>
      <c r="N21" s="379">
        <v>48</v>
      </c>
      <c r="O21" s="379">
        <v>48</v>
      </c>
      <c r="P21" s="379">
        <v>48</v>
      </c>
      <c r="Q21" s="379">
        <v>48</v>
      </c>
      <c r="R21" s="379">
        <v>48</v>
      </c>
      <c r="S21" s="379">
        <v>48</v>
      </c>
      <c r="T21" s="379">
        <v>48</v>
      </c>
      <c r="U21" s="379">
        <v>48</v>
      </c>
      <c r="V21" s="379">
        <v>48</v>
      </c>
      <c r="W21" s="379">
        <v>48</v>
      </c>
      <c r="X21" s="379">
        <v>48</v>
      </c>
      <c r="Y21" s="379">
        <v>48</v>
      </c>
      <c r="Z21" s="379">
        <v>48</v>
      </c>
      <c r="AA21" s="379">
        <v>48</v>
      </c>
      <c r="AB21" s="379">
        <v>48</v>
      </c>
      <c r="AC21" s="379">
        <v>48</v>
      </c>
      <c r="AD21" s="379">
        <v>48</v>
      </c>
      <c r="AE21" s="379">
        <v>48</v>
      </c>
      <c r="AF21" s="379">
        <v>48</v>
      </c>
      <c r="AG21" s="379">
        <v>48</v>
      </c>
      <c r="AH21" s="379">
        <v>48</v>
      </c>
      <c r="AI21" s="379">
        <v>48</v>
      </c>
      <c r="AJ21" s="379">
        <v>48</v>
      </c>
      <c r="AK21" s="379">
        <v>48</v>
      </c>
      <c r="AL21" s="379">
        <v>48</v>
      </c>
      <c r="AM21" s="379">
        <v>48</v>
      </c>
      <c r="AN21" s="379">
        <v>48</v>
      </c>
      <c r="AO21" s="379">
        <v>48</v>
      </c>
      <c r="AP21" s="379">
        <v>48</v>
      </c>
      <c r="AQ21" s="379">
        <v>48</v>
      </c>
      <c r="AR21" s="379">
        <v>48</v>
      </c>
      <c r="AS21" s="379">
        <v>48</v>
      </c>
      <c r="AT21" s="379">
        <v>48</v>
      </c>
      <c r="AU21" s="379">
        <v>48</v>
      </c>
      <c r="AV21" s="379">
        <v>48</v>
      </c>
      <c r="AW21" s="379">
        <v>48</v>
      </c>
      <c r="AX21" s="379">
        <v>48</v>
      </c>
      <c r="AY21" s="379">
        <v>48</v>
      </c>
      <c r="AZ21" s="379">
        <v>48</v>
      </c>
      <c r="BA21" s="379">
        <v>48</v>
      </c>
      <c r="BB21" s="379">
        <v>48</v>
      </c>
      <c r="BC21" s="379">
        <v>48</v>
      </c>
      <c r="BD21" s="379">
        <v>48</v>
      </c>
      <c r="BE21" s="379">
        <v>48</v>
      </c>
      <c r="BF21" s="379">
        <v>48</v>
      </c>
      <c r="BG21" s="379">
        <v>48</v>
      </c>
      <c r="BH21" s="379">
        <v>48</v>
      </c>
      <c r="BI21" s="363">
        <f t="shared" si="0"/>
        <v>2592</v>
      </c>
      <c r="BJ21" s="177"/>
      <c r="BK21" s="174"/>
      <c r="BL21" s="368"/>
    </row>
    <row r="22" spans="1:64" s="96" customFormat="1" ht="169.9" customHeight="1" thickTop="1" thickBot="1" x14ac:dyDescent="0.95">
      <c r="A22" s="798">
        <v>11</v>
      </c>
      <c r="B22" s="799" t="s">
        <v>261</v>
      </c>
      <c r="C22" s="800" t="s">
        <v>35</v>
      </c>
      <c r="D22" s="801">
        <v>192</v>
      </c>
      <c r="E22" s="358" t="s">
        <v>260</v>
      </c>
      <c r="F22" s="380">
        <f>(SUM(G22:BH22))/D22</f>
        <v>0</v>
      </c>
      <c r="G22" s="381"/>
      <c r="H22" s="381"/>
      <c r="I22" s="381"/>
      <c r="J22" s="381"/>
      <c r="K22" s="381"/>
      <c r="L22" s="381"/>
      <c r="M22" s="381"/>
      <c r="N22" s="381"/>
      <c r="O22" s="381"/>
      <c r="P22" s="381"/>
      <c r="Q22" s="381"/>
      <c r="R22" s="381"/>
      <c r="S22" s="381"/>
      <c r="T22" s="381"/>
      <c r="U22" s="381"/>
      <c r="V22" s="381"/>
      <c r="W22" s="381"/>
      <c r="X22" s="381"/>
      <c r="Y22" s="381"/>
      <c r="Z22" s="381"/>
      <c r="AA22" s="381"/>
      <c r="AB22" s="381"/>
      <c r="AC22" s="381"/>
      <c r="AD22" s="381"/>
      <c r="AE22" s="381"/>
      <c r="AF22" s="381"/>
      <c r="AG22" s="381"/>
      <c r="AH22" s="381"/>
      <c r="AI22" s="381"/>
      <c r="AJ22" s="381"/>
      <c r="AK22" s="381"/>
      <c r="AL22" s="381"/>
      <c r="AM22" s="381"/>
      <c r="AN22" s="381"/>
      <c r="AO22" s="381"/>
      <c r="AP22" s="381"/>
      <c r="AQ22" s="381"/>
      <c r="AR22" s="381"/>
      <c r="AS22" s="381"/>
      <c r="AT22" s="381"/>
      <c r="AU22" s="381"/>
      <c r="AV22" s="381"/>
      <c r="AW22" s="381"/>
      <c r="AX22" s="381"/>
      <c r="AY22" s="381"/>
      <c r="AZ22" s="381"/>
      <c r="BA22" s="381"/>
      <c r="BB22" s="381"/>
      <c r="BC22" s="381"/>
      <c r="BD22" s="381"/>
      <c r="BE22" s="381"/>
      <c r="BF22" s="381"/>
      <c r="BG22" s="381"/>
      <c r="BH22" s="381"/>
      <c r="BI22" s="363">
        <f t="shared" si="0"/>
        <v>0</v>
      </c>
      <c r="BJ22" s="177"/>
      <c r="BK22" s="174"/>
      <c r="BL22" s="178"/>
    </row>
    <row r="23" spans="1:64" s="96" customFormat="1" ht="169.9" customHeight="1" thickTop="1" thickBot="1" x14ac:dyDescent="0.95">
      <c r="A23" s="798"/>
      <c r="B23" s="799"/>
      <c r="C23" s="800"/>
      <c r="D23" s="801"/>
      <c r="E23" s="358" t="s">
        <v>287</v>
      </c>
      <c r="F23" s="380">
        <f>(SUM(G23:BH23))/D22</f>
        <v>54</v>
      </c>
      <c r="G23" s="381">
        <v>192</v>
      </c>
      <c r="H23" s="381">
        <v>192</v>
      </c>
      <c r="I23" s="381">
        <v>192</v>
      </c>
      <c r="J23" s="381">
        <v>192</v>
      </c>
      <c r="K23" s="381">
        <v>192</v>
      </c>
      <c r="L23" s="381">
        <v>192</v>
      </c>
      <c r="M23" s="381">
        <v>192</v>
      </c>
      <c r="N23" s="381">
        <v>192</v>
      </c>
      <c r="O23" s="381">
        <v>192</v>
      </c>
      <c r="P23" s="381">
        <v>192</v>
      </c>
      <c r="Q23" s="381">
        <v>192</v>
      </c>
      <c r="R23" s="381">
        <v>192</v>
      </c>
      <c r="S23" s="381">
        <v>192</v>
      </c>
      <c r="T23" s="381">
        <v>192</v>
      </c>
      <c r="U23" s="381">
        <v>192</v>
      </c>
      <c r="V23" s="381">
        <v>192</v>
      </c>
      <c r="W23" s="381">
        <v>192</v>
      </c>
      <c r="X23" s="381">
        <v>192</v>
      </c>
      <c r="Y23" s="381">
        <v>192</v>
      </c>
      <c r="Z23" s="381">
        <v>192</v>
      </c>
      <c r="AA23" s="381">
        <v>192</v>
      </c>
      <c r="AB23" s="381">
        <v>192</v>
      </c>
      <c r="AC23" s="381">
        <v>192</v>
      </c>
      <c r="AD23" s="381">
        <v>192</v>
      </c>
      <c r="AE23" s="381">
        <v>192</v>
      </c>
      <c r="AF23" s="381">
        <v>192</v>
      </c>
      <c r="AG23" s="381">
        <v>192</v>
      </c>
      <c r="AH23" s="381">
        <v>192</v>
      </c>
      <c r="AI23" s="381">
        <v>192</v>
      </c>
      <c r="AJ23" s="381">
        <v>192</v>
      </c>
      <c r="AK23" s="381">
        <v>192</v>
      </c>
      <c r="AL23" s="381">
        <v>192</v>
      </c>
      <c r="AM23" s="381">
        <v>192</v>
      </c>
      <c r="AN23" s="381">
        <v>192</v>
      </c>
      <c r="AO23" s="381">
        <v>192</v>
      </c>
      <c r="AP23" s="381">
        <v>192</v>
      </c>
      <c r="AQ23" s="381">
        <v>192</v>
      </c>
      <c r="AR23" s="381">
        <v>192</v>
      </c>
      <c r="AS23" s="381">
        <v>192</v>
      </c>
      <c r="AT23" s="381">
        <v>192</v>
      </c>
      <c r="AU23" s="381">
        <v>192</v>
      </c>
      <c r="AV23" s="381">
        <v>192</v>
      </c>
      <c r="AW23" s="381">
        <v>192</v>
      </c>
      <c r="AX23" s="381">
        <v>192</v>
      </c>
      <c r="AY23" s="381">
        <v>192</v>
      </c>
      <c r="AZ23" s="381">
        <v>192</v>
      </c>
      <c r="BA23" s="381">
        <v>192</v>
      </c>
      <c r="BB23" s="381">
        <v>192</v>
      </c>
      <c r="BC23" s="381">
        <v>192</v>
      </c>
      <c r="BD23" s="381">
        <v>192</v>
      </c>
      <c r="BE23" s="381">
        <v>192</v>
      </c>
      <c r="BF23" s="381">
        <v>192</v>
      </c>
      <c r="BG23" s="381">
        <v>192</v>
      </c>
      <c r="BH23" s="381">
        <v>192</v>
      </c>
      <c r="BI23" s="363">
        <f t="shared" si="0"/>
        <v>10368</v>
      </c>
      <c r="BJ23" s="177"/>
      <c r="BK23" s="179" t="e">
        <f>#REF!-BI24</f>
        <v>#REF!</v>
      </c>
      <c r="BL23" s="178">
        <f>BI24</f>
        <v>0</v>
      </c>
    </row>
    <row r="24" spans="1:64" s="96" customFormat="1" ht="169.9" customHeight="1" thickTop="1" thickBot="1" x14ac:dyDescent="0.95">
      <c r="A24" s="798">
        <v>12</v>
      </c>
      <c r="B24" s="799" t="s">
        <v>299</v>
      </c>
      <c r="C24" s="800" t="s">
        <v>35</v>
      </c>
      <c r="D24" s="801">
        <v>120</v>
      </c>
      <c r="E24" s="358" t="s">
        <v>260</v>
      </c>
      <c r="F24" s="380">
        <f>(SUM(G24:BH24))/D24</f>
        <v>0</v>
      </c>
      <c r="G24" s="381"/>
      <c r="H24" s="381"/>
      <c r="I24" s="381"/>
      <c r="J24" s="381"/>
      <c r="K24" s="381"/>
      <c r="L24" s="381"/>
      <c r="M24" s="381"/>
      <c r="N24" s="381"/>
      <c r="O24" s="381"/>
      <c r="P24" s="381"/>
      <c r="Q24" s="381"/>
      <c r="R24" s="381"/>
      <c r="S24" s="381"/>
      <c r="T24" s="381"/>
      <c r="U24" s="381"/>
      <c r="V24" s="381"/>
      <c r="W24" s="381"/>
      <c r="X24" s="381"/>
      <c r="Y24" s="381"/>
      <c r="Z24" s="381"/>
      <c r="AA24" s="381"/>
      <c r="AB24" s="381"/>
      <c r="AC24" s="381"/>
      <c r="AD24" s="381"/>
      <c r="AE24" s="381"/>
      <c r="AF24" s="381"/>
      <c r="AG24" s="381"/>
      <c r="AH24" s="381"/>
      <c r="AI24" s="381"/>
      <c r="AJ24" s="381"/>
      <c r="AK24" s="381"/>
      <c r="AL24" s="381"/>
      <c r="AM24" s="381"/>
      <c r="AN24" s="381"/>
      <c r="AO24" s="381"/>
      <c r="AP24" s="381"/>
      <c r="AQ24" s="381"/>
      <c r="AR24" s="381"/>
      <c r="AS24" s="381"/>
      <c r="AT24" s="381"/>
      <c r="AU24" s="381"/>
      <c r="AV24" s="381"/>
      <c r="AW24" s="381"/>
      <c r="AX24" s="381"/>
      <c r="AY24" s="381"/>
      <c r="AZ24" s="381"/>
      <c r="BA24" s="381"/>
      <c r="BB24" s="381"/>
      <c r="BC24" s="381"/>
      <c r="BD24" s="381"/>
      <c r="BE24" s="381"/>
      <c r="BF24" s="381"/>
      <c r="BG24" s="381"/>
      <c r="BH24" s="381"/>
      <c r="BI24" s="363">
        <f t="shared" si="0"/>
        <v>0</v>
      </c>
      <c r="BJ24" s="177"/>
      <c r="BK24" s="174"/>
      <c r="BL24" s="178"/>
    </row>
    <row r="25" spans="1:64" s="96" customFormat="1" ht="169.9" customHeight="1" thickTop="1" thickBot="1" x14ac:dyDescent="0.95">
      <c r="A25" s="798"/>
      <c r="B25" s="799"/>
      <c r="C25" s="800"/>
      <c r="D25" s="801"/>
      <c r="E25" s="358" t="s">
        <v>287</v>
      </c>
      <c r="F25" s="380">
        <f>(SUM(G25:BH25))/D24</f>
        <v>54</v>
      </c>
      <c r="G25" s="381">
        <v>120</v>
      </c>
      <c r="H25" s="381">
        <v>120</v>
      </c>
      <c r="I25" s="381">
        <v>120</v>
      </c>
      <c r="J25" s="381">
        <v>120</v>
      </c>
      <c r="K25" s="381">
        <v>120</v>
      </c>
      <c r="L25" s="381">
        <v>120</v>
      </c>
      <c r="M25" s="381">
        <v>120</v>
      </c>
      <c r="N25" s="381">
        <v>120</v>
      </c>
      <c r="O25" s="381">
        <v>120</v>
      </c>
      <c r="P25" s="381">
        <v>120</v>
      </c>
      <c r="Q25" s="381">
        <v>120</v>
      </c>
      <c r="R25" s="381">
        <v>120</v>
      </c>
      <c r="S25" s="381">
        <v>120</v>
      </c>
      <c r="T25" s="381">
        <v>120</v>
      </c>
      <c r="U25" s="381">
        <v>120</v>
      </c>
      <c r="V25" s="381">
        <v>120</v>
      </c>
      <c r="W25" s="381">
        <v>120</v>
      </c>
      <c r="X25" s="381">
        <v>120</v>
      </c>
      <c r="Y25" s="381">
        <v>120</v>
      </c>
      <c r="Z25" s="381">
        <v>120</v>
      </c>
      <c r="AA25" s="381">
        <v>120</v>
      </c>
      <c r="AB25" s="381">
        <v>120</v>
      </c>
      <c r="AC25" s="381">
        <v>120</v>
      </c>
      <c r="AD25" s="381">
        <v>120</v>
      </c>
      <c r="AE25" s="381">
        <v>120</v>
      </c>
      <c r="AF25" s="381">
        <v>120</v>
      </c>
      <c r="AG25" s="381">
        <v>120</v>
      </c>
      <c r="AH25" s="381">
        <v>120</v>
      </c>
      <c r="AI25" s="381">
        <v>120</v>
      </c>
      <c r="AJ25" s="381">
        <v>120</v>
      </c>
      <c r="AK25" s="381">
        <v>120</v>
      </c>
      <c r="AL25" s="381">
        <v>120</v>
      </c>
      <c r="AM25" s="381">
        <v>120</v>
      </c>
      <c r="AN25" s="381">
        <v>120</v>
      </c>
      <c r="AO25" s="381">
        <v>120</v>
      </c>
      <c r="AP25" s="381">
        <v>120</v>
      </c>
      <c r="AQ25" s="381">
        <v>120</v>
      </c>
      <c r="AR25" s="381">
        <v>120</v>
      </c>
      <c r="AS25" s="381">
        <v>120</v>
      </c>
      <c r="AT25" s="381">
        <v>120</v>
      </c>
      <c r="AU25" s="381">
        <v>120</v>
      </c>
      <c r="AV25" s="381">
        <v>120</v>
      </c>
      <c r="AW25" s="381">
        <v>120</v>
      </c>
      <c r="AX25" s="381">
        <v>120</v>
      </c>
      <c r="AY25" s="381">
        <v>120</v>
      </c>
      <c r="AZ25" s="381">
        <v>120</v>
      </c>
      <c r="BA25" s="381">
        <v>120</v>
      </c>
      <c r="BB25" s="381">
        <v>120</v>
      </c>
      <c r="BC25" s="381">
        <v>120</v>
      </c>
      <c r="BD25" s="381">
        <v>120</v>
      </c>
      <c r="BE25" s="381">
        <v>120</v>
      </c>
      <c r="BF25" s="381">
        <v>120</v>
      </c>
      <c r="BG25" s="381">
        <v>120</v>
      </c>
      <c r="BH25" s="381">
        <v>120</v>
      </c>
      <c r="BI25" s="363">
        <f t="shared" si="0"/>
        <v>6480</v>
      </c>
      <c r="BJ25" s="177"/>
      <c r="BK25" s="179" t="e">
        <f>#REF!-BI26</f>
        <v>#REF!</v>
      </c>
      <c r="BL25" s="178">
        <f>SUM(G26:BH26)</f>
        <v>0</v>
      </c>
    </row>
    <row r="26" spans="1:64" s="96" customFormat="1" ht="169.9" customHeight="1" thickTop="1" thickBot="1" x14ac:dyDescent="0.95">
      <c r="A26" s="798">
        <v>13</v>
      </c>
      <c r="B26" s="799" t="s">
        <v>277</v>
      </c>
      <c r="C26" s="800" t="s">
        <v>35</v>
      </c>
      <c r="D26" s="801">
        <v>17</v>
      </c>
      <c r="E26" s="358" t="s">
        <v>260</v>
      </c>
      <c r="F26" s="380">
        <f>(SUM(G26:BH26))/D26</f>
        <v>0</v>
      </c>
      <c r="G26" s="381"/>
      <c r="H26" s="381"/>
      <c r="I26" s="381"/>
      <c r="J26" s="381"/>
      <c r="K26" s="381"/>
      <c r="L26" s="381"/>
      <c r="M26" s="381"/>
      <c r="N26" s="381"/>
      <c r="O26" s="381"/>
      <c r="P26" s="381"/>
      <c r="Q26" s="381"/>
      <c r="R26" s="381"/>
      <c r="S26" s="381"/>
      <c r="T26" s="381"/>
      <c r="U26" s="381"/>
      <c r="V26" s="381"/>
      <c r="W26" s="381"/>
      <c r="X26" s="381"/>
      <c r="Y26" s="381"/>
      <c r="Z26" s="381"/>
      <c r="AA26" s="381"/>
      <c r="AB26" s="381"/>
      <c r="AC26" s="381"/>
      <c r="AD26" s="381"/>
      <c r="AE26" s="381"/>
      <c r="AF26" s="381"/>
      <c r="AG26" s="381"/>
      <c r="AH26" s="381"/>
      <c r="AI26" s="381"/>
      <c r="AJ26" s="381"/>
      <c r="AK26" s="381"/>
      <c r="AL26" s="381"/>
      <c r="AM26" s="381"/>
      <c r="AN26" s="381"/>
      <c r="AO26" s="381"/>
      <c r="AP26" s="381"/>
      <c r="AQ26" s="381"/>
      <c r="AR26" s="381"/>
      <c r="AS26" s="381"/>
      <c r="AT26" s="381"/>
      <c r="AU26" s="381"/>
      <c r="AV26" s="381"/>
      <c r="AW26" s="381"/>
      <c r="AX26" s="381"/>
      <c r="AY26" s="381"/>
      <c r="AZ26" s="381"/>
      <c r="BA26" s="381"/>
      <c r="BB26" s="381"/>
      <c r="BC26" s="381"/>
      <c r="BD26" s="381"/>
      <c r="BE26" s="381"/>
      <c r="BF26" s="381"/>
      <c r="BG26" s="381"/>
      <c r="BH26" s="381"/>
      <c r="BI26" s="363">
        <f t="shared" si="0"/>
        <v>0</v>
      </c>
      <c r="BJ26" s="177"/>
      <c r="BK26" s="174"/>
      <c r="BL26" s="180">
        <f>BI28</f>
        <v>0</v>
      </c>
    </row>
    <row r="27" spans="1:64" s="96" customFormat="1" ht="169.9" customHeight="1" thickTop="1" thickBot="1" x14ac:dyDescent="0.95">
      <c r="A27" s="798"/>
      <c r="B27" s="799"/>
      <c r="C27" s="800"/>
      <c r="D27" s="801"/>
      <c r="E27" s="358" t="s">
        <v>287</v>
      </c>
      <c r="F27" s="360">
        <f>(SUM(G27:BH27))/D26</f>
        <v>54</v>
      </c>
      <c r="G27" s="381">
        <v>17</v>
      </c>
      <c r="H27" s="381">
        <v>17</v>
      </c>
      <c r="I27" s="381">
        <v>17</v>
      </c>
      <c r="J27" s="381">
        <v>17</v>
      </c>
      <c r="K27" s="381">
        <v>17</v>
      </c>
      <c r="L27" s="381">
        <v>17</v>
      </c>
      <c r="M27" s="381">
        <v>17</v>
      </c>
      <c r="N27" s="381">
        <v>17</v>
      </c>
      <c r="O27" s="381">
        <v>17</v>
      </c>
      <c r="P27" s="381">
        <v>17</v>
      </c>
      <c r="Q27" s="381">
        <v>17</v>
      </c>
      <c r="R27" s="381">
        <v>17</v>
      </c>
      <c r="S27" s="381">
        <v>17</v>
      </c>
      <c r="T27" s="381">
        <v>17</v>
      </c>
      <c r="U27" s="381">
        <v>17</v>
      </c>
      <c r="V27" s="381">
        <v>17</v>
      </c>
      <c r="W27" s="381">
        <v>17</v>
      </c>
      <c r="X27" s="381">
        <v>17</v>
      </c>
      <c r="Y27" s="381">
        <v>17</v>
      </c>
      <c r="Z27" s="381">
        <v>17</v>
      </c>
      <c r="AA27" s="381">
        <v>17</v>
      </c>
      <c r="AB27" s="381">
        <v>17</v>
      </c>
      <c r="AC27" s="381">
        <v>17</v>
      </c>
      <c r="AD27" s="381">
        <v>17</v>
      </c>
      <c r="AE27" s="381">
        <v>17</v>
      </c>
      <c r="AF27" s="381">
        <v>17</v>
      </c>
      <c r="AG27" s="381">
        <v>17</v>
      </c>
      <c r="AH27" s="381">
        <v>17</v>
      </c>
      <c r="AI27" s="381">
        <v>17</v>
      </c>
      <c r="AJ27" s="381">
        <v>17</v>
      </c>
      <c r="AK27" s="381">
        <v>17</v>
      </c>
      <c r="AL27" s="381">
        <v>17</v>
      </c>
      <c r="AM27" s="381">
        <v>17</v>
      </c>
      <c r="AN27" s="381">
        <v>17</v>
      </c>
      <c r="AO27" s="381">
        <v>17</v>
      </c>
      <c r="AP27" s="381">
        <v>17</v>
      </c>
      <c r="AQ27" s="381">
        <v>17</v>
      </c>
      <c r="AR27" s="381">
        <v>17</v>
      </c>
      <c r="AS27" s="381">
        <v>17</v>
      </c>
      <c r="AT27" s="381">
        <v>17</v>
      </c>
      <c r="AU27" s="381">
        <v>17</v>
      </c>
      <c r="AV27" s="381">
        <v>17</v>
      </c>
      <c r="AW27" s="381">
        <v>17</v>
      </c>
      <c r="AX27" s="381">
        <v>17</v>
      </c>
      <c r="AY27" s="381">
        <v>17</v>
      </c>
      <c r="AZ27" s="381">
        <v>17</v>
      </c>
      <c r="BA27" s="381">
        <v>17</v>
      </c>
      <c r="BB27" s="381">
        <v>17</v>
      </c>
      <c r="BC27" s="381">
        <v>17</v>
      </c>
      <c r="BD27" s="381">
        <v>17</v>
      </c>
      <c r="BE27" s="381">
        <v>17</v>
      </c>
      <c r="BF27" s="381">
        <v>17</v>
      </c>
      <c r="BG27" s="381">
        <v>17</v>
      </c>
      <c r="BH27" s="381">
        <v>17</v>
      </c>
      <c r="BI27" s="364">
        <f t="shared" ref="BI27:BI53" si="2">SUM(G27:BH27)</f>
        <v>918</v>
      </c>
      <c r="BJ27" s="177"/>
      <c r="BK27" s="179" t="e">
        <f>#REF!-BI28</f>
        <v>#REF!</v>
      </c>
      <c r="BL27" s="180"/>
    </row>
    <row r="28" spans="1:64" s="96" customFormat="1" ht="169.9" customHeight="1" thickTop="1" thickBot="1" x14ac:dyDescent="0.95">
      <c r="A28" s="798">
        <v>15</v>
      </c>
      <c r="B28" s="799" t="s">
        <v>298</v>
      </c>
      <c r="C28" s="800" t="s">
        <v>35</v>
      </c>
      <c r="D28" s="801">
        <v>2</v>
      </c>
      <c r="E28" s="358" t="s">
        <v>260</v>
      </c>
      <c r="F28" s="380">
        <f>(SUM(G28:BH28))/D28</f>
        <v>0</v>
      </c>
      <c r="G28" s="381"/>
      <c r="H28" s="381"/>
      <c r="I28" s="381"/>
      <c r="J28" s="381"/>
      <c r="K28" s="381"/>
      <c r="L28" s="381"/>
      <c r="M28" s="381"/>
      <c r="N28" s="381"/>
      <c r="O28" s="381"/>
      <c r="P28" s="381"/>
      <c r="Q28" s="381"/>
      <c r="R28" s="381"/>
      <c r="S28" s="381"/>
      <c r="T28" s="381"/>
      <c r="U28" s="381"/>
      <c r="V28" s="381"/>
      <c r="W28" s="381"/>
      <c r="X28" s="381"/>
      <c r="Y28" s="381"/>
      <c r="Z28" s="381"/>
      <c r="AA28" s="381"/>
      <c r="AB28" s="381"/>
      <c r="AC28" s="381"/>
      <c r="AD28" s="381"/>
      <c r="AE28" s="381"/>
      <c r="AF28" s="381"/>
      <c r="AG28" s="381"/>
      <c r="AH28" s="381"/>
      <c r="AI28" s="381"/>
      <c r="AJ28" s="381"/>
      <c r="AK28" s="381"/>
      <c r="AL28" s="381"/>
      <c r="AM28" s="381"/>
      <c r="AN28" s="381"/>
      <c r="AO28" s="381"/>
      <c r="AP28" s="381"/>
      <c r="AQ28" s="381"/>
      <c r="AR28" s="381"/>
      <c r="AS28" s="381"/>
      <c r="AT28" s="381"/>
      <c r="AU28" s="381"/>
      <c r="AV28" s="381"/>
      <c r="AW28" s="381"/>
      <c r="AX28" s="381"/>
      <c r="AY28" s="381"/>
      <c r="AZ28" s="381"/>
      <c r="BA28" s="381"/>
      <c r="BB28" s="381"/>
      <c r="BC28" s="381"/>
      <c r="BD28" s="381"/>
      <c r="BE28" s="381"/>
      <c r="BF28" s="381"/>
      <c r="BG28" s="381"/>
      <c r="BH28" s="381"/>
      <c r="BI28" s="364">
        <f t="shared" si="2"/>
        <v>0</v>
      </c>
      <c r="BJ28" s="177"/>
      <c r="BK28" s="174"/>
      <c r="BL28" s="181"/>
    </row>
    <row r="29" spans="1:64" s="96" customFormat="1" ht="169.9" customHeight="1" thickTop="1" thickBot="1" x14ac:dyDescent="0.95">
      <c r="A29" s="798"/>
      <c r="B29" s="799"/>
      <c r="C29" s="800"/>
      <c r="D29" s="801"/>
      <c r="E29" s="358" t="s">
        <v>287</v>
      </c>
      <c r="F29" s="380">
        <f>(SUM(G29:BH29))/D28</f>
        <v>54</v>
      </c>
      <c r="G29" s="381">
        <v>2</v>
      </c>
      <c r="H29" s="381">
        <v>2</v>
      </c>
      <c r="I29" s="381">
        <v>2</v>
      </c>
      <c r="J29" s="381">
        <v>2</v>
      </c>
      <c r="K29" s="381">
        <v>2</v>
      </c>
      <c r="L29" s="381">
        <v>2</v>
      </c>
      <c r="M29" s="381">
        <v>2</v>
      </c>
      <c r="N29" s="381">
        <v>2</v>
      </c>
      <c r="O29" s="381">
        <v>2</v>
      </c>
      <c r="P29" s="381">
        <v>2</v>
      </c>
      <c r="Q29" s="381">
        <v>2</v>
      </c>
      <c r="R29" s="381">
        <v>2</v>
      </c>
      <c r="S29" s="381">
        <v>2</v>
      </c>
      <c r="T29" s="381">
        <v>2</v>
      </c>
      <c r="U29" s="381">
        <v>2</v>
      </c>
      <c r="V29" s="381">
        <v>2</v>
      </c>
      <c r="W29" s="381">
        <v>2</v>
      </c>
      <c r="X29" s="381">
        <v>2</v>
      </c>
      <c r="Y29" s="381">
        <v>2</v>
      </c>
      <c r="Z29" s="381">
        <v>2</v>
      </c>
      <c r="AA29" s="381">
        <v>2</v>
      </c>
      <c r="AB29" s="381">
        <v>2</v>
      </c>
      <c r="AC29" s="381">
        <v>2</v>
      </c>
      <c r="AD29" s="381">
        <v>2</v>
      </c>
      <c r="AE29" s="381">
        <v>2</v>
      </c>
      <c r="AF29" s="381">
        <v>2</v>
      </c>
      <c r="AG29" s="381">
        <v>2</v>
      </c>
      <c r="AH29" s="381">
        <v>2</v>
      </c>
      <c r="AI29" s="381">
        <v>2</v>
      </c>
      <c r="AJ29" s="381">
        <v>2</v>
      </c>
      <c r="AK29" s="381">
        <v>2</v>
      </c>
      <c r="AL29" s="381">
        <v>2</v>
      </c>
      <c r="AM29" s="381">
        <v>2</v>
      </c>
      <c r="AN29" s="381">
        <v>2</v>
      </c>
      <c r="AO29" s="381">
        <v>2</v>
      </c>
      <c r="AP29" s="381">
        <v>2</v>
      </c>
      <c r="AQ29" s="381">
        <v>2</v>
      </c>
      <c r="AR29" s="381">
        <v>2</v>
      </c>
      <c r="AS29" s="381">
        <v>2</v>
      </c>
      <c r="AT29" s="381">
        <v>2</v>
      </c>
      <c r="AU29" s="381">
        <v>2</v>
      </c>
      <c r="AV29" s="381">
        <v>2</v>
      </c>
      <c r="AW29" s="381">
        <v>2</v>
      </c>
      <c r="AX29" s="381">
        <v>2</v>
      </c>
      <c r="AY29" s="381">
        <v>2</v>
      </c>
      <c r="AZ29" s="381">
        <v>2</v>
      </c>
      <c r="BA29" s="381">
        <v>2</v>
      </c>
      <c r="BB29" s="381">
        <v>2</v>
      </c>
      <c r="BC29" s="381">
        <v>2</v>
      </c>
      <c r="BD29" s="381">
        <v>2</v>
      </c>
      <c r="BE29" s="381">
        <v>2</v>
      </c>
      <c r="BF29" s="381">
        <v>2</v>
      </c>
      <c r="BG29" s="381">
        <v>2</v>
      </c>
      <c r="BH29" s="381">
        <v>2</v>
      </c>
      <c r="BI29" s="364">
        <f t="shared" si="2"/>
        <v>108</v>
      </c>
      <c r="BJ29" s="177"/>
      <c r="BK29" s="179" t="e">
        <f>#REF!-BI30</f>
        <v>#REF!</v>
      </c>
      <c r="BL29" s="181">
        <f>BI30</f>
        <v>0</v>
      </c>
    </row>
    <row r="30" spans="1:64" s="96" customFormat="1" ht="169.9" customHeight="1" thickTop="1" thickBot="1" x14ac:dyDescent="0.95">
      <c r="A30" s="798">
        <v>16</v>
      </c>
      <c r="B30" s="799" t="s">
        <v>297</v>
      </c>
      <c r="C30" s="800" t="s">
        <v>35</v>
      </c>
      <c r="D30" s="801">
        <v>24</v>
      </c>
      <c r="E30" s="358" t="s">
        <v>260</v>
      </c>
      <c r="F30" s="380">
        <f>(SUM(G30:BH30))/D30</f>
        <v>0</v>
      </c>
      <c r="G30" s="381"/>
      <c r="H30" s="381"/>
      <c r="I30" s="381"/>
      <c r="J30" s="381"/>
      <c r="K30" s="381"/>
      <c r="L30" s="381"/>
      <c r="M30" s="381"/>
      <c r="N30" s="381"/>
      <c r="O30" s="381"/>
      <c r="P30" s="381"/>
      <c r="Q30" s="381"/>
      <c r="R30" s="381"/>
      <c r="S30" s="381"/>
      <c r="T30" s="381"/>
      <c r="U30" s="381"/>
      <c r="V30" s="381"/>
      <c r="W30" s="381"/>
      <c r="X30" s="381"/>
      <c r="Y30" s="381"/>
      <c r="Z30" s="381"/>
      <c r="AA30" s="381"/>
      <c r="AB30" s="381"/>
      <c r="AC30" s="381"/>
      <c r="AD30" s="381"/>
      <c r="AE30" s="381"/>
      <c r="AF30" s="381"/>
      <c r="AG30" s="381"/>
      <c r="AH30" s="381"/>
      <c r="AI30" s="381"/>
      <c r="AJ30" s="381"/>
      <c r="AK30" s="381"/>
      <c r="AL30" s="381"/>
      <c r="AM30" s="381"/>
      <c r="AN30" s="381"/>
      <c r="AO30" s="381"/>
      <c r="AP30" s="381"/>
      <c r="AQ30" s="381"/>
      <c r="AR30" s="381"/>
      <c r="AS30" s="381"/>
      <c r="AT30" s="381"/>
      <c r="AU30" s="381"/>
      <c r="AV30" s="381"/>
      <c r="AW30" s="381"/>
      <c r="AX30" s="381"/>
      <c r="AY30" s="381"/>
      <c r="AZ30" s="381"/>
      <c r="BA30" s="381"/>
      <c r="BB30" s="381"/>
      <c r="BC30" s="381"/>
      <c r="BD30" s="381"/>
      <c r="BE30" s="381"/>
      <c r="BF30" s="381"/>
      <c r="BG30" s="381"/>
      <c r="BH30" s="381"/>
      <c r="BI30" s="364">
        <f t="shared" si="2"/>
        <v>0</v>
      </c>
      <c r="BJ30" s="177"/>
      <c r="BK30" s="174"/>
      <c r="BL30" s="181"/>
    </row>
    <row r="31" spans="1:64" s="96" customFormat="1" ht="169.9" customHeight="1" thickTop="1" thickBot="1" x14ac:dyDescent="0.95">
      <c r="A31" s="798"/>
      <c r="B31" s="799"/>
      <c r="C31" s="800"/>
      <c r="D31" s="801"/>
      <c r="E31" s="358" t="s">
        <v>287</v>
      </c>
      <c r="F31" s="360">
        <f>(SUM(G31:BH31))/D30</f>
        <v>54</v>
      </c>
      <c r="G31" s="381">
        <v>24</v>
      </c>
      <c r="H31" s="381">
        <v>24</v>
      </c>
      <c r="I31" s="381">
        <v>24</v>
      </c>
      <c r="J31" s="381">
        <v>24</v>
      </c>
      <c r="K31" s="381">
        <v>24</v>
      </c>
      <c r="L31" s="381">
        <v>24</v>
      </c>
      <c r="M31" s="381">
        <v>24</v>
      </c>
      <c r="N31" s="381">
        <v>24</v>
      </c>
      <c r="O31" s="381">
        <v>24</v>
      </c>
      <c r="P31" s="381">
        <v>24</v>
      </c>
      <c r="Q31" s="381">
        <v>24</v>
      </c>
      <c r="R31" s="381">
        <v>24</v>
      </c>
      <c r="S31" s="381">
        <v>24</v>
      </c>
      <c r="T31" s="381">
        <v>24</v>
      </c>
      <c r="U31" s="381">
        <v>24</v>
      </c>
      <c r="V31" s="381">
        <v>24</v>
      </c>
      <c r="W31" s="381">
        <v>24</v>
      </c>
      <c r="X31" s="381">
        <v>24</v>
      </c>
      <c r="Y31" s="381">
        <v>24</v>
      </c>
      <c r="Z31" s="381">
        <v>24</v>
      </c>
      <c r="AA31" s="381">
        <v>24</v>
      </c>
      <c r="AB31" s="381">
        <v>24</v>
      </c>
      <c r="AC31" s="381">
        <v>24</v>
      </c>
      <c r="AD31" s="381">
        <v>24</v>
      </c>
      <c r="AE31" s="381">
        <v>24</v>
      </c>
      <c r="AF31" s="381">
        <v>24</v>
      </c>
      <c r="AG31" s="381">
        <v>24</v>
      </c>
      <c r="AH31" s="381">
        <v>24</v>
      </c>
      <c r="AI31" s="381">
        <v>24</v>
      </c>
      <c r="AJ31" s="381">
        <v>24</v>
      </c>
      <c r="AK31" s="381">
        <v>24</v>
      </c>
      <c r="AL31" s="381">
        <v>24</v>
      </c>
      <c r="AM31" s="381">
        <v>24</v>
      </c>
      <c r="AN31" s="381">
        <v>24</v>
      </c>
      <c r="AO31" s="381">
        <v>24</v>
      </c>
      <c r="AP31" s="381">
        <v>24</v>
      </c>
      <c r="AQ31" s="381">
        <v>24</v>
      </c>
      <c r="AR31" s="381">
        <v>24</v>
      </c>
      <c r="AS31" s="381">
        <v>24</v>
      </c>
      <c r="AT31" s="381">
        <v>24</v>
      </c>
      <c r="AU31" s="381">
        <v>24</v>
      </c>
      <c r="AV31" s="381">
        <v>24</v>
      </c>
      <c r="AW31" s="381">
        <v>24</v>
      </c>
      <c r="AX31" s="381">
        <v>24</v>
      </c>
      <c r="AY31" s="381">
        <v>24</v>
      </c>
      <c r="AZ31" s="381">
        <v>24</v>
      </c>
      <c r="BA31" s="381">
        <v>24</v>
      </c>
      <c r="BB31" s="381">
        <v>24</v>
      </c>
      <c r="BC31" s="381">
        <v>24</v>
      </c>
      <c r="BD31" s="381">
        <v>24</v>
      </c>
      <c r="BE31" s="381">
        <v>24</v>
      </c>
      <c r="BF31" s="381">
        <v>24</v>
      </c>
      <c r="BG31" s="381">
        <v>24</v>
      </c>
      <c r="BH31" s="381">
        <v>24</v>
      </c>
      <c r="BI31" s="364">
        <f t="shared" si="2"/>
        <v>1296</v>
      </c>
      <c r="BJ31" s="177"/>
      <c r="BK31" s="179" t="e">
        <f>#REF!-BI32</f>
        <v>#REF!</v>
      </c>
      <c r="BL31" s="181">
        <f>BI32</f>
        <v>0</v>
      </c>
    </row>
    <row r="32" spans="1:64" s="96" customFormat="1" ht="169.9" customHeight="1" thickTop="1" thickBot="1" x14ac:dyDescent="0.95">
      <c r="A32" s="798">
        <v>17</v>
      </c>
      <c r="B32" s="799" t="s">
        <v>296</v>
      </c>
      <c r="C32" s="800" t="s">
        <v>35</v>
      </c>
      <c r="D32" s="801">
        <v>384</v>
      </c>
      <c r="E32" s="358" t="s">
        <v>260</v>
      </c>
      <c r="F32" s="380">
        <f>(SUM(G32:BH32))/480</f>
        <v>0</v>
      </c>
      <c r="G32" s="381"/>
      <c r="H32" s="381"/>
      <c r="I32" s="381"/>
      <c r="J32" s="381"/>
      <c r="K32" s="381"/>
      <c r="L32" s="381"/>
      <c r="M32" s="381"/>
      <c r="N32" s="381"/>
      <c r="O32" s="381"/>
      <c r="P32" s="381"/>
      <c r="Q32" s="381"/>
      <c r="R32" s="381"/>
      <c r="S32" s="381"/>
      <c r="T32" s="381"/>
      <c r="U32" s="381"/>
      <c r="V32" s="381"/>
      <c r="W32" s="381"/>
      <c r="X32" s="381"/>
      <c r="Y32" s="381"/>
      <c r="Z32" s="381"/>
      <c r="AA32" s="381"/>
      <c r="AB32" s="381"/>
      <c r="AC32" s="381"/>
      <c r="AD32" s="381"/>
      <c r="AE32" s="381"/>
      <c r="AF32" s="381"/>
      <c r="AG32" s="381"/>
      <c r="AH32" s="381"/>
      <c r="AI32" s="381"/>
      <c r="AJ32" s="381"/>
      <c r="AK32" s="381"/>
      <c r="AL32" s="381"/>
      <c r="AM32" s="381"/>
      <c r="AN32" s="381"/>
      <c r="AO32" s="381"/>
      <c r="AP32" s="381"/>
      <c r="AQ32" s="381"/>
      <c r="AR32" s="381"/>
      <c r="AS32" s="381"/>
      <c r="AT32" s="381"/>
      <c r="AU32" s="381"/>
      <c r="AV32" s="381"/>
      <c r="AW32" s="381"/>
      <c r="AX32" s="381"/>
      <c r="AY32" s="381"/>
      <c r="AZ32" s="381"/>
      <c r="BA32" s="381"/>
      <c r="BB32" s="381"/>
      <c r="BC32" s="381"/>
      <c r="BD32" s="381"/>
      <c r="BE32" s="381"/>
      <c r="BF32" s="381"/>
      <c r="BG32" s="381"/>
      <c r="BH32" s="381"/>
      <c r="BI32" s="364">
        <f t="shared" si="2"/>
        <v>0</v>
      </c>
      <c r="BJ32" s="177"/>
      <c r="BK32" s="174"/>
      <c r="BL32" s="181"/>
    </row>
    <row r="33" spans="1:64" s="96" customFormat="1" ht="169.9" customHeight="1" thickTop="1" thickBot="1" x14ac:dyDescent="0.95">
      <c r="A33" s="798"/>
      <c r="B33" s="799"/>
      <c r="C33" s="800"/>
      <c r="D33" s="801"/>
      <c r="E33" s="358" t="s">
        <v>287</v>
      </c>
      <c r="F33" s="380">
        <f>SUM(G33:BH33)/480</f>
        <v>54</v>
      </c>
      <c r="G33" s="381">
        <v>480</v>
      </c>
      <c r="H33" s="381">
        <v>480</v>
      </c>
      <c r="I33" s="381">
        <v>480</v>
      </c>
      <c r="J33" s="381">
        <v>480</v>
      </c>
      <c r="K33" s="381">
        <v>480</v>
      </c>
      <c r="L33" s="381">
        <v>480</v>
      </c>
      <c r="M33" s="381">
        <v>480</v>
      </c>
      <c r="N33" s="381">
        <v>480</v>
      </c>
      <c r="O33" s="381">
        <v>480</v>
      </c>
      <c r="P33" s="381">
        <v>480</v>
      </c>
      <c r="Q33" s="381">
        <v>480</v>
      </c>
      <c r="R33" s="381">
        <v>480</v>
      </c>
      <c r="S33" s="381">
        <v>480</v>
      </c>
      <c r="T33" s="381">
        <v>480</v>
      </c>
      <c r="U33" s="381">
        <v>480</v>
      </c>
      <c r="V33" s="381">
        <v>480</v>
      </c>
      <c r="W33" s="381">
        <v>480</v>
      </c>
      <c r="X33" s="381">
        <v>480</v>
      </c>
      <c r="Y33" s="381">
        <v>480</v>
      </c>
      <c r="Z33" s="381">
        <v>480</v>
      </c>
      <c r="AA33" s="381">
        <v>480</v>
      </c>
      <c r="AB33" s="381">
        <v>480</v>
      </c>
      <c r="AC33" s="381">
        <v>480</v>
      </c>
      <c r="AD33" s="381">
        <v>480</v>
      </c>
      <c r="AE33" s="381">
        <v>480</v>
      </c>
      <c r="AF33" s="381">
        <v>480</v>
      </c>
      <c r="AG33" s="381">
        <v>480</v>
      </c>
      <c r="AH33" s="381">
        <v>480</v>
      </c>
      <c r="AI33" s="381">
        <v>480</v>
      </c>
      <c r="AJ33" s="381">
        <v>480</v>
      </c>
      <c r="AK33" s="381">
        <v>480</v>
      </c>
      <c r="AL33" s="381">
        <v>480</v>
      </c>
      <c r="AM33" s="381">
        <v>480</v>
      </c>
      <c r="AN33" s="381">
        <v>480</v>
      </c>
      <c r="AO33" s="381">
        <v>480</v>
      </c>
      <c r="AP33" s="381">
        <v>480</v>
      </c>
      <c r="AQ33" s="381">
        <v>480</v>
      </c>
      <c r="AR33" s="381">
        <v>480</v>
      </c>
      <c r="AS33" s="381">
        <v>480</v>
      </c>
      <c r="AT33" s="381">
        <v>480</v>
      </c>
      <c r="AU33" s="381">
        <v>480</v>
      </c>
      <c r="AV33" s="381">
        <v>480</v>
      </c>
      <c r="AW33" s="381">
        <v>480</v>
      </c>
      <c r="AX33" s="381">
        <v>480</v>
      </c>
      <c r="AY33" s="381">
        <v>480</v>
      </c>
      <c r="AZ33" s="381">
        <v>480</v>
      </c>
      <c r="BA33" s="381">
        <v>480</v>
      </c>
      <c r="BB33" s="381">
        <v>480</v>
      </c>
      <c r="BC33" s="381">
        <v>480</v>
      </c>
      <c r="BD33" s="381">
        <v>480</v>
      </c>
      <c r="BE33" s="381">
        <v>480</v>
      </c>
      <c r="BF33" s="381">
        <v>480</v>
      </c>
      <c r="BG33" s="381">
        <v>480</v>
      </c>
      <c r="BH33" s="381">
        <v>480</v>
      </c>
      <c r="BI33" s="364">
        <f t="shared" si="2"/>
        <v>25920</v>
      </c>
      <c r="BJ33" s="177"/>
      <c r="BK33" s="179" t="e">
        <f>#REF!-BI34</f>
        <v>#REF!</v>
      </c>
      <c r="BL33" s="181">
        <f>SUM(G34:BH34)</f>
        <v>0</v>
      </c>
    </row>
    <row r="34" spans="1:64" s="96" customFormat="1" ht="169.9" customHeight="1" thickTop="1" thickBot="1" x14ac:dyDescent="0.95">
      <c r="A34" s="798">
        <v>18</v>
      </c>
      <c r="B34" s="799" t="s">
        <v>295</v>
      </c>
      <c r="C34" s="800" t="s">
        <v>35</v>
      </c>
      <c r="D34" s="801">
        <v>48</v>
      </c>
      <c r="E34" s="358" t="s">
        <v>260</v>
      </c>
      <c r="F34" s="380">
        <f>(SUM(G34:BH34))/D34</f>
        <v>0</v>
      </c>
      <c r="G34" s="381"/>
      <c r="H34" s="381"/>
      <c r="I34" s="381"/>
      <c r="J34" s="381"/>
      <c r="K34" s="381"/>
      <c r="L34" s="381"/>
      <c r="M34" s="381"/>
      <c r="N34" s="381"/>
      <c r="O34" s="381"/>
      <c r="P34" s="381"/>
      <c r="Q34" s="381"/>
      <c r="R34" s="381"/>
      <c r="S34" s="381"/>
      <c r="T34" s="381"/>
      <c r="U34" s="381"/>
      <c r="V34" s="381"/>
      <c r="W34" s="381"/>
      <c r="X34" s="381"/>
      <c r="Y34" s="381"/>
      <c r="Z34" s="381"/>
      <c r="AA34" s="381"/>
      <c r="AB34" s="381"/>
      <c r="AC34" s="381"/>
      <c r="AD34" s="381"/>
      <c r="AE34" s="381"/>
      <c r="AF34" s="381"/>
      <c r="AG34" s="381"/>
      <c r="AH34" s="381"/>
      <c r="AI34" s="381"/>
      <c r="AJ34" s="381"/>
      <c r="AK34" s="381"/>
      <c r="AL34" s="381"/>
      <c r="AM34" s="381"/>
      <c r="AN34" s="381"/>
      <c r="AO34" s="381"/>
      <c r="AP34" s="381"/>
      <c r="AQ34" s="381"/>
      <c r="AR34" s="381"/>
      <c r="AS34" s="381"/>
      <c r="AT34" s="381"/>
      <c r="AU34" s="381"/>
      <c r="AV34" s="381"/>
      <c r="AW34" s="381"/>
      <c r="AX34" s="381"/>
      <c r="AY34" s="381"/>
      <c r="AZ34" s="381"/>
      <c r="BA34" s="381"/>
      <c r="BB34" s="381"/>
      <c r="BC34" s="381"/>
      <c r="BD34" s="381"/>
      <c r="BE34" s="381"/>
      <c r="BF34" s="381"/>
      <c r="BG34" s="381"/>
      <c r="BH34" s="381"/>
      <c r="BI34" s="364">
        <f t="shared" si="2"/>
        <v>0</v>
      </c>
      <c r="BJ34" s="177"/>
      <c r="BK34" s="174"/>
      <c r="BL34" s="181"/>
    </row>
    <row r="35" spans="1:64" s="96" customFormat="1" ht="169.9" customHeight="1" thickTop="1" thickBot="1" x14ac:dyDescent="0.95">
      <c r="A35" s="798"/>
      <c r="B35" s="799"/>
      <c r="C35" s="800"/>
      <c r="D35" s="801"/>
      <c r="E35" s="358" t="s">
        <v>287</v>
      </c>
      <c r="F35" s="360">
        <f>(SUM(G35:BH35))/D34</f>
        <v>54</v>
      </c>
      <c r="G35" s="381">
        <v>48</v>
      </c>
      <c r="H35" s="381">
        <v>48</v>
      </c>
      <c r="I35" s="381">
        <v>48</v>
      </c>
      <c r="J35" s="381">
        <v>48</v>
      </c>
      <c r="K35" s="381">
        <v>48</v>
      </c>
      <c r="L35" s="381">
        <v>48</v>
      </c>
      <c r="M35" s="381">
        <v>48</v>
      </c>
      <c r="N35" s="381">
        <v>48</v>
      </c>
      <c r="O35" s="381">
        <v>48</v>
      </c>
      <c r="P35" s="381">
        <v>48</v>
      </c>
      <c r="Q35" s="381">
        <v>48</v>
      </c>
      <c r="R35" s="381">
        <v>48</v>
      </c>
      <c r="S35" s="381">
        <v>48</v>
      </c>
      <c r="T35" s="381">
        <v>48</v>
      </c>
      <c r="U35" s="381">
        <v>48</v>
      </c>
      <c r="V35" s="381">
        <v>48</v>
      </c>
      <c r="W35" s="381">
        <v>48</v>
      </c>
      <c r="X35" s="381">
        <v>48</v>
      </c>
      <c r="Y35" s="381">
        <v>48</v>
      </c>
      <c r="Z35" s="381">
        <v>48</v>
      </c>
      <c r="AA35" s="381">
        <v>48</v>
      </c>
      <c r="AB35" s="381">
        <v>48</v>
      </c>
      <c r="AC35" s="381">
        <v>48</v>
      </c>
      <c r="AD35" s="381">
        <v>48</v>
      </c>
      <c r="AE35" s="381">
        <v>48</v>
      </c>
      <c r="AF35" s="381">
        <v>48</v>
      </c>
      <c r="AG35" s="381">
        <v>48</v>
      </c>
      <c r="AH35" s="381">
        <v>48</v>
      </c>
      <c r="AI35" s="381">
        <v>48</v>
      </c>
      <c r="AJ35" s="381">
        <v>48</v>
      </c>
      <c r="AK35" s="381">
        <v>48</v>
      </c>
      <c r="AL35" s="381">
        <v>48</v>
      </c>
      <c r="AM35" s="381">
        <v>48</v>
      </c>
      <c r="AN35" s="381">
        <v>48</v>
      </c>
      <c r="AO35" s="381">
        <v>48</v>
      </c>
      <c r="AP35" s="381">
        <v>48</v>
      </c>
      <c r="AQ35" s="381">
        <v>48</v>
      </c>
      <c r="AR35" s="381">
        <v>48</v>
      </c>
      <c r="AS35" s="381">
        <v>48</v>
      </c>
      <c r="AT35" s="381">
        <v>48</v>
      </c>
      <c r="AU35" s="381">
        <v>48</v>
      </c>
      <c r="AV35" s="381">
        <v>48</v>
      </c>
      <c r="AW35" s="381">
        <v>48</v>
      </c>
      <c r="AX35" s="381">
        <v>48</v>
      </c>
      <c r="AY35" s="381">
        <v>48</v>
      </c>
      <c r="AZ35" s="381">
        <v>48</v>
      </c>
      <c r="BA35" s="381">
        <v>48</v>
      </c>
      <c r="BB35" s="381">
        <v>48</v>
      </c>
      <c r="BC35" s="381">
        <v>48</v>
      </c>
      <c r="BD35" s="381">
        <v>48</v>
      </c>
      <c r="BE35" s="381">
        <v>48</v>
      </c>
      <c r="BF35" s="381">
        <v>48</v>
      </c>
      <c r="BG35" s="381">
        <v>48</v>
      </c>
      <c r="BH35" s="381">
        <v>48</v>
      </c>
      <c r="BI35" s="364">
        <f t="shared" si="2"/>
        <v>2592</v>
      </c>
      <c r="BJ35" s="177"/>
      <c r="BK35" s="179" t="e">
        <f>#REF!-BI36</f>
        <v>#REF!</v>
      </c>
      <c r="BL35" s="181">
        <f>SUM(G36:BH36)</f>
        <v>0</v>
      </c>
    </row>
    <row r="36" spans="1:64" s="96" customFormat="1" ht="169.9" customHeight="1" thickTop="1" thickBot="1" x14ac:dyDescent="0.95">
      <c r="A36" s="798">
        <v>19</v>
      </c>
      <c r="B36" s="799" t="s">
        <v>294</v>
      </c>
      <c r="C36" s="800" t="s">
        <v>35</v>
      </c>
      <c r="D36" s="801">
        <v>24</v>
      </c>
      <c r="E36" s="358" t="s">
        <v>288</v>
      </c>
      <c r="F36" s="360">
        <f>(SUM(G36:BH36))/D36</f>
        <v>0</v>
      </c>
      <c r="G36" s="381"/>
      <c r="H36" s="381"/>
      <c r="I36" s="381"/>
      <c r="J36" s="381"/>
      <c r="K36" s="381"/>
      <c r="L36" s="381"/>
      <c r="M36" s="381"/>
      <c r="N36" s="381"/>
      <c r="O36" s="381"/>
      <c r="P36" s="381"/>
      <c r="Q36" s="381"/>
      <c r="R36" s="381"/>
      <c r="S36" s="381"/>
      <c r="T36" s="381"/>
      <c r="U36" s="381"/>
      <c r="V36" s="381"/>
      <c r="W36" s="381"/>
      <c r="X36" s="381"/>
      <c r="Y36" s="381"/>
      <c r="Z36" s="381"/>
      <c r="AA36" s="381"/>
      <c r="AB36" s="381"/>
      <c r="AC36" s="381"/>
      <c r="AD36" s="381"/>
      <c r="AE36" s="381"/>
      <c r="AF36" s="381"/>
      <c r="AG36" s="381"/>
      <c r="AH36" s="381"/>
      <c r="AI36" s="381"/>
      <c r="AJ36" s="381"/>
      <c r="AK36" s="381"/>
      <c r="AL36" s="381"/>
      <c r="AM36" s="381"/>
      <c r="AN36" s="381"/>
      <c r="AO36" s="381"/>
      <c r="AP36" s="381"/>
      <c r="AQ36" s="381"/>
      <c r="AR36" s="381"/>
      <c r="AS36" s="381"/>
      <c r="AT36" s="381"/>
      <c r="AU36" s="381"/>
      <c r="AV36" s="381"/>
      <c r="AW36" s="381"/>
      <c r="AX36" s="381"/>
      <c r="AY36" s="381"/>
      <c r="AZ36" s="381"/>
      <c r="BA36" s="381"/>
      <c r="BB36" s="381"/>
      <c r="BC36" s="381"/>
      <c r="BD36" s="381"/>
      <c r="BE36" s="381"/>
      <c r="BF36" s="381"/>
      <c r="BG36" s="381"/>
      <c r="BH36" s="381"/>
      <c r="BI36" s="364">
        <f t="shared" si="2"/>
        <v>0</v>
      </c>
      <c r="BJ36" s="177"/>
      <c r="BK36" s="182"/>
      <c r="BL36" s="183"/>
    </row>
    <row r="37" spans="1:64" s="96" customFormat="1" ht="169.9" customHeight="1" thickTop="1" thickBot="1" x14ac:dyDescent="0.95">
      <c r="A37" s="798"/>
      <c r="B37" s="799"/>
      <c r="C37" s="800"/>
      <c r="D37" s="801"/>
      <c r="E37" s="358" t="s">
        <v>293</v>
      </c>
      <c r="F37" s="360">
        <f>(SUM(G37:BH37))/D36</f>
        <v>54</v>
      </c>
      <c r="G37" s="381">
        <v>24</v>
      </c>
      <c r="H37" s="381">
        <v>24</v>
      </c>
      <c r="I37" s="381">
        <v>24</v>
      </c>
      <c r="J37" s="381">
        <v>24</v>
      </c>
      <c r="K37" s="381">
        <v>24</v>
      </c>
      <c r="L37" s="381">
        <v>24</v>
      </c>
      <c r="M37" s="381">
        <v>24</v>
      </c>
      <c r="N37" s="381">
        <v>24</v>
      </c>
      <c r="O37" s="381">
        <v>24</v>
      </c>
      <c r="P37" s="381">
        <v>24</v>
      </c>
      <c r="Q37" s="381">
        <v>24</v>
      </c>
      <c r="R37" s="381">
        <v>24</v>
      </c>
      <c r="S37" s="381">
        <v>24</v>
      </c>
      <c r="T37" s="381">
        <v>24</v>
      </c>
      <c r="U37" s="381">
        <v>24</v>
      </c>
      <c r="V37" s="381">
        <v>24</v>
      </c>
      <c r="W37" s="381">
        <v>24</v>
      </c>
      <c r="X37" s="381">
        <v>24</v>
      </c>
      <c r="Y37" s="381">
        <v>24</v>
      </c>
      <c r="Z37" s="381">
        <v>24</v>
      </c>
      <c r="AA37" s="381">
        <v>24</v>
      </c>
      <c r="AB37" s="381">
        <v>24</v>
      </c>
      <c r="AC37" s="381">
        <v>24</v>
      </c>
      <c r="AD37" s="381">
        <v>24</v>
      </c>
      <c r="AE37" s="381">
        <v>24</v>
      </c>
      <c r="AF37" s="381">
        <v>24</v>
      </c>
      <c r="AG37" s="381">
        <v>24</v>
      </c>
      <c r="AH37" s="381">
        <v>24</v>
      </c>
      <c r="AI37" s="381">
        <v>24</v>
      </c>
      <c r="AJ37" s="381">
        <v>24</v>
      </c>
      <c r="AK37" s="381">
        <v>24</v>
      </c>
      <c r="AL37" s="381">
        <v>24</v>
      </c>
      <c r="AM37" s="381">
        <v>24</v>
      </c>
      <c r="AN37" s="381">
        <v>24</v>
      </c>
      <c r="AO37" s="381">
        <v>24</v>
      </c>
      <c r="AP37" s="381">
        <v>24</v>
      </c>
      <c r="AQ37" s="381">
        <v>24</v>
      </c>
      <c r="AR37" s="381">
        <v>24</v>
      </c>
      <c r="AS37" s="381">
        <v>24</v>
      </c>
      <c r="AT37" s="381">
        <v>24</v>
      </c>
      <c r="AU37" s="381">
        <v>24</v>
      </c>
      <c r="AV37" s="381">
        <v>24</v>
      </c>
      <c r="AW37" s="381">
        <v>24</v>
      </c>
      <c r="AX37" s="381">
        <v>24</v>
      </c>
      <c r="AY37" s="381">
        <v>24</v>
      </c>
      <c r="AZ37" s="381">
        <v>24</v>
      </c>
      <c r="BA37" s="381">
        <v>24</v>
      </c>
      <c r="BB37" s="381">
        <v>24</v>
      </c>
      <c r="BC37" s="381">
        <v>24</v>
      </c>
      <c r="BD37" s="381">
        <v>24</v>
      </c>
      <c r="BE37" s="381">
        <v>24</v>
      </c>
      <c r="BF37" s="381">
        <v>24</v>
      </c>
      <c r="BG37" s="381">
        <v>24</v>
      </c>
      <c r="BH37" s="381">
        <v>24</v>
      </c>
      <c r="BI37" s="364">
        <f t="shared" si="2"/>
        <v>1296</v>
      </c>
      <c r="BJ37" s="177"/>
      <c r="BK37" s="182"/>
      <c r="BL37" s="183"/>
    </row>
    <row r="38" spans="1:64" s="96" customFormat="1" ht="169.9" customHeight="1" thickTop="1" thickBot="1" x14ac:dyDescent="0.95">
      <c r="A38" s="391">
        <v>20</v>
      </c>
      <c r="B38" s="355" t="s">
        <v>278</v>
      </c>
      <c r="C38" s="359" t="s">
        <v>35</v>
      </c>
      <c r="D38" s="360">
        <v>72</v>
      </c>
      <c r="E38" s="358" t="s">
        <v>251</v>
      </c>
      <c r="F38" s="360">
        <f>(SUM(G38:BH38))/D38</f>
        <v>54</v>
      </c>
      <c r="G38" s="381">
        <v>72</v>
      </c>
      <c r="H38" s="381">
        <v>72</v>
      </c>
      <c r="I38" s="381">
        <v>72</v>
      </c>
      <c r="J38" s="381">
        <v>72</v>
      </c>
      <c r="K38" s="381">
        <v>72</v>
      </c>
      <c r="L38" s="381">
        <v>72</v>
      </c>
      <c r="M38" s="381">
        <v>72</v>
      </c>
      <c r="N38" s="381">
        <v>72</v>
      </c>
      <c r="O38" s="381">
        <v>72</v>
      </c>
      <c r="P38" s="381">
        <v>72</v>
      </c>
      <c r="Q38" s="381">
        <v>72</v>
      </c>
      <c r="R38" s="381">
        <v>72</v>
      </c>
      <c r="S38" s="381">
        <v>72</v>
      </c>
      <c r="T38" s="381">
        <v>72</v>
      </c>
      <c r="U38" s="381">
        <v>72</v>
      </c>
      <c r="V38" s="381">
        <v>72</v>
      </c>
      <c r="W38" s="381">
        <v>72</v>
      </c>
      <c r="X38" s="381">
        <v>72</v>
      </c>
      <c r="Y38" s="381">
        <v>72</v>
      </c>
      <c r="Z38" s="381">
        <v>72</v>
      </c>
      <c r="AA38" s="381">
        <v>72</v>
      </c>
      <c r="AB38" s="381">
        <v>72</v>
      </c>
      <c r="AC38" s="381">
        <v>72</v>
      </c>
      <c r="AD38" s="381">
        <v>72</v>
      </c>
      <c r="AE38" s="381">
        <v>72</v>
      </c>
      <c r="AF38" s="381">
        <v>72</v>
      </c>
      <c r="AG38" s="381">
        <v>72</v>
      </c>
      <c r="AH38" s="381">
        <v>72</v>
      </c>
      <c r="AI38" s="381">
        <v>72</v>
      </c>
      <c r="AJ38" s="381">
        <v>72</v>
      </c>
      <c r="AK38" s="381">
        <v>72</v>
      </c>
      <c r="AL38" s="381">
        <v>72</v>
      </c>
      <c r="AM38" s="381">
        <v>72</v>
      </c>
      <c r="AN38" s="381">
        <v>72</v>
      </c>
      <c r="AO38" s="381">
        <v>72</v>
      </c>
      <c r="AP38" s="381">
        <v>72</v>
      </c>
      <c r="AQ38" s="381">
        <v>72</v>
      </c>
      <c r="AR38" s="381">
        <v>72</v>
      </c>
      <c r="AS38" s="381">
        <v>72</v>
      </c>
      <c r="AT38" s="381">
        <v>72</v>
      </c>
      <c r="AU38" s="381">
        <v>72</v>
      </c>
      <c r="AV38" s="381">
        <v>72</v>
      </c>
      <c r="AW38" s="381">
        <v>72</v>
      </c>
      <c r="AX38" s="381">
        <v>72</v>
      </c>
      <c r="AY38" s="381">
        <v>72</v>
      </c>
      <c r="AZ38" s="381">
        <v>72</v>
      </c>
      <c r="BA38" s="381">
        <v>72</v>
      </c>
      <c r="BB38" s="381">
        <v>72</v>
      </c>
      <c r="BC38" s="381">
        <v>72</v>
      </c>
      <c r="BD38" s="381">
        <v>72</v>
      </c>
      <c r="BE38" s="381">
        <v>72</v>
      </c>
      <c r="BF38" s="381">
        <v>72</v>
      </c>
      <c r="BG38" s="381">
        <v>72</v>
      </c>
      <c r="BH38" s="381">
        <v>72</v>
      </c>
      <c r="BI38" s="364">
        <f t="shared" si="2"/>
        <v>3888</v>
      </c>
      <c r="BJ38" s="177"/>
      <c r="BK38" s="182"/>
      <c r="BL38" s="183"/>
    </row>
    <row r="39" spans="1:64" s="96" customFormat="1" ht="169.9" customHeight="1" thickTop="1" thickBot="1" x14ac:dyDescent="0.95">
      <c r="A39" s="391">
        <v>21</v>
      </c>
      <c r="B39" s="355" t="s">
        <v>292</v>
      </c>
      <c r="C39" s="359" t="s">
        <v>35</v>
      </c>
      <c r="D39" s="360">
        <v>120</v>
      </c>
      <c r="E39" s="358" t="s">
        <v>251</v>
      </c>
      <c r="F39" s="360">
        <f t="shared" ref="F39:F49" si="3">(SUM(G39:BH39))/D39</f>
        <v>54</v>
      </c>
      <c r="G39" s="381">
        <v>120</v>
      </c>
      <c r="H39" s="381">
        <v>120</v>
      </c>
      <c r="I39" s="381">
        <v>120</v>
      </c>
      <c r="J39" s="381">
        <v>120</v>
      </c>
      <c r="K39" s="381">
        <v>120</v>
      </c>
      <c r="L39" s="381">
        <v>120</v>
      </c>
      <c r="M39" s="381">
        <v>120</v>
      </c>
      <c r="N39" s="381">
        <v>120</v>
      </c>
      <c r="O39" s="381">
        <v>120</v>
      </c>
      <c r="P39" s="381">
        <v>120</v>
      </c>
      <c r="Q39" s="381">
        <v>120</v>
      </c>
      <c r="R39" s="381">
        <v>120</v>
      </c>
      <c r="S39" s="381">
        <v>120</v>
      </c>
      <c r="T39" s="381">
        <v>120</v>
      </c>
      <c r="U39" s="381">
        <v>120</v>
      </c>
      <c r="V39" s="381">
        <v>120</v>
      </c>
      <c r="W39" s="381">
        <v>120</v>
      </c>
      <c r="X39" s="381">
        <v>120</v>
      </c>
      <c r="Y39" s="381">
        <v>120</v>
      </c>
      <c r="Z39" s="381">
        <v>120</v>
      </c>
      <c r="AA39" s="381">
        <v>120</v>
      </c>
      <c r="AB39" s="381">
        <v>120</v>
      </c>
      <c r="AC39" s="381">
        <v>120</v>
      </c>
      <c r="AD39" s="381">
        <v>120</v>
      </c>
      <c r="AE39" s="381">
        <v>120</v>
      </c>
      <c r="AF39" s="381">
        <v>120</v>
      </c>
      <c r="AG39" s="381">
        <v>120</v>
      </c>
      <c r="AH39" s="381">
        <v>120</v>
      </c>
      <c r="AI39" s="381">
        <v>120</v>
      </c>
      <c r="AJ39" s="381">
        <v>120</v>
      </c>
      <c r="AK39" s="381">
        <v>120</v>
      </c>
      <c r="AL39" s="381">
        <v>120</v>
      </c>
      <c r="AM39" s="381">
        <v>120</v>
      </c>
      <c r="AN39" s="381">
        <v>120</v>
      </c>
      <c r="AO39" s="381">
        <v>120</v>
      </c>
      <c r="AP39" s="381">
        <v>120</v>
      </c>
      <c r="AQ39" s="381">
        <v>120</v>
      </c>
      <c r="AR39" s="381">
        <v>120</v>
      </c>
      <c r="AS39" s="381">
        <v>120</v>
      </c>
      <c r="AT39" s="381">
        <v>120</v>
      </c>
      <c r="AU39" s="381">
        <v>120</v>
      </c>
      <c r="AV39" s="381">
        <v>120</v>
      </c>
      <c r="AW39" s="381">
        <v>120</v>
      </c>
      <c r="AX39" s="381">
        <v>120</v>
      </c>
      <c r="AY39" s="381">
        <v>120</v>
      </c>
      <c r="AZ39" s="381">
        <v>120</v>
      </c>
      <c r="BA39" s="381">
        <v>120</v>
      </c>
      <c r="BB39" s="381">
        <v>120</v>
      </c>
      <c r="BC39" s="381">
        <v>120</v>
      </c>
      <c r="BD39" s="381">
        <v>120</v>
      </c>
      <c r="BE39" s="381">
        <v>120</v>
      </c>
      <c r="BF39" s="381">
        <v>120</v>
      </c>
      <c r="BG39" s="381">
        <v>120</v>
      </c>
      <c r="BH39" s="381">
        <v>120</v>
      </c>
      <c r="BI39" s="364">
        <f t="shared" si="2"/>
        <v>6480</v>
      </c>
      <c r="BJ39" s="177"/>
      <c r="BK39" s="182"/>
      <c r="BL39" s="183"/>
    </row>
    <row r="40" spans="1:64" s="96" customFormat="1" ht="169.9" customHeight="1" thickTop="1" thickBot="1" x14ac:dyDescent="0.95">
      <c r="A40" s="391">
        <v>22</v>
      </c>
      <c r="B40" s="355" t="s">
        <v>279</v>
      </c>
      <c r="C40" s="359" t="s">
        <v>35</v>
      </c>
      <c r="D40" s="360">
        <v>24</v>
      </c>
      <c r="E40" s="358" t="s">
        <v>251</v>
      </c>
      <c r="F40" s="360">
        <f t="shared" si="3"/>
        <v>54</v>
      </c>
      <c r="G40" s="381">
        <v>24</v>
      </c>
      <c r="H40" s="381">
        <v>24</v>
      </c>
      <c r="I40" s="381">
        <v>24</v>
      </c>
      <c r="J40" s="381">
        <v>24</v>
      </c>
      <c r="K40" s="381">
        <v>24</v>
      </c>
      <c r="L40" s="381">
        <v>24</v>
      </c>
      <c r="M40" s="381">
        <v>24</v>
      </c>
      <c r="N40" s="381">
        <v>24</v>
      </c>
      <c r="O40" s="381">
        <v>24</v>
      </c>
      <c r="P40" s="381">
        <v>24</v>
      </c>
      <c r="Q40" s="381">
        <v>24</v>
      </c>
      <c r="R40" s="381">
        <v>24</v>
      </c>
      <c r="S40" s="381">
        <v>24</v>
      </c>
      <c r="T40" s="381">
        <v>24</v>
      </c>
      <c r="U40" s="381">
        <v>24</v>
      </c>
      <c r="V40" s="381">
        <v>24</v>
      </c>
      <c r="W40" s="381">
        <v>24</v>
      </c>
      <c r="X40" s="381">
        <v>24</v>
      </c>
      <c r="Y40" s="381">
        <v>24</v>
      </c>
      <c r="Z40" s="381">
        <v>24</v>
      </c>
      <c r="AA40" s="381">
        <v>24</v>
      </c>
      <c r="AB40" s="381">
        <v>24</v>
      </c>
      <c r="AC40" s="381">
        <v>24</v>
      </c>
      <c r="AD40" s="381">
        <v>24</v>
      </c>
      <c r="AE40" s="381">
        <v>24</v>
      </c>
      <c r="AF40" s="381">
        <v>24</v>
      </c>
      <c r="AG40" s="381">
        <v>24</v>
      </c>
      <c r="AH40" s="381">
        <v>24</v>
      </c>
      <c r="AI40" s="381">
        <v>24</v>
      </c>
      <c r="AJ40" s="381">
        <v>24</v>
      </c>
      <c r="AK40" s="381">
        <v>24</v>
      </c>
      <c r="AL40" s="381">
        <v>24</v>
      </c>
      <c r="AM40" s="381">
        <v>24</v>
      </c>
      <c r="AN40" s="381">
        <v>24</v>
      </c>
      <c r="AO40" s="381">
        <v>24</v>
      </c>
      <c r="AP40" s="381">
        <v>24</v>
      </c>
      <c r="AQ40" s="381">
        <v>24</v>
      </c>
      <c r="AR40" s="381">
        <v>24</v>
      </c>
      <c r="AS40" s="381">
        <v>24</v>
      </c>
      <c r="AT40" s="381">
        <v>24</v>
      </c>
      <c r="AU40" s="381">
        <v>24</v>
      </c>
      <c r="AV40" s="381">
        <v>24</v>
      </c>
      <c r="AW40" s="381">
        <v>24</v>
      </c>
      <c r="AX40" s="381">
        <v>24</v>
      </c>
      <c r="AY40" s="381">
        <v>24</v>
      </c>
      <c r="AZ40" s="381">
        <v>24</v>
      </c>
      <c r="BA40" s="381">
        <v>24</v>
      </c>
      <c r="BB40" s="381">
        <v>24</v>
      </c>
      <c r="BC40" s="381">
        <v>24</v>
      </c>
      <c r="BD40" s="381">
        <v>24</v>
      </c>
      <c r="BE40" s="381">
        <v>24</v>
      </c>
      <c r="BF40" s="381">
        <v>24</v>
      </c>
      <c r="BG40" s="381">
        <v>24</v>
      </c>
      <c r="BH40" s="381">
        <v>24</v>
      </c>
      <c r="BI40" s="364">
        <f t="shared" si="2"/>
        <v>1296</v>
      </c>
      <c r="BJ40" s="177"/>
      <c r="BK40" s="182"/>
      <c r="BL40" s="183"/>
    </row>
    <row r="41" spans="1:64" s="96" customFormat="1" ht="169.9" customHeight="1" thickTop="1" thickBot="1" x14ac:dyDescent="0.95">
      <c r="A41" s="391">
        <v>23</v>
      </c>
      <c r="B41" s="355" t="s">
        <v>291</v>
      </c>
      <c r="C41" s="359" t="s">
        <v>35</v>
      </c>
      <c r="D41" s="360">
        <v>48</v>
      </c>
      <c r="E41" s="358" t="s">
        <v>251</v>
      </c>
      <c r="F41" s="360">
        <f t="shared" si="3"/>
        <v>54</v>
      </c>
      <c r="G41" s="381">
        <v>48</v>
      </c>
      <c r="H41" s="381">
        <v>48</v>
      </c>
      <c r="I41" s="381">
        <v>48</v>
      </c>
      <c r="J41" s="381">
        <v>48</v>
      </c>
      <c r="K41" s="381">
        <v>48</v>
      </c>
      <c r="L41" s="381">
        <v>48</v>
      </c>
      <c r="M41" s="381">
        <v>48</v>
      </c>
      <c r="N41" s="381">
        <v>48</v>
      </c>
      <c r="O41" s="381">
        <v>48</v>
      </c>
      <c r="P41" s="381">
        <v>48</v>
      </c>
      <c r="Q41" s="381">
        <v>48</v>
      </c>
      <c r="R41" s="381">
        <v>48</v>
      </c>
      <c r="S41" s="381">
        <v>48</v>
      </c>
      <c r="T41" s="381">
        <v>48</v>
      </c>
      <c r="U41" s="381">
        <v>48</v>
      </c>
      <c r="V41" s="381">
        <v>48</v>
      </c>
      <c r="W41" s="381">
        <v>48</v>
      </c>
      <c r="X41" s="381">
        <v>48</v>
      </c>
      <c r="Y41" s="381">
        <v>48</v>
      </c>
      <c r="Z41" s="381">
        <v>48</v>
      </c>
      <c r="AA41" s="381">
        <v>48</v>
      </c>
      <c r="AB41" s="381">
        <v>48</v>
      </c>
      <c r="AC41" s="381">
        <v>48</v>
      </c>
      <c r="AD41" s="381">
        <v>48</v>
      </c>
      <c r="AE41" s="381">
        <v>48</v>
      </c>
      <c r="AF41" s="381">
        <v>48</v>
      </c>
      <c r="AG41" s="381">
        <v>48</v>
      </c>
      <c r="AH41" s="381">
        <v>48</v>
      </c>
      <c r="AI41" s="381">
        <v>48</v>
      </c>
      <c r="AJ41" s="381">
        <v>48</v>
      </c>
      <c r="AK41" s="381">
        <v>48</v>
      </c>
      <c r="AL41" s="381">
        <v>48</v>
      </c>
      <c r="AM41" s="381">
        <v>48</v>
      </c>
      <c r="AN41" s="381">
        <v>48</v>
      </c>
      <c r="AO41" s="381">
        <v>48</v>
      </c>
      <c r="AP41" s="381">
        <v>48</v>
      </c>
      <c r="AQ41" s="381">
        <v>48</v>
      </c>
      <c r="AR41" s="381">
        <v>48</v>
      </c>
      <c r="AS41" s="381">
        <v>48</v>
      </c>
      <c r="AT41" s="381">
        <v>48</v>
      </c>
      <c r="AU41" s="381">
        <v>48</v>
      </c>
      <c r="AV41" s="381">
        <v>48</v>
      </c>
      <c r="AW41" s="381">
        <v>48</v>
      </c>
      <c r="AX41" s="381">
        <v>48</v>
      </c>
      <c r="AY41" s="381">
        <v>48</v>
      </c>
      <c r="AZ41" s="381">
        <v>48</v>
      </c>
      <c r="BA41" s="381">
        <v>48</v>
      </c>
      <c r="BB41" s="381">
        <v>48</v>
      </c>
      <c r="BC41" s="381">
        <v>48</v>
      </c>
      <c r="BD41" s="381">
        <v>48</v>
      </c>
      <c r="BE41" s="381">
        <v>48</v>
      </c>
      <c r="BF41" s="381">
        <v>48</v>
      </c>
      <c r="BG41" s="381">
        <v>48</v>
      </c>
      <c r="BH41" s="381">
        <v>48</v>
      </c>
      <c r="BI41" s="364">
        <f t="shared" si="2"/>
        <v>2592</v>
      </c>
      <c r="BJ41" s="177"/>
      <c r="BK41" s="182"/>
      <c r="BL41" s="183"/>
    </row>
    <row r="42" spans="1:64" s="96" customFormat="1" ht="169.9" customHeight="1" thickTop="1" thickBot="1" x14ac:dyDescent="0.95">
      <c r="A42" s="391">
        <v>24</v>
      </c>
      <c r="B42" s="355" t="s">
        <v>280</v>
      </c>
      <c r="C42" s="359" t="s">
        <v>35</v>
      </c>
      <c r="D42" s="360">
        <v>30</v>
      </c>
      <c r="E42" s="358" t="s">
        <v>251</v>
      </c>
      <c r="F42" s="360">
        <f t="shared" si="3"/>
        <v>54</v>
      </c>
      <c r="G42" s="381">
        <v>30</v>
      </c>
      <c r="H42" s="381">
        <v>30</v>
      </c>
      <c r="I42" s="381">
        <v>30</v>
      </c>
      <c r="J42" s="381">
        <v>30</v>
      </c>
      <c r="K42" s="381">
        <v>30</v>
      </c>
      <c r="L42" s="381">
        <v>30</v>
      </c>
      <c r="M42" s="381">
        <v>30</v>
      </c>
      <c r="N42" s="381">
        <v>30</v>
      </c>
      <c r="O42" s="381">
        <v>30</v>
      </c>
      <c r="P42" s="381">
        <v>30</v>
      </c>
      <c r="Q42" s="381">
        <v>30</v>
      </c>
      <c r="R42" s="381">
        <v>30</v>
      </c>
      <c r="S42" s="381">
        <v>30</v>
      </c>
      <c r="T42" s="381">
        <v>30</v>
      </c>
      <c r="U42" s="381">
        <v>30</v>
      </c>
      <c r="V42" s="381">
        <v>30</v>
      </c>
      <c r="W42" s="381">
        <v>30</v>
      </c>
      <c r="X42" s="381">
        <v>30</v>
      </c>
      <c r="Y42" s="381">
        <v>30</v>
      </c>
      <c r="Z42" s="381">
        <v>30</v>
      </c>
      <c r="AA42" s="381">
        <v>30</v>
      </c>
      <c r="AB42" s="381">
        <v>30</v>
      </c>
      <c r="AC42" s="381">
        <v>30</v>
      </c>
      <c r="AD42" s="381">
        <v>30</v>
      </c>
      <c r="AE42" s="381">
        <v>30</v>
      </c>
      <c r="AF42" s="381">
        <v>30</v>
      </c>
      <c r="AG42" s="381">
        <v>30</v>
      </c>
      <c r="AH42" s="381">
        <v>30</v>
      </c>
      <c r="AI42" s="381">
        <v>30</v>
      </c>
      <c r="AJ42" s="381">
        <v>30</v>
      </c>
      <c r="AK42" s="381">
        <v>30</v>
      </c>
      <c r="AL42" s="381">
        <v>30</v>
      </c>
      <c r="AM42" s="381">
        <v>30</v>
      </c>
      <c r="AN42" s="381">
        <v>30</v>
      </c>
      <c r="AO42" s="381">
        <v>30</v>
      </c>
      <c r="AP42" s="381">
        <v>30</v>
      </c>
      <c r="AQ42" s="381">
        <v>30</v>
      </c>
      <c r="AR42" s="381">
        <v>30</v>
      </c>
      <c r="AS42" s="381">
        <v>30</v>
      </c>
      <c r="AT42" s="381">
        <v>30</v>
      </c>
      <c r="AU42" s="381">
        <v>30</v>
      </c>
      <c r="AV42" s="381">
        <v>30</v>
      </c>
      <c r="AW42" s="381">
        <v>30</v>
      </c>
      <c r="AX42" s="381">
        <v>30</v>
      </c>
      <c r="AY42" s="381">
        <v>30</v>
      </c>
      <c r="AZ42" s="381">
        <v>30</v>
      </c>
      <c r="BA42" s="381">
        <v>30</v>
      </c>
      <c r="BB42" s="381">
        <v>30</v>
      </c>
      <c r="BC42" s="381">
        <v>30</v>
      </c>
      <c r="BD42" s="381">
        <v>30</v>
      </c>
      <c r="BE42" s="381">
        <v>30</v>
      </c>
      <c r="BF42" s="381">
        <v>30</v>
      </c>
      <c r="BG42" s="381">
        <v>30</v>
      </c>
      <c r="BH42" s="381">
        <v>30</v>
      </c>
      <c r="BI42" s="364">
        <f t="shared" si="2"/>
        <v>1620</v>
      </c>
      <c r="BJ42" s="177"/>
      <c r="BK42" s="182"/>
      <c r="BL42" s="183"/>
    </row>
    <row r="43" spans="1:64" s="96" customFormat="1" ht="169.9" customHeight="1" thickTop="1" thickBot="1" x14ac:dyDescent="0.95">
      <c r="A43" s="391">
        <v>25</v>
      </c>
      <c r="B43" s="355" t="s">
        <v>281</v>
      </c>
      <c r="C43" s="359" t="s">
        <v>35</v>
      </c>
      <c r="D43" s="360">
        <v>336</v>
      </c>
      <c r="E43" s="358" t="s">
        <v>251</v>
      </c>
      <c r="F43" s="360">
        <f>(SUM(G43:BH43))/420</f>
        <v>54</v>
      </c>
      <c r="G43" s="381">
        <v>420</v>
      </c>
      <c r="H43" s="381">
        <v>420</v>
      </c>
      <c r="I43" s="381">
        <v>420</v>
      </c>
      <c r="J43" s="381">
        <v>420</v>
      </c>
      <c r="K43" s="381">
        <v>420</v>
      </c>
      <c r="L43" s="381">
        <v>420</v>
      </c>
      <c r="M43" s="381">
        <v>420</v>
      </c>
      <c r="N43" s="381">
        <v>420</v>
      </c>
      <c r="O43" s="381">
        <v>420</v>
      </c>
      <c r="P43" s="381">
        <v>420</v>
      </c>
      <c r="Q43" s="381">
        <v>420</v>
      </c>
      <c r="R43" s="381">
        <v>420</v>
      </c>
      <c r="S43" s="381">
        <v>420</v>
      </c>
      <c r="T43" s="381">
        <v>420</v>
      </c>
      <c r="U43" s="381">
        <v>420</v>
      </c>
      <c r="V43" s="381">
        <v>420</v>
      </c>
      <c r="W43" s="381">
        <v>420</v>
      </c>
      <c r="X43" s="381">
        <v>420</v>
      </c>
      <c r="Y43" s="381">
        <v>420</v>
      </c>
      <c r="Z43" s="381">
        <v>420</v>
      </c>
      <c r="AA43" s="381">
        <v>420</v>
      </c>
      <c r="AB43" s="381">
        <v>420</v>
      </c>
      <c r="AC43" s="381">
        <v>420</v>
      </c>
      <c r="AD43" s="381">
        <v>420</v>
      </c>
      <c r="AE43" s="381">
        <v>420</v>
      </c>
      <c r="AF43" s="381">
        <v>420</v>
      </c>
      <c r="AG43" s="381">
        <v>420</v>
      </c>
      <c r="AH43" s="381">
        <v>420</v>
      </c>
      <c r="AI43" s="381">
        <v>420</v>
      </c>
      <c r="AJ43" s="381">
        <v>420</v>
      </c>
      <c r="AK43" s="381">
        <v>420</v>
      </c>
      <c r="AL43" s="381">
        <v>420</v>
      </c>
      <c r="AM43" s="381">
        <v>420</v>
      </c>
      <c r="AN43" s="381">
        <v>420</v>
      </c>
      <c r="AO43" s="381">
        <v>420</v>
      </c>
      <c r="AP43" s="381">
        <v>420</v>
      </c>
      <c r="AQ43" s="381">
        <v>420</v>
      </c>
      <c r="AR43" s="381">
        <v>420</v>
      </c>
      <c r="AS43" s="381">
        <v>420</v>
      </c>
      <c r="AT43" s="381">
        <v>420</v>
      </c>
      <c r="AU43" s="381">
        <v>420</v>
      </c>
      <c r="AV43" s="381">
        <v>420</v>
      </c>
      <c r="AW43" s="381">
        <v>420</v>
      </c>
      <c r="AX43" s="381">
        <v>420</v>
      </c>
      <c r="AY43" s="381">
        <v>420</v>
      </c>
      <c r="AZ43" s="381">
        <v>420</v>
      </c>
      <c r="BA43" s="381">
        <v>420</v>
      </c>
      <c r="BB43" s="381">
        <v>420</v>
      </c>
      <c r="BC43" s="381">
        <v>420</v>
      </c>
      <c r="BD43" s="381">
        <v>420</v>
      </c>
      <c r="BE43" s="381">
        <v>420</v>
      </c>
      <c r="BF43" s="381">
        <v>420</v>
      </c>
      <c r="BG43" s="381">
        <v>420</v>
      </c>
      <c r="BH43" s="381">
        <v>420</v>
      </c>
      <c r="BI43" s="364">
        <f t="shared" si="2"/>
        <v>22680</v>
      </c>
      <c r="BJ43" s="177"/>
      <c r="BK43" s="182"/>
      <c r="BL43" s="183"/>
    </row>
    <row r="44" spans="1:64" s="96" customFormat="1" ht="169.9" customHeight="1" thickTop="1" thickBot="1" x14ac:dyDescent="0.95">
      <c r="A44" s="391">
        <v>26</v>
      </c>
      <c r="B44" s="355" t="s">
        <v>677</v>
      </c>
      <c r="C44" s="359" t="s">
        <v>35</v>
      </c>
      <c r="D44" s="360">
        <v>48</v>
      </c>
      <c r="E44" s="358" t="s">
        <v>251</v>
      </c>
      <c r="F44" s="360">
        <f t="shared" si="3"/>
        <v>54</v>
      </c>
      <c r="G44" s="381">
        <v>48</v>
      </c>
      <c r="H44" s="381">
        <v>48</v>
      </c>
      <c r="I44" s="381">
        <v>48</v>
      </c>
      <c r="J44" s="381">
        <v>48</v>
      </c>
      <c r="K44" s="381">
        <v>48</v>
      </c>
      <c r="L44" s="381">
        <v>48</v>
      </c>
      <c r="M44" s="381">
        <v>48</v>
      </c>
      <c r="N44" s="381">
        <v>48</v>
      </c>
      <c r="O44" s="381">
        <v>48</v>
      </c>
      <c r="P44" s="381">
        <v>48</v>
      </c>
      <c r="Q44" s="381">
        <v>48</v>
      </c>
      <c r="R44" s="381">
        <v>48</v>
      </c>
      <c r="S44" s="381">
        <v>48</v>
      </c>
      <c r="T44" s="381">
        <v>48</v>
      </c>
      <c r="U44" s="381">
        <v>48</v>
      </c>
      <c r="V44" s="381">
        <v>48</v>
      </c>
      <c r="W44" s="381">
        <v>48</v>
      </c>
      <c r="X44" s="381">
        <v>48</v>
      </c>
      <c r="Y44" s="381">
        <v>48</v>
      </c>
      <c r="Z44" s="381">
        <v>48</v>
      </c>
      <c r="AA44" s="381">
        <v>48</v>
      </c>
      <c r="AB44" s="381">
        <v>48</v>
      </c>
      <c r="AC44" s="381">
        <v>48</v>
      </c>
      <c r="AD44" s="381">
        <v>48</v>
      </c>
      <c r="AE44" s="381">
        <v>48</v>
      </c>
      <c r="AF44" s="381">
        <v>48</v>
      </c>
      <c r="AG44" s="381">
        <v>48</v>
      </c>
      <c r="AH44" s="381">
        <v>48</v>
      </c>
      <c r="AI44" s="381">
        <v>48</v>
      </c>
      <c r="AJ44" s="381">
        <v>48</v>
      </c>
      <c r="AK44" s="381">
        <v>48</v>
      </c>
      <c r="AL44" s="381">
        <v>48</v>
      </c>
      <c r="AM44" s="381">
        <v>48</v>
      </c>
      <c r="AN44" s="381">
        <v>48</v>
      </c>
      <c r="AO44" s="381">
        <v>48</v>
      </c>
      <c r="AP44" s="381">
        <v>48</v>
      </c>
      <c r="AQ44" s="381">
        <v>48</v>
      </c>
      <c r="AR44" s="381">
        <v>48</v>
      </c>
      <c r="AS44" s="381">
        <v>48</v>
      </c>
      <c r="AT44" s="381">
        <v>48</v>
      </c>
      <c r="AU44" s="381">
        <v>48</v>
      </c>
      <c r="AV44" s="381">
        <v>48</v>
      </c>
      <c r="AW44" s="381">
        <v>48</v>
      </c>
      <c r="AX44" s="381">
        <v>48</v>
      </c>
      <c r="AY44" s="381">
        <v>48</v>
      </c>
      <c r="AZ44" s="381">
        <v>48</v>
      </c>
      <c r="BA44" s="381">
        <v>48</v>
      </c>
      <c r="BB44" s="381">
        <v>48</v>
      </c>
      <c r="BC44" s="381">
        <v>48</v>
      </c>
      <c r="BD44" s="381">
        <v>48</v>
      </c>
      <c r="BE44" s="381">
        <v>48</v>
      </c>
      <c r="BF44" s="381">
        <v>48</v>
      </c>
      <c r="BG44" s="381">
        <v>48</v>
      </c>
      <c r="BH44" s="381">
        <v>48</v>
      </c>
      <c r="BI44" s="364">
        <f t="shared" si="2"/>
        <v>2592</v>
      </c>
      <c r="BJ44" s="177"/>
      <c r="BK44" s="182"/>
      <c r="BL44" s="183"/>
    </row>
    <row r="45" spans="1:64" s="96" customFormat="1" ht="169.9" customHeight="1" thickTop="1" thickBot="1" x14ac:dyDescent="0.95">
      <c r="A45" s="391">
        <v>27</v>
      </c>
      <c r="B45" s="355" t="s">
        <v>282</v>
      </c>
      <c r="C45" s="359" t="s">
        <v>35</v>
      </c>
      <c r="D45" s="360">
        <v>48</v>
      </c>
      <c r="E45" s="358" t="s">
        <v>251</v>
      </c>
      <c r="F45" s="360">
        <f t="shared" si="3"/>
        <v>54</v>
      </c>
      <c r="G45" s="381">
        <v>48</v>
      </c>
      <c r="H45" s="381">
        <v>48</v>
      </c>
      <c r="I45" s="381">
        <v>48</v>
      </c>
      <c r="J45" s="381">
        <v>48</v>
      </c>
      <c r="K45" s="381">
        <v>48</v>
      </c>
      <c r="L45" s="381">
        <v>48</v>
      </c>
      <c r="M45" s="381">
        <v>48</v>
      </c>
      <c r="N45" s="381">
        <v>48</v>
      </c>
      <c r="O45" s="381">
        <v>48</v>
      </c>
      <c r="P45" s="381">
        <v>48</v>
      </c>
      <c r="Q45" s="381">
        <v>48</v>
      </c>
      <c r="R45" s="381">
        <v>48</v>
      </c>
      <c r="S45" s="381">
        <v>48</v>
      </c>
      <c r="T45" s="381">
        <v>48</v>
      </c>
      <c r="U45" s="381">
        <v>48</v>
      </c>
      <c r="V45" s="381">
        <v>48</v>
      </c>
      <c r="W45" s="381">
        <v>48</v>
      </c>
      <c r="X45" s="381">
        <v>48</v>
      </c>
      <c r="Y45" s="381">
        <v>48</v>
      </c>
      <c r="Z45" s="381">
        <v>48</v>
      </c>
      <c r="AA45" s="381">
        <v>48</v>
      </c>
      <c r="AB45" s="381">
        <v>48</v>
      </c>
      <c r="AC45" s="381">
        <v>48</v>
      </c>
      <c r="AD45" s="381">
        <v>48</v>
      </c>
      <c r="AE45" s="381">
        <v>48</v>
      </c>
      <c r="AF45" s="381">
        <v>48</v>
      </c>
      <c r="AG45" s="381">
        <v>48</v>
      </c>
      <c r="AH45" s="381">
        <v>48</v>
      </c>
      <c r="AI45" s="381">
        <v>48</v>
      </c>
      <c r="AJ45" s="381">
        <v>48</v>
      </c>
      <c r="AK45" s="381">
        <v>48</v>
      </c>
      <c r="AL45" s="381">
        <v>48</v>
      </c>
      <c r="AM45" s="381">
        <v>48</v>
      </c>
      <c r="AN45" s="381">
        <v>48</v>
      </c>
      <c r="AO45" s="381">
        <v>48</v>
      </c>
      <c r="AP45" s="381">
        <v>48</v>
      </c>
      <c r="AQ45" s="381">
        <v>48</v>
      </c>
      <c r="AR45" s="381">
        <v>48</v>
      </c>
      <c r="AS45" s="381">
        <v>48</v>
      </c>
      <c r="AT45" s="381">
        <v>48</v>
      </c>
      <c r="AU45" s="381">
        <v>48</v>
      </c>
      <c r="AV45" s="381">
        <v>48</v>
      </c>
      <c r="AW45" s="381">
        <v>48</v>
      </c>
      <c r="AX45" s="381">
        <v>48</v>
      </c>
      <c r="AY45" s="381">
        <v>48</v>
      </c>
      <c r="AZ45" s="381">
        <v>48</v>
      </c>
      <c r="BA45" s="381">
        <v>48</v>
      </c>
      <c r="BB45" s="381">
        <v>48</v>
      </c>
      <c r="BC45" s="381">
        <v>48</v>
      </c>
      <c r="BD45" s="381">
        <v>48</v>
      </c>
      <c r="BE45" s="381">
        <v>48</v>
      </c>
      <c r="BF45" s="381">
        <v>48</v>
      </c>
      <c r="BG45" s="381">
        <v>48</v>
      </c>
      <c r="BH45" s="381">
        <v>48</v>
      </c>
      <c r="BI45" s="364">
        <f t="shared" si="2"/>
        <v>2592</v>
      </c>
      <c r="BJ45" s="177"/>
      <c r="BK45" s="182"/>
      <c r="BL45" s="183"/>
    </row>
    <row r="46" spans="1:64" s="96" customFormat="1" ht="169.9" customHeight="1" thickTop="1" thickBot="1" x14ac:dyDescent="0.95">
      <c r="A46" s="391">
        <v>28</v>
      </c>
      <c r="B46" s="355" t="s">
        <v>283</v>
      </c>
      <c r="C46" s="359" t="s">
        <v>35</v>
      </c>
      <c r="D46" s="360">
        <v>24</v>
      </c>
      <c r="E46" s="358" t="s">
        <v>251</v>
      </c>
      <c r="F46" s="360">
        <f>(SUM(G46:BH46))/30</f>
        <v>54</v>
      </c>
      <c r="G46" s="381">
        <v>30</v>
      </c>
      <c r="H46" s="381">
        <v>30</v>
      </c>
      <c r="I46" s="381">
        <v>30</v>
      </c>
      <c r="J46" s="381">
        <v>30</v>
      </c>
      <c r="K46" s="381">
        <v>30</v>
      </c>
      <c r="L46" s="381">
        <v>30</v>
      </c>
      <c r="M46" s="381">
        <v>30</v>
      </c>
      <c r="N46" s="381">
        <v>30</v>
      </c>
      <c r="O46" s="381">
        <v>30</v>
      </c>
      <c r="P46" s="381">
        <v>30</v>
      </c>
      <c r="Q46" s="381">
        <v>30</v>
      </c>
      <c r="R46" s="381">
        <v>30</v>
      </c>
      <c r="S46" s="381">
        <v>30</v>
      </c>
      <c r="T46" s="381">
        <v>30</v>
      </c>
      <c r="U46" s="381">
        <v>30</v>
      </c>
      <c r="V46" s="381">
        <v>30</v>
      </c>
      <c r="W46" s="381">
        <v>30</v>
      </c>
      <c r="X46" s="381">
        <v>30</v>
      </c>
      <c r="Y46" s="381">
        <v>30</v>
      </c>
      <c r="Z46" s="381">
        <v>30</v>
      </c>
      <c r="AA46" s="381">
        <v>30</v>
      </c>
      <c r="AB46" s="381">
        <v>30</v>
      </c>
      <c r="AC46" s="381">
        <v>30</v>
      </c>
      <c r="AD46" s="381">
        <v>30</v>
      </c>
      <c r="AE46" s="381">
        <v>30</v>
      </c>
      <c r="AF46" s="381">
        <v>30</v>
      </c>
      <c r="AG46" s="381">
        <v>30</v>
      </c>
      <c r="AH46" s="381">
        <v>30</v>
      </c>
      <c r="AI46" s="381">
        <v>30</v>
      </c>
      <c r="AJ46" s="381">
        <v>30</v>
      </c>
      <c r="AK46" s="381">
        <v>30</v>
      </c>
      <c r="AL46" s="381">
        <v>30</v>
      </c>
      <c r="AM46" s="381">
        <v>30</v>
      </c>
      <c r="AN46" s="381">
        <v>30</v>
      </c>
      <c r="AO46" s="381">
        <v>30</v>
      </c>
      <c r="AP46" s="381">
        <v>30</v>
      </c>
      <c r="AQ46" s="381">
        <v>30</v>
      </c>
      <c r="AR46" s="381">
        <v>30</v>
      </c>
      <c r="AS46" s="381">
        <v>30</v>
      </c>
      <c r="AT46" s="381">
        <v>30</v>
      </c>
      <c r="AU46" s="381">
        <v>30</v>
      </c>
      <c r="AV46" s="381">
        <v>30</v>
      </c>
      <c r="AW46" s="381">
        <v>30</v>
      </c>
      <c r="AX46" s="381">
        <v>30</v>
      </c>
      <c r="AY46" s="381">
        <v>30</v>
      </c>
      <c r="AZ46" s="381">
        <v>30</v>
      </c>
      <c r="BA46" s="381">
        <v>30</v>
      </c>
      <c r="BB46" s="381">
        <v>30</v>
      </c>
      <c r="BC46" s="381">
        <v>30</v>
      </c>
      <c r="BD46" s="381">
        <v>30</v>
      </c>
      <c r="BE46" s="381">
        <v>30</v>
      </c>
      <c r="BF46" s="381">
        <v>30</v>
      </c>
      <c r="BG46" s="381">
        <v>30</v>
      </c>
      <c r="BH46" s="381">
        <v>30</v>
      </c>
      <c r="BI46" s="364">
        <f t="shared" si="2"/>
        <v>1620</v>
      </c>
      <c r="BJ46" s="177"/>
      <c r="BK46" s="182"/>
      <c r="BL46" s="183"/>
    </row>
    <row r="47" spans="1:64" s="96" customFormat="1" ht="169.9" customHeight="1" thickTop="1" thickBot="1" x14ac:dyDescent="0.95">
      <c r="A47" s="391">
        <v>29</v>
      </c>
      <c r="B47" s="355" t="s">
        <v>284</v>
      </c>
      <c r="C47" s="359" t="s">
        <v>35</v>
      </c>
      <c r="D47" s="360">
        <v>41</v>
      </c>
      <c r="E47" s="358" t="s">
        <v>251</v>
      </c>
      <c r="F47" s="360">
        <f t="shared" si="3"/>
        <v>54</v>
      </c>
      <c r="G47" s="381">
        <v>41</v>
      </c>
      <c r="H47" s="381">
        <v>41</v>
      </c>
      <c r="I47" s="381">
        <v>41</v>
      </c>
      <c r="J47" s="381">
        <v>41</v>
      </c>
      <c r="K47" s="381">
        <v>41</v>
      </c>
      <c r="L47" s="381">
        <v>41</v>
      </c>
      <c r="M47" s="381">
        <v>41</v>
      </c>
      <c r="N47" s="381">
        <v>41</v>
      </c>
      <c r="O47" s="381">
        <v>41</v>
      </c>
      <c r="P47" s="381">
        <v>41</v>
      </c>
      <c r="Q47" s="381">
        <v>41</v>
      </c>
      <c r="R47" s="381">
        <v>41</v>
      </c>
      <c r="S47" s="381">
        <v>41</v>
      </c>
      <c r="T47" s="381">
        <v>41</v>
      </c>
      <c r="U47" s="381">
        <v>41</v>
      </c>
      <c r="V47" s="381">
        <v>41</v>
      </c>
      <c r="W47" s="381">
        <v>41</v>
      </c>
      <c r="X47" s="381">
        <v>41</v>
      </c>
      <c r="Y47" s="381">
        <v>41</v>
      </c>
      <c r="Z47" s="381">
        <v>41</v>
      </c>
      <c r="AA47" s="381">
        <v>41</v>
      </c>
      <c r="AB47" s="381">
        <v>41</v>
      </c>
      <c r="AC47" s="381">
        <v>41</v>
      </c>
      <c r="AD47" s="381">
        <v>41</v>
      </c>
      <c r="AE47" s="381">
        <v>41</v>
      </c>
      <c r="AF47" s="381">
        <v>41</v>
      </c>
      <c r="AG47" s="381">
        <v>41</v>
      </c>
      <c r="AH47" s="381">
        <v>41</v>
      </c>
      <c r="AI47" s="381">
        <v>41</v>
      </c>
      <c r="AJ47" s="381">
        <v>41</v>
      </c>
      <c r="AK47" s="381">
        <v>41</v>
      </c>
      <c r="AL47" s="381">
        <v>41</v>
      </c>
      <c r="AM47" s="381">
        <v>41</v>
      </c>
      <c r="AN47" s="381">
        <v>41</v>
      </c>
      <c r="AO47" s="381">
        <v>41</v>
      </c>
      <c r="AP47" s="381">
        <v>41</v>
      </c>
      <c r="AQ47" s="381">
        <v>41</v>
      </c>
      <c r="AR47" s="381">
        <v>41</v>
      </c>
      <c r="AS47" s="381">
        <v>41</v>
      </c>
      <c r="AT47" s="381">
        <v>41</v>
      </c>
      <c r="AU47" s="381">
        <v>41</v>
      </c>
      <c r="AV47" s="381">
        <v>41</v>
      </c>
      <c r="AW47" s="381">
        <v>41</v>
      </c>
      <c r="AX47" s="381">
        <v>41</v>
      </c>
      <c r="AY47" s="381">
        <v>41</v>
      </c>
      <c r="AZ47" s="381">
        <v>41</v>
      </c>
      <c r="BA47" s="381">
        <v>41</v>
      </c>
      <c r="BB47" s="381">
        <v>41</v>
      </c>
      <c r="BC47" s="381">
        <v>41</v>
      </c>
      <c r="BD47" s="381">
        <v>41</v>
      </c>
      <c r="BE47" s="381">
        <v>41</v>
      </c>
      <c r="BF47" s="381">
        <v>41</v>
      </c>
      <c r="BG47" s="381">
        <v>41</v>
      </c>
      <c r="BH47" s="381">
        <v>41</v>
      </c>
      <c r="BI47" s="364">
        <f t="shared" si="2"/>
        <v>2214</v>
      </c>
      <c r="BJ47" s="177"/>
      <c r="BK47" s="182"/>
      <c r="BL47" s="183"/>
    </row>
    <row r="48" spans="1:64" s="96" customFormat="1" ht="169.9" customHeight="1" thickTop="1" thickBot="1" x14ac:dyDescent="0.95">
      <c r="A48" s="391">
        <v>30</v>
      </c>
      <c r="B48" s="355" t="s">
        <v>290</v>
      </c>
      <c r="C48" s="359" t="s">
        <v>35</v>
      </c>
      <c r="D48" s="360">
        <v>2</v>
      </c>
      <c r="E48" s="358" t="s">
        <v>251</v>
      </c>
      <c r="F48" s="360">
        <f t="shared" si="3"/>
        <v>54</v>
      </c>
      <c r="G48" s="381">
        <v>2</v>
      </c>
      <c r="H48" s="381">
        <v>2</v>
      </c>
      <c r="I48" s="381">
        <v>2</v>
      </c>
      <c r="J48" s="381">
        <v>2</v>
      </c>
      <c r="K48" s="381">
        <v>2</v>
      </c>
      <c r="L48" s="381">
        <v>2</v>
      </c>
      <c r="M48" s="381">
        <v>2</v>
      </c>
      <c r="N48" s="381">
        <v>2</v>
      </c>
      <c r="O48" s="381">
        <v>2</v>
      </c>
      <c r="P48" s="381">
        <v>2</v>
      </c>
      <c r="Q48" s="381">
        <v>2</v>
      </c>
      <c r="R48" s="381">
        <v>2</v>
      </c>
      <c r="S48" s="381">
        <v>2</v>
      </c>
      <c r="T48" s="381">
        <v>2</v>
      </c>
      <c r="U48" s="381">
        <v>2</v>
      </c>
      <c r="V48" s="381">
        <v>2</v>
      </c>
      <c r="W48" s="381">
        <v>2</v>
      </c>
      <c r="X48" s="381">
        <v>2</v>
      </c>
      <c r="Y48" s="381">
        <v>2</v>
      </c>
      <c r="Z48" s="381">
        <v>2</v>
      </c>
      <c r="AA48" s="381">
        <v>2</v>
      </c>
      <c r="AB48" s="381">
        <v>2</v>
      </c>
      <c r="AC48" s="381">
        <v>2</v>
      </c>
      <c r="AD48" s="381">
        <v>2</v>
      </c>
      <c r="AE48" s="381">
        <v>2</v>
      </c>
      <c r="AF48" s="381">
        <v>2</v>
      </c>
      <c r="AG48" s="381">
        <v>2</v>
      </c>
      <c r="AH48" s="381">
        <v>2</v>
      </c>
      <c r="AI48" s="381">
        <v>2</v>
      </c>
      <c r="AJ48" s="381">
        <v>2</v>
      </c>
      <c r="AK48" s="381">
        <v>2</v>
      </c>
      <c r="AL48" s="381">
        <v>2</v>
      </c>
      <c r="AM48" s="381">
        <v>2</v>
      </c>
      <c r="AN48" s="381">
        <v>2</v>
      </c>
      <c r="AO48" s="381">
        <v>2</v>
      </c>
      <c r="AP48" s="381">
        <v>2</v>
      </c>
      <c r="AQ48" s="381">
        <v>2</v>
      </c>
      <c r="AR48" s="381">
        <v>2</v>
      </c>
      <c r="AS48" s="381">
        <v>2</v>
      </c>
      <c r="AT48" s="381">
        <v>2</v>
      </c>
      <c r="AU48" s="381">
        <v>2</v>
      </c>
      <c r="AV48" s="381">
        <v>2</v>
      </c>
      <c r="AW48" s="381">
        <v>2</v>
      </c>
      <c r="AX48" s="381">
        <v>2</v>
      </c>
      <c r="AY48" s="381">
        <v>2</v>
      </c>
      <c r="AZ48" s="381">
        <v>2</v>
      </c>
      <c r="BA48" s="381">
        <v>2</v>
      </c>
      <c r="BB48" s="381">
        <v>2</v>
      </c>
      <c r="BC48" s="381">
        <v>2</v>
      </c>
      <c r="BD48" s="381">
        <v>2</v>
      </c>
      <c r="BE48" s="381">
        <v>2</v>
      </c>
      <c r="BF48" s="381">
        <v>2</v>
      </c>
      <c r="BG48" s="381">
        <v>2</v>
      </c>
      <c r="BH48" s="381">
        <v>2</v>
      </c>
      <c r="BI48" s="364">
        <f t="shared" si="2"/>
        <v>108</v>
      </c>
      <c r="BJ48" s="177"/>
      <c r="BK48" s="182"/>
      <c r="BL48" s="184"/>
    </row>
    <row r="49" spans="1:64" s="96" customFormat="1" ht="169.9" customHeight="1" thickTop="1" thickBot="1" x14ac:dyDescent="0.95">
      <c r="A49" s="391">
        <v>31</v>
      </c>
      <c r="B49" s="355" t="s">
        <v>285</v>
      </c>
      <c r="C49" s="359" t="s">
        <v>35</v>
      </c>
      <c r="D49" s="360">
        <v>24</v>
      </c>
      <c r="E49" s="358" t="s">
        <v>251</v>
      </c>
      <c r="F49" s="360">
        <f t="shared" si="3"/>
        <v>54</v>
      </c>
      <c r="G49" s="381">
        <v>24</v>
      </c>
      <c r="H49" s="381">
        <v>24</v>
      </c>
      <c r="I49" s="381">
        <v>24</v>
      </c>
      <c r="J49" s="381">
        <v>24</v>
      </c>
      <c r="K49" s="381">
        <v>24</v>
      </c>
      <c r="L49" s="381">
        <v>24</v>
      </c>
      <c r="M49" s="381">
        <v>24</v>
      </c>
      <c r="N49" s="381">
        <v>24</v>
      </c>
      <c r="O49" s="381">
        <v>24</v>
      </c>
      <c r="P49" s="381">
        <v>24</v>
      </c>
      <c r="Q49" s="381">
        <v>24</v>
      </c>
      <c r="R49" s="381">
        <v>24</v>
      </c>
      <c r="S49" s="381">
        <v>24</v>
      </c>
      <c r="T49" s="381">
        <v>24</v>
      </c>
      <c r="U49" s="381">
        <v>24</v>
      </c>
      <c r="V49" s="381">
        <v>24</v>
      </c>
      <c r="W49" s="381">
        <v>24</v>
      </c>
      <c r="X49" s="381">
        <v>24</v>
      </c>
      <c r="Y49" s="381">
        <v>24</v>
      </c>
      <c r="Z49" s="381">
        <v>24</v>
      </c>
      <c r="AA49" s="381">
        <v>24</v>
      </c>
      <c r="AB49" s="381">
        <v>24</v>
      </c>
      <c r="AC49" s="381">
        <v>24</v>
      </c>
      <c r="AD49" s="381">
        <v>24</v>
      </c>
      <c r="AE49" s="381">
        <v>24</v>
      </c>
      <c r="AF49" s="381">
        <v>24</v>
      </c>
      <c r="AG49" s="381">
        <v>24</v>
      </c>
      <c r="AH49" s="381">
        <v>24</v>
      </c>
      <c r="AI49" s="381">
        <v>24</v>
      </c>
      <c r="AJ49" s="381">
        <v>24</v>
      </c>
      <c r="AK49" s="381">
        <v>24</v>
      </c>
      <c r="AL49" s="381">
        <v>24</v>
      </c>
      <c r="AM49" s="381">
        <v>24</v>
      </c>
      <c r="AN49" s="381">
        <v>24</v>
      </c>
      <c r="AO49" s="381">
        <v>24</v>
      </c>
      <c r="AP49" s="381">
        <v>24</v>
      </c>
      <c r="AQ49" s="381">
        <v>24</v>
      </c>
      <c r="AR49" s="381">
        <v>24</v>
      </c>
      <c r="AS49" s="381">
        <v>24</v>
      </c>
      <c r="AT49" s="381">
        <v>24</v>
      </c>
      <c r="AU49" s="381">
        <v>24</v>
      </c>
      <c r="AV49" s="381">
        <v>24</v>
      </c>
      <c r="AW49" s="381">
        <v>24</v>
      </c>
      <c r="AX49" s="381">
        <v>24</v>
      </c>
      <c r="AY49" s="381">
        <v>24</v>
      </c>
      <c r="AZ49" s="381">
        <v>24</v>
      </c>
      <c r="BA49" s="381">
        <v>24</v>
      </c>
      <c r="BB49" s="381">
        <v>24</v>
      </c>
      <c r="BC49" s="381">
        <v>24</v>
      </c>
      <c r="BD49" s="381">
        <v>24</v>
      </c>
      <c r="BE49" s="381">
        <v>24</v>
      </c>
      <c r="BF49" s="381">
        <v>24</v>
      </c>
      <c r="BG49" s="381">
        <v>24</v>
      </c>
      <c r="BH49" s="381">
        <v>24</v>
      </c>
      <c r="BI49" s="364">
        <f t="shared" si="2"/>
        <v>1296</v>
      </c>
      <c r="BJ49" s="177"/>
      <c r="BK49" s="174"/>
      <c r="BL49" s="181"/>
    </row>
    <row r="50" spans="1:64" s="97" customFormat="1" ht="169.9" customHeight="1" thickTop="1" thickBot="1" x14ac:dyDescent="0.95">
      <c r="A50" s="798">
        <v>32</v>
      </c>
      <c r="B50" s="799" t="s">
        <v>286</v>
      </c>
      <c r="C50" s="800" t="s">
        <v>35</v>
      </c>
      <c r="D50" s="801">
        <v>1</v>
      </c>
      <c r="E50" s="358" t="s">
        <v>288</v>
      </c>
      <c r="F50" s="380">
        <f>(SUM(G50:BH50))/D50</f>
        <v>54</v>
      </c>
      <c r="G50" s="381">
        <v>1</v>
      </c>
      <c r="H50" s="381">
        <v>1</v>
      </c>
      <c r="I50" s="381">
        <v>1</v>
      </c>
      <c r="J50" s="381">
        <v>1</v>
      </c>
      <c r="K50" s="381">
        <v>1</v>
      </c>
      <c r="L50" s="381">
        <v>1</v>
      </c>
      <c r="M50" s="381">
        <v>1</v>
      </c>
      <c r="N50" s="381">
        <v>1</v>
      </c>
      <c r="O50" s="381">
        <v>1</v>
      </c>
      <c r="P50" s="381">
        <v>1</v>
      </c>
      <c r="Q50" s="381">
        <v>1</v>
      </c>
      <c r="R50" s="381">
        <v>1</v>
      </c>
      <c r="S50" s="381">
        <v>1</v>
      </c>
      <c r="T50" s="381">
        <v>1</v>
      </c>
      <c r="U50" s="381">
        <v>1</v>
      </c>
      <c r="V50" s="381">
        <v>1</v>
      </c>
      <c r="W50" s="381">
        <v>1</v>
      </c>
      <c r="X50" s="381">
        <v>1</v>
      </c>
      <c r="Y50" s="381">
        <v>1</v>
      </c>
      <c r="Z50" s="381">
        <v>1</v>
      </c>
      <c r="AA50" s="381">
        <v>1</v>
      </c>
      <c r="AB50" s="381">
        <v>1</v>
      </c>
      <c r="AC50" s="381">
        <v>1</v>
      </c>
      <c r="AD50" s="381">
        <v>1</v>
      </c>
      <c r="AE50" s="381">
        <v>1</v>
      </c>
      <c r="AF50" s="381">
        <v>1</v>
      </c>
      <c r="AG50" s="381">
        <v>1</v>
      </c>
      <c r="AH50" s="381">
        <v>1</v>
      </c>
      <c r="AI50" s="381">
        <v>1</v>
      </c>
      <c r="AJ50" s="381">
        <v>1</v>
      </c>
      <c r="AK50" s="381">
        <v>1</v>
      </c>
      <c r="AL50" s="381">
        <v>1</v>
      </c>
      <c r="AM50" s="381">
        <v>1</v>
      </c>
      <c r="AN50" s="381">
        <v>1</v>
      </c>
      <c r="AO50" s="381">
        <v>1</v>
      </c>
      <c r="AP50" s="381">
        <v>1</v>
      </c>
      <c r="AQ50" s="381">
        <v>1</v>
      </c>
      <c r="AR50" s="381">
        <v>1</v>
      </c>
      <c r="AS50" s="381">
        <v>1</v>
      </c>
      <c r="AT50" s="381">
        <v>1</v>
      </c>
      <c r="AU50" s="381">
        <v>1</v>
      </c>
      <c r="AV50" s="381">
        <v>1</v>
      </c>
      <c r="AW50" s="381">
        <v>1</v>
      </c>
      <c r="AX50" s="381">
        <v>1</v>
      </c>
      <c r="AY50" s="381">
        <v>1</v>
      </c>
      <c r="AZ50" s="381">
        <v>1</v>
      </c>
      <c r="BA50" s="381">
        <v>1</v>
      </c>
      <c r="BB50" s="381">
        <v>1</v>
      </c>
      <c r="BC50" s="381">
        <v>1</v>
      </c>
      <c r="BD50" s="381">
        <v>1</v>
      </c>
      <c r="BE50" s="381">
        <v>1</v>
      </c>
      <c r="BF50" s="381">
        <v>1</v>
      </c>
      <c r="BG50" s="381">
        <v>1</v>
      </c>
      <c r="BH50" s="381">
        <v>1</v>
      </c>
      <c r="BI50" s="364">
        <f t="shared" si="2"/>
        <v>54</v>
      </c>
      <c r="BJ50" s="174"/>
      <c r="BK50" s="185"/>
      <c r="BL50" s="186"/>
    </row>
    <row r="51" spans="1:64" s="95" customFormat="1" ht="169.9" customHeight="1" thickTop="1" thickBot="1" x14ac:dyDescent="0.95">
      <c r="A51" s="798"/>
      <c r="B51" s="799"/>
      <c r="C51" s="800"/>
      <c r="D51" s="801"/>
      <c r="E51" s="358" t="s">
        <v>260</v>
      </c>
      <c r="F51" s="360">
        <f>(SUM(G51:BH51))/D50</f>
        <v>54</v>
      </c>
      <c r="G51" s="381">
        <v>1</v>
      </c>
      <c r="H51" s="381">
        <v>1</v>
      </c>
      <c r="I51" s="381">
        <v>1</v>
      </c>
      <c r="J51" s="381">
        <v>1</v>
      </c>
      <c r="K51" s="381">
        <v>1</v>
      </c>
      <c r="L51" s="381">
        <v>1</v>
      </c>
      <c r="M51" s="381">
        <v>1</v>
      </c>
      <c r="N51" s="381">
        <v>1</v>
      </c>
      <c r="O51" s="381">
        <v>1</v>
      </c>
      <c r="P51" s="381">
        <v>1</v>
      </c>
      <c r="Q51" s="381">
        <v>1</v>
      </c>
      <c r="R51" s="381">
        <v>1</v>
      </c>
      <c r="S51" s="381">
        <v>1</v>
      </c>
      <c r="T51" s="381">
        <v>1</v>
      </c>
      <c r="U51" s="381">
        <v>1</v>
      </c>
      <c r="V51" s="381">
        <v>1</v>
      </c>
      <c r="W51" s="381">
        <v>1</v>
      </c>
      <c r="X51" s="381">
        <v>1</v>
      </c>
      <c r="Y51" s="381">
        <v>1</v>
      </c>
      <c r="Z51" s="381">
        <v>1</v>
      </c>
      <c r="AA51" s="381">
        <v>1</v>
      </c>
      <c r="AB51" s="381">
        <v>1</v>
      </c>
      <c r="AC51" s="381">
        <v>1</v>
      </c>
      <c r="AD51" s="381">
        <v>1</v>
      </c>
      <c r="AE51" s="381">
        <v>1</v>
      </c>
      <c r="AF51" s="381">
        <v>1</v>
      </c>
      <c r="AG51" s="381">
        <v>1</v>
      </c>
      <c r="AH51" s="381">
        <v>1</v>
      </c>
      <c r="AI51" s="381">
        <v>1</v>
      </c>
      <c r="AJ51" s="381">
        <v>1</v>
      </c>
      <c r="AK51" s="381">
        <v>1</v>
      </c>
      <c r="AL51" s="381">
        <v>1</v>
      </c>
      <c r="AM51" s="381">
        <v>1</v>
      </c>
      <c r="AN51" s="381">
        <v>1</v>
      </c>
      <c r="AO51" s="381">
        <v>1</v>
      </c>
      <c r="AP51" s="381">
        <v>1</v>
      </c>
      <c r="AQ51" s="381">
        <v>1</v>
      </c>
      <c r="AR51" s="381">
        <v>1</v>
      </c>
      <c r="AS51" s="381">
        <v>1</v>
      </c>
      <c r="AT51" s="381">
        <v>1</v>
      </c>
      <c r="AU51" s="381">
        <v>1</v>
      </c>
      <c r="AV51" s="381">
        <v>1</v>
      </c>
      <c r="AW51" s="381">
        <v>1</v>
      </c>
      <c r="AX51" s="381">
        <v>1</v>
      </c>
      <c r="AY51" s="381">
        <v>1</v>
      </c>
      <c r="AZ51" s="381">
        <v>1</v>
      </c>
      <c r="BA51" s="381">
        <v>1</v>
      </c>
      <c r="BB51" s="381">
        <v>1</v>
      </c>
      <c r="BC51" s="381">
        <v>1</v>
      </c>
      <c r="BD51" s="381">
        <v>1</v>
      </c>
      <c r="BE51" s="381">
        <v>1</v>
      </c>
      <c r="BF51" s="381">
        <v>1</v>
      </c>
      <c r="BG51" s="381">
        <v>1</v>
      </c>
      <c r="BH51" s="381">
        <v>1</v>
      </c>
      <c r="BI51" s="364">
        <f t="shared" si="2"/>
        <v>54</v>
      </c>
      <c r="BJ51" s="174"/>
      <c r="BK51" s="187"/>
      <c r="BL51" s="188"/>
    </row>
    <row r="52" spans="1:64" s="84" customFormat="1" ht="169.9" customHeight="1" thickTop="1" thickBot="1" x14ac:dyDescent="0.75">
      <c r="A52" s="798">
        <v>33</v>
      </c>
      <c r="B52" s="799" t="s">
        <v>289</v>
      </c>
      <c r="C52" s="800" t="s">
        <v>35</v>
      </c>
      <c r="D52" s="801">
        <v>24</v>
      </c>
      <c r="E52" s="358" t="s">
        <v>678</v>
      </c>
      <c r="F52" s="380">
        <f>(SUM(G52:BH52))/24</f>
        <v>0</v>
      </c>
      <c r="G52" s="381"/>
      <c r="H52" s="381"/>
      <c r="I52" s="381"/>
      <c r="J52" s="381"/>
      <c r="K52" s="381"/>
      <c r="L52" s="381"/>
      <c r="M52" s="381"/>
      <c r="N52" s="381"/>
      <c r="O52" s="381"/>
      <c r="P52" s="381"/>
      <c r="Q52" s="381"/>
      <c r="R52" s="381"/>
      <c r="S52" s="381"/>
      <c r="T52" s="381"/>
      <c r="U52" s="381"/>
      <c r="V52" s="381"/>
      <c r="W52" s="381"/>
      <c r="X52" s="381"/>
      <c r="Y52" s="381"/>
      <c r="Z52" s="381"/>
      <c r="AA52" s="381"/>
      <c r="AB52" s="381"/>
      <c r="AC52" s="381"/>
      <c r="AD52" s="381"/>
      <c r="AE52" s="381"/>
      <c r="AF52" s="381"/>
      <c r="AG52" s="381"/>
      <c r="AH52" s="381"/>
      <c r="AI52" s="381"/>
      <c r="AJ52" s="381"/>
      <c r="AK52" s="381"/>
      <c r="AL52" s="381"/>
      <c r="AM52" s="381"/>
      <c r="AN52" s="381"/>
      <c r="AO52" s="381"/>
      <c r="AP52" s="381"/>
      <c r="AQ52" s="381"/>
      <c r="AR52" s="381"/>
      <c r="AS52" s="381"/>
      <c r="AT52" s="381"/>
      <c r="AU52" s="381"/>
      <c r="AV52" s="381"/>
      <c r="AW52" s="381"/>
      <c r="AX52" s="381"/>
      <c r="AY52" s="381"/>
      <c r="AZ52" s="381"/>
      <c r="BA52" s="381"/>
      <c r="BB52" s="381"/>
      <c r="BC52" s="381"/>
      <c r="BD52" s="381"/>
      <c r="BE52" s="381"/>
      <c r="BF52" s="381"/>
      <c r="BG52" s="381"/>
      <c r="BH52" s="381"/>
      <c r="BI52" s="364">
        <f t="shared" si="2"/>
        <v>0</v>
      </c>
      <c r="BJ52" s="189"/>
      <c r="BK52" s="190"/>
      <c r="BL52" s="191"/>
    </row>
    <row r="53" spans="1:64" s="84" customFormat="1" ht="169.9" customHeight="1" thickTop="1" thickBot="1" x14ac:dyDescent="0.75">
      <c r="A53" s="802"/>
      <c r="B53" s="803"/>
      <c r="C53" s="804"/>
      <c r="D53" s="805"/>
      <c r="E53" s="361" t="s">
        <v>287</v>
      </c>
      <c r="F53" s="382">
        <f>(SUM(G53:BH53))/D52</f>
        <v>54</v>
      </c>
      <c r="G53" s="381">
        <v>24</v>
      </c>
      <c r="H53" s="381">
        <v>24</v>
      </c>
      <c r="I53" s="381">
        <v>24</v>
      </c>
      <c r="J53" s="381">
        <v>24</v>
      </c>
      <c r="K53" s="381">
        <v>24</v>
      </c>
      <c r="L53" s="381">
        <v>24</v>
      </c>
      <c r="M53" s="381">
        <v>24</v>
      </c>
      <c r="N53" s="381">
        <v>24</v>
      </c>
      <c r="O53" s="381">
        <v>24</v>
      </c>
      <c r="P53" s="381">
        <v>24</v>
      </c>
      <c r="Q53" s="381">
        <v>24</v>
      </c>
      <c r="R53" s="381">
        <v>24</v>
      </c>
      <c r="S53" s="381">
        <v>24</v>
      </c>
      <c r="T53" s="381">
        <v>24</v>
      </c>
      <c r="U53" s="381">
        <v>24</v>
      </c>
      <c r="V53" s="381">
        <v>24</v>
      </c>
      <c r="W53" s="381">
        <v>24</v>
      </c>
      <c r="X53" s="381">
        <v>24</v>
      </c>
      <c r="Y53" s="381">
        <v>24</v>
      </c>
      <c r="Z53" s="381">
        <v>24</v>
      </c>
      <c r="AA53" s="381">
        <v>24</v>
      </c>
      <c r="AB53" s="381">
        <v>24</v>
      </c>
      <c r="AC53" s="381">
        <v>24</v>
      </c>
      <c r="AD53" s="381">
        <v>24</v>
      </c>
      <c r="AE53" s="381">
        <v>24</v>
      </c>
      <c r="AF53" s="381">
        <v>24</v>
      </c>
      <c r="AG53" s="381">
        <v>24</v>
      </c>
      <c r="AH53" s="381">
        <v>24</v>
      </c>
      <c r="AI53" s="381">
        <v>24</v>
      </c>
      <c r="AJ53" s="381">
        <v>24</v>
      </c>
      <c r="AK53" s="381">
        <v>24</v>
      </c>
      <c r="AL53" s="381">
        <v>24</v>
      </c>
      <c r="AM53" s="381">
        <v>24</v>
      </c>
      <c r="AN53" s="381">
        <v>24</v>
      </c>
      <c r="AO53" s="381">
        <v>24</v>
      </c>
      <c r="AP53" s="381">
        <v>24</v>
      </c>
      <c r="AQ53" s="381">
        <v>24</v>
      </c>
      <c r="AR53" s="381">
        <v>24</v>
      </c>
      <c r="AS53" s="381">
        <v>24</v>
      </c>
      <c r="AT53" s="381">
        <v>24</v>
      </c>
      <c r="AU53" s="381">
        <v>24</v>
      </c>
      <c r="AV53" s="381">
        <v>24</v>
      </c>
      <c r="AW53" s="381">
        <v>24</v>
      </c>
      <c r="AX53" s="381">
        <v>24</v>
      </c>
      <c r="AY53" s="381">
        <v>24</v>
      </c>
      <c r="AZ53" s="381">
        <v>24</v>
      </c>
      <c r="BA53" s="381">
        <v>24</v>
      </c>
      <c r="BB53" s="381">
        <v>24</v>
      </c>
      <c r="BC53" s="381">
        <v>24</v>
      </c>
      <c r="BD53" s="381">
        <v>24</v>
      </c>
      <c r="BE53" s="381">
        <v>24</v>
      </c>
      <c r="BF53" s="381">
        <v>24</v>
      </c>
      <c r="BG53" s="381">
        <v>24</v>
      </c>
      <c r="BH53" s="381">
        <v>24</v>
      </c>
      <c r="BI53" s="364">
        <f t="shared" si="2"/>
        <v>1296</v>
      </c>
      <c r="BJ53" s="189"/>
      <c r="BK53" s="190"/>
      <c r="BL53" s="191"/>
    </row>
    <row r="54" spans="1:64" s="96" customFormat="1" ht="169.9" customHeight="1" thickTop="1" thickBot="1" x14ac:dyDescent="0.95">
      <c r="A54" s="392">
        <v>34</v>
      </c>
      <c r="B54" s="348" t="s">
        <v>674</v>
      </c>
      <c r="C54" s="807" t="s">
        <v>35</v>
      </c>
      <c r="D54" s="349">
        <v>24</v>
      </c>
      <c r="E54" s="350" t="s">
        <v>664</v>
      </c>
      <c r="F54" s="382">
        <f>(SUM(G54:BH54))/D54</f>
        <v>54</v>
      </c>
      <c r="G54" s="381">
        <v>24</v>
      </c>
      <c r="H54" s="381">
        <v>24</v>
      </c>
      <c r="I54" s="381">
        <v>24</v>
      </c>
      <c r="J54" s="381">
        <v>24</v>
      </c>
      <c r="K54" s="381">
        <v>24</v>
      </c>
      <c r="L54" s="381">
        <v>24</v>
      </c>
      <c r="M54" s="381">
        <v>24</v>
      </c>
      <c r="N54" s="381">
        <v>24</v>
      </c>
      <c r="O54" s="381">
        <v>24</v>
      </c>
      <c r="P54" s="381">
        <v>24</v>
      </c>
      <c r="Q54" s="381">
        <v>24</v>
      </c>
      <c r="R54" s="381">
        <v>24</v>
      </c>
      <c r="S54" s="381">
        <v>24</v>
      </c>
      <c r="T54" s="381">
        <v>24</v>
      </c>
      <c r="U54" s="381">
        <v>24</v>
      </c>
      <c r="V54" s="381">
        <v>24</v>
      </c>
      <c r="W54" s="381">
        <v>24</v>
      </c>
      <c r="X54" s="381">
        <v>24</v>
      </c>
      <c r="Y54" s="381">
        <v>24</v>
      </c>
      <c r="Z54" s="381">
        <v>24</v>
      </c>
      <c r="AA54" s="381">
        <v>24</v>
      </c>
      <c r="AB54" s="381">
        <v>24</v>
      </c>
      <c r="AC54" s="381">
        <v>24</v>
      </c>
      <c r="AD54" s="381">
        <v>24</v>
      </c>
      <c r="AE54" s="381">
        <v>24</v>
      </c>
      <c r="AF54" s="381">
        <v>24</v>
      </c>
      <c r="AG54" s="381">
        <v>24</v>
      </c>
      <c r="AH54" s="381">
        <v>24</v>
      </c>
      <c r="AI54" s="381">
        <v>24</v>
      </c>
      <c r="AJ54" s="381">
        <v>24</v>
      </c>
      <c r="AK54" s="381">
        <v>24</v>
      </c>
      <c r="AL54" s="381">
        <v>24</v>
      </c>
      <c r="AM54" s="381">
        <v>24</v>
      </c>
      <c r="AN54" s="381">
        <v>24</v>
      </c>
      <c r="AO54" s="381">
        <v>24</v>
      </c>
      <c r="AP54" s="381">
        <v>24</v>
      </c>
      <c r="AQ54" s="381">
        <v>24</v>
      </c>
      <c r="AR54" s="381">
        <v>24</v>
      </c>
      <c r="AS54" s="381">
        <v>24</v>
      </c>
      <c r="AT54" s="381">
        <v>24</v>
      </c>
      <c r="AU54" s="381">
        <v>24</v>
      </c>
      <c r="AV54" s="381">
        <v>24</v>
      </c>
      <c r="AW54" s="381">
        <v>24</v>
      </c>
      <c r="AX54" s="381">
        <v>24</v>
      </c>
      <c r="AY54" s="381">
        <v>24</v>
      </c>
      <c r="AZ54" s="381">
        <v>24</v>
      </c>
      <c r="BA54" s="381">
        <v>24</v>
      </c>
      <c r="BB54" s="381">
        <v>24</v>
      </c>
      <c r="BC54" s="381">
        <v>24</v>
      </c>
      <c r="BD54" s="381">
        <v>24</v>
      </c>
      <c r="BE54" s="381">
        <v>24</v>
      </c>
      <c r="BF54" s="381">
        <v>24</v>
      </c>
      <c r="BG54" s="381">
        <v>24</v>
      </c>
      <c r="BH54" s="381">
        <v>24</v>
      </c>
      <c r="BI54" s="364">
        <f>SUM(G54:BH54)</f>
        <v>1296</v>
      </c>
    </row>
    <row r="55" spans="1:64" s="96" customFormat="1" ht="169.9" customHeight="1" thickTop="1" thickBot="1" x14ac:dyDescent="0.95">
      <c r="A55" s="392">
        <v>35</v>
      </c>
      <c r="B55" s="348" t="s">
        <v>675</v>
      </c>
      <c r="C55" s="808"/>
      <c r="D55" s="349">
        <v>24</v>
      </c>
      <c r="E55" s="350" t="s">
        <v>664</v>
      </c>
      <c r="F55" s="382">
        <f t="shared" ref="F55" si="4">(SUM(G55:BH55))/D54</f>
        <v>54</v>
      </c>
      <c r="G55" s="381">
        <v>24</v>
      </c>
      <c r="H55" s="381">
        <v>24</v>
      </c>
      <c r="I55" s="381">
        <v>24</v>
      </c>
      <c r="J55" s="381">
        <v>24</v>
      </c>
      <c r="K55" s="381">
        <v>24</v>
      </c>
      <c r="L55" s="381">
        <v>24</v>
      </c>
      <c r="M55" s="381">
        <v>24</v>
      </c>
      <c r="N55" s="381">
        <v>24</v>
      </c>
      <c r="O55" s="381">
        <v>24</v>
      </c>
      <c r="P55" s="381">
        <v>24</v>
      </c>
      <c r="Q55" s="381">
        <v>24</v>
      </c>
      <c r="R55" s="381">
        <v>24</v>
      </c>
      <c r="S55" s="381">
        <v>24</v>
      </c>
      <c r="T55" s="381">
        <v>24</v>
      </c>
      <c r="U55" s="381">
        <v>24</v>
      </c>
      <c r="V55" s="381">
        <v>24</v>
      </c>
      <c r="W55" s="381">
        <v>24</v>
      </c>
      <c r="X55" s="381">
        <v>24</v>
      </c>
      <c r="Y55" s="381">
        <v>24</v>
      </c>
      <c r="Z55" s="381">
        <v>24</v>
      </c>
      <c r="AA55" s="381">
        <v>24</v>
      </c>
      <c r="AB55" s="381">
        <v>24</v>
      </c>
      <c r="AC55" s="381">
        <v>24</v>
      </c>
      <c r="AD55" s="381">
        <v>24</v>
      </c>
      <c r="AE55" s="381">
        <v>24</v>
      </c>
      <c r="AF55" s="381">
        <v>24</v>
      </c>
      <c r="AG55" s="381">
        <v>24</v>
      </c>
      <c r="AH55" s="381">
        <v>24</v>
      </c>
      <c r="AI55" s="381">
        <v>24</v>
      </c>
      <c r="AJ55" s="381">
        <v>24</v>
      </c>
      <c r="AK55" s="381">
        <v>24</v>
      </c>
      <c r="AL55" s="381">
        <v>24</v>
      </c>
      <c r="AM55" s="381">
        <v>24</v>
      </c>
      <c r="AN55" s="381">
        <v>24</v>
      </c>
      <c r="AO55" s="381">
        <v>24</v>
      </c>
      <c r="AP55" s="381">
        <v>24</v>
      </c>
      <c r="AQ55" s="381">
        <v>24</v>
      </c>
      <c r="AR55" s="381">
        <v>24</v>
      </c>
      <c r="AS55" s="381">
        <v>24</v>
      </c>
      <c r="AT55" s="381">
        <v>24</v>
      </c>
      <c r="AU55" s="381">
        <v>24</v>
      </c>
      <c r="AV55" s="381">
        <v>24</v>
      </c>
      <c r="AW55" s="381">
        <v>24</v>
      </c>
      <c r="AX55" s="381">
        <v>24</v>
      </c>
      <c r="AY55" s="381">
        <v>24</v>
      </c>
      <c r="AZ55" s="381">
        <v>24</v>
      </c>
      <c r="BA55" s="381">
        <v>24</v>
      </c>
      <c r="BB55" s="381">
        <v>24</v>
      </c>
      <c r="BC55" s="381">
        <v>24</v>
      </c>
      <c r="BD55" s="381">
        <v>24</v>
      </c>
      <c r="BE55" s="381">
        <v>24</v>
      </c>
      <c r="BF55" s="381">
        <v>24</v>
      </c>
      <c r="BG55" s="381">
        <v>24</v>
      </c>
      <c r="BH55" s="381">
        <v>24</v>
      </c>
      <c r="BI55" s="364">
        <f>SUM(G55:BH55)</f>
        <v>1296</v>
      </c>
    </row>
    <row r="56" spans="1:64" s="96" customFormat="1" ht="169.9" customHeight="1" thickTop="1" thickBot="1" x14ac:dyDescent="0.95">
      <c r="A56" s="392">
        <v>2</v>
      </c>
      <c r="B56" s="737" t="s">
        <v>778</v>
      </c>
      <c r="C56" s="359" t="s">
        <v>33</v>
      </c>
      <c r="D56" s="738">
        <v>4</v>
      </c>
      <c r="E56" s="350" t="s">
        <v>779</v>
      </c>
      <c r="F56" s="382">
        <f>(SUM(G56:BH56))/4</f>
        <v>37.5</v>
      </c>
      <c r="G56" s="381"/>
      <c r="H56" s="381">
        <v>2</v>
      </c>
      <c r="I56" s="381">
        <v>2</v>
      </c>
      <c r="J56" s="381">
        <v>2</v>
      </c>
      <c r="K56" s="381">
        <v>2</v>
      </c>
      <c r="L56" s="381">
        <v>2</v>
      </c>
      <c r="M56" s="381">
        <v>2</v>
      </c>
      <c r="N56" s="381">
        <v>2</v>
      </c>
      <c r="O56" s="381">
        <v>2</v>
      </c>
      <c r="P56" s="381">
        <v>2</v>
      </c>
      <c r="Q56" s="381">
        <v>3</v>
      </c>
      <c r="R56" s="381">
        <v>3</v>
      </c>
      <c r="S56" s="381">
        <v>3</v>
      </c>
      <c r="T56" s="381">
        <v>3</v>
      </c>
      <c r="U56" s="381">
        <v>3</v>
      </c>
      <c r="V56" s="381">
        <v>3</v>
      </c>
      <c r="W56" s="381">
        <v>3</v>
      </c>
      <c r="X56" s="381">
        <v>3</v>
      </c>
      <c r="Y56" s="381">
        <v>3</v>
      </c>
      <c r="Z56" s="381">
        <v>3</v>
      </c>
      <c r="AA56" s="381">
        <v>3</v>
      </c>
      <c r="AB56" s="381">
        <v>3</v>
      </c>
      <c r="AC56" s="381">
        <v>3</v>
      </c>
      <c r="AD56" s="381">
        <v>3</v>
      </c>
      <c r="AE56" s="381">
        <v>3</v>
      </c>
      <c r="AF56" s="381">
        <v>3</v>
      </c>
      <c r="AG56" s="381">
        <v>3</v>
      </c>
      <c r="AH56" s="381">
        <v>3</v>
      </c>
      <c r="AI56" s="381">
        <v>3</v>
      </c>
      <c r="AJ56" s="381">
        <v>3</v>
      </c>
      <c r="AK56" s="381">
        <v>3</v>
      </c>
      <c r="AL56" s="381">
        <v>3</v>
      </c>
      <c r="AM56" s="381">
        <v>3</v>
      </c>
      <c r="AN56" s="381">
        <v>3</v>
      </c>
      <c r="AO56" s="381">
        <v>3</v>
      </c>
      <c r="AP56" s="381">
        <v>3</v>
      </c>
      <c r="AQ56" s="381">
        <v>3</v>
      </c>
      <c r="AR56" s="381">
        <v>3</v>
      </c>
      <c r="AS56" s="381">
        <v>3</v>
      </c>
      <c r="AT56" s="381">
        <v>3</v>
      </c>
      <c r="AU56" s="381">
        <v>3</v>
      </c>
      <c r="AV56" s="381">
        <v>3</v>
      </c>
      <c r="AW56" s="381">
        <v>3</v>
      </c>
      <c r="AX56" s="381">
        <v>3</v>
      </c>
      <c r="AY56" s="381">
        <v>3</v>
      </c>
      <c r="AZ56" s="381">
        <v>3</v>
      </c>
      <c r="BA56" s="381">
        <v>3</v>
      </c>
      <c r="BB56" s="381">
        <v>3</v>
      </c>
      <c r="BC56" s="381">
        <v>3</v>
      </c>
      <c r="BD56" s="381">
        <v>3</v>
      </c>
      <c r="BE56" s="381">
        <v>3</v>
      </c>
      <c r="BF56" s="381">
        <v>3</v>
      </c>
      <c r="BG56" s="381">
        <v>3</v>
      </c>
      <c r="BH56" s="381">
        <v>3</v>
      </c>
      <c r="BI56" s="364">
        <f>SUM(G56:BH56)</f>
        <v>150</v>
      </c>
    </row>
    <row r="57" spans="1:64" s="84" customFormat="1" ht="95.25" thickTop="1" thickBot="1" x14ac:dyDescent="0.75">
      <c r="A57" s="806" t="s">
        <v>408</v>
      </c>
      <c r="B57" s="806"/>
      <c r="C57" s="806"/>
      <c r="D57" s="806"/>
      <c r="E57" s="806"/>
      <c r="F57" s="806"/>
      <c r="G57" s="806"/>
      <c r="H57" s="806"/>
      <c r="I57" s="383"/>
      <c r="J57" s="383"/>
      <c r="K57" s="383"/>
      <c r="L57" s="383"/>
      <c r="M57" s="383"/>
      <c r="N57" s="796" t="s">
        <v>409</v>
      </c>
      <c r="O57" s="796"/>
      <c r="P57" s="796"/>
      <c r="Q57" s="796"/>
      <c r="R57" s="796"/>
      <c r="S57" s="796"/>
      <c r="T57" s="796"/>
      <c r="U57" s="796"/>
      <c r="V57" s="796"/>
      <c r="W57" s="796"/>
      <c r="X57" s="796"/>
      <c r="Y57" s="796"/>
      <c r="Z57" s="796"/>
      <c r="AA57" s="796"/>
      <c r="AB57" s="796"/>
      <c r="AC57" s="796"/>
      <c r="AD57" s="796"/>
      <c r="AE57" s="796"/>
      <c r="AF57" s="796"/>
      <c r="AG57" s="796"/>
      <c r="AH57" s="796"/>
      <c r="AI57" s="796"/>
      <c r="AJ57" s="796"/>
      <c r="AK57" s="796"/>
      <c r="AL57" s="796"/>
      <c r="AM57" s="796"/>
      <c r="AN57" s="796"/>
      <c r="AO57" s="796"/>
      <c r="AP57" s="796"/>
      <c r="AQ57" s="796"/>
      <c r="AR57" s="796"/>
      <c r="AS57" s="796"/>
      <c r="AT57" s="796"/>
      <c r="AU57" s="383"/>
      <c r="AV57" s="383"/>
      <c r="AW57" s="383"/>
      <c r="AX57" s="383"/>
      <c r="AY57" s="383"/>
      <c r="AZ57" s="383"/>
      <c r="BA57" s="383"/>
      <c r="BB57" s="383"/>
      <c r="BC57" s="383"/>
      <c r="BD57" s="383"/>
      <c r="BE57" s="383"/>
      <c r="BF57" s="383"/>
      <c r="BG57" s="383"/>
      <c r="BH57" s="383"/>
      <c r="BI57" s="365"/>
      <c r="BJ57" s="189"/>
      <c r="BK57" s="190"/>
      <c r="BL57" s="191"/>
    </row>
    <row r="58" spans="1:64" s="84" customFormat="1" ht="94.5" thickBot="1" x14ac:dyDescent="0.75">
      <c r="A58" s="806"/>
      <c r="B58" s="806"/>
      <c r="C58" s="806"/>
      <c r="D58" s="806"/>
      <c r="E58" s="806"/>
      <c r="F58" s="806"/>
      <c r="G58" s="806"/>
      <c r="H58" s="806"/>
      <c r="I58" s="383"/>
      <c r="J58" s="383"/>
      <c r="K58" s="383"/>
      <c r="L58" s="383"/>
      <c r="M58" s="383"/>
      <c r="N58" s="797"/>
      <c r="O58" s="797"/>
      <c r="P58" s="797"/>
      <c r="Q58" s="797"/>
      <c r="R58" s="797"/>
      <c r="S58" s="797"/>
      <c r="T58" s="797"/>
      <c r="U58" s="797"/>
      <c r="V58" s="797"/>
      <c r="W58" s="797"/>
      <c r="X58" s="797"/>
      <c r="Y58" s="797"/>
      <c r="Z58" s="797"/>
      <c r="AA58" s="797"/>
      <c r="AB58" s="797"/>
      <c r="AC58" s="797"/>
      <c r="AD58" s="797"/>
      <c r="AE58" s="797"/>
      <c r="AF58" s="797"/>
      <c r="AG58" s="797"/>
      <c r="AH58" s="797"/>
      <c r="AI58" s="797"/>
      <c r="AJ58" s="797"/>
      <c r="AK58" s="797"/>
      <c r="AL58" s="797"/>
      <c r="AM58" s="797"/>
      <c r="AN58" s="797"/>
      <c r="AO58" s="797"/>
      <c r="AP58" s="797"/>
      <c r="AQ58" s="797"/>
      <c r="AR58" s="797"/>
      <c r="AS58" s="797"/>
      <c r="AT58" s="797"/>
      <c r="AU58" s="383"/>
      <c r="AV58" s="383"/>
      <c r="AW58" s="383"/>
      <c r="AX58" s="383"/>
      <c r="AY58" s="383"/>
      <c r="AZ58" s="383"/>
      <c r="BA58" s="383"/>
      <c r="BB58" s="383"/>
      <c r="BC58" s="383"/>
      <c r="BD58" s="383"/>
      <c r="BE58" s="383"/>
      <c r="BF58" s="383"/>
      <c r="BG58" s="383"/>
      <c r="BH58" s="383"/>
      <c r="BI58" s="365"/>
      <c r="BJ58" s="189"/>
      <c r="BK58" s="190"/>
      <c r="BL58" s="191"/>
    </row>
    <row r="59" spans="1:64" s="84" customFormat="1" ht="94.5" thickBot="1" x14ac:dyDescent="1.25">
      <c r="A59" s="806"/>
      <c r="B59" s="806"/>
      <c r="C59" s="806"/>
      <c r="D59" s="806"/>
      <c r="E59" s="806"/>
      <c r="F59" s="806"/>
      <c r="G59" s="806"/>
      <c r="H59" s="806"/>
      <c r="I59" s="384"/>
      <c r="J59" s="384"/>
      <c r="K59" s="384"/>
      <c r="L59" s="384"/>
      <c r="M59" s="384"/>
      <c r="N59" s="797"/>
      <c r="O59" s="797"/>
      <c r="P59" s="797"/>
      <c r="Q59" s="797"/>
      <c r="R59" s="797"/>
      <c r="S59" s="797"/>
      <c r="T59" s="797"/>
      <c r="U59" s="797"/>
      <c r="V59" s="797"/>
      <c r="W59" s="797"/>
      <c r="X59" s="797"/>
      <c r="Y59" s="797"/>
      <c r="Z59" s="797"/>
      <c r="AA59" s="797"/>
      <c r="AB59" s="797"/>
      <c r="AC59" s="797"/>
      <c r="AD59" s="797"/>
      <c r="AE59" s="797"/>
      <c r="AF59" s="797"/>
      <c r="AG59" s="797"/>
      <c r="AH59" s="797"/>
      <c r="AI59" s="797"/>
      <c r="AJ59" s="797"/>
      <c r="AK59" s="797"/>
      <c r="AL59" s="797"/>
      <c r="AM59" s="797"/>
      <c r="AN59" s="797"/>
      <c r="AO59" s="797"/>
      <c r="AP59" s="797"/>
      <c r="AQ59" s="797"/>
      <c r="AR59" s="797"/>
      <c r="AS59" s="797"/>
      <c r="AT59" s="797"/>
      <c r="AU59" s="384"/>
      <c r="AV59" s="384"/>
      <c r="AW59" s="384"/>
      <c r="AX59" s="384"/>
      <c r="AY59" s="384"/>
      <c r="AZ59" s="384"/>
      <c r="BA59" s="384"/>
      <c r="BB59" s="384"/>
      <c r="BC59" s="384"/>
      <c r="BD59" s="384"/>
      <c r="BE59" s="384"/>
      <c r="BF59" s="384"/>
      <c r="BG59" s="384"/>
      <c r="BH59" s="384"/>
      <c r="BI59" s="366"/>
      <c r="BJ59" s="189"/>
      <c r="BK59" s="190"/>
      <c r="BL59" s="191"/>
    </row>
    <row r="60" spans="1:64" s="84" customFormat="1" ht="96.75" thickBot="1" x14ac:dyDescent="1.45">
      <c r="A60" s="393"/>
      <c r="B60" s="92"/>
      <c r="C60" s="91"/>
      <c r="D60" s="90"/>
      <c r="E60" s="93"/>
      <c r="F60" s="385"/>
      <c r="G60" s="386"/>
      <c r="H60" s="386"/>
      <c r="I60" s="386"/>
      <c r="J60" s="386"/>
      <c r="K60" s="386"/>
      <c r="L60" s="386"/>
      <c r="M60" s="386"/>
      <c r="N60" s="386"/>
      <c r="O60" s="386"/>
      <c r="P60" s="386"/>
      <c r="Q60" s="386"/>
      <c r="R60" s="386"/>
      <c r="S60" s="386"/>
      <c r="T60" s="386"/>
      <c r="U60" s="386"/>
      <c r="V60" s="386"/>
      <c r="W60" s="386"/>
      <c r="X60" s="386"/>
      <c r="Y60" s="386"/>
      <c r="Z60" s="386"/>
      <c r="AA60" s="386"/>
      <c r="AB60" s="386"/>
      <c r="AC60" s="386"/>
      <c r="AD60" s="386"/>
      <c r="AE60" s="386"/>
      <c r="AF60" s="386"/>
      <c r="AG60" s="386"/>
      <c r="AH60" s="386"/>
      <c r="AI60" s="386"/>
      <c r="AJ60" s="386"/>
      <c r="AK60" s="386"/>
      <c r="AL60" s="386"/>
      <c r="AM60" s="386"/>
      <c r="AN60" s="386"/>
      <c r="AO60" s="386"/>
      <c r="AP60" s="386"/>
      <c r="AQ60" s="386"/>
      <c r="AR60" s="386"/>
      <c r="AS60" s="386"/>
      <c r="AT60" s="386"/>
      <c r="AU60" s="386"/>
      <c r="AV60" s="386"/>
      <c r="AW60" s="386"/>
      <c r="AX60" s="386"/>
      <c r="AY60" s="386"/>
      <c r="AZ60" s="386"/>
      <c r="BA60" s="386"/>
      <c r="BB60" s="386"/>
      <c r="BC60" s="386"/>
      <c r="BD60" s="386"/>
      <c r="BE60" s="386"/>
      <c r="BF60" s="386"/>
      <c r="BG60" s="386"/>
      <c r="BH60" s="387"/>
      <c r="BI60" s="367"/>
      <c r="BJ60" s="87"/>
      <c r="BK60" s="86"/>
      <c r="BL60" s="94"/>
    </row>
    <row r="61" spans="1:64" s="84" customFormat="1" ht="96.75" thickBot="1" x14ac:dyDescent="1.45">
      <c r="A61" s="393"/>
      <c r="B61" s="92"/>
      <c r="C61" s="91"/>
      <c r="D61" s="90"/>
      <c r="E61" s="93"/>
      <c r="F61" s="385"/>
      <c r="G61" s="386"/>
      <c r="H61" s="386"/>
      <c r="I61" s="386"/>
      <c r="J61" s="386"/>
      <c r="K61" s="386"/>
      <c r="L61" s="386"/>
      <c r="M61" s="386"/>
      <c r="N61" s="386"/>
      <c r="O61" s="386"/>
      <c r="P61" s="386"/>
      <c r="Q61" s="386"/>
      <c r="R61" s="386"/>
      <c r="S61" s="386"/>
      <c r="T61" s="386"/>
      <c r="U61" s="386"/>
      <c r="V61" s="386"/>
      <c r="W61" s="386"/>
      <c r="X61" s="386"/>
      <c r="Y61" s="386"/>
      <c r="Z61" s="386"/>
      <c r="AA61" s="386"/>
      <c r="AB61" s="386"/>
      <c r="AC61" s="386"/>
      <c r="AD61" s="386"/>
      <c r="AE61" s="386"/>
      <c r="AF61" s="386"/>
      <c r="AG61" s="386"/>
      <c r="AH61" s="386"/>
      <c r="AI61" s="386"/>
      <c r="AJ61" s="386"/>
      <c r="AK61" s="386"/>
      <c r="AL61" s="386"/>
      <c r="AM61" s="386"/>
      <c r="AN61" s="386"/>
      <c r="AO61" s="386"/>
      <c r="AP61" s="386"/>
      <c r="AQ61" s="386"/>
      <c r="AR61" s="386"/>
      <c r="AS61" s="386"/>
      <c r="AT61" s="386"/>
      <c r="AU61" s="386"/>
      <c r="AV61" s="386"/>
      <c r="AW61" s="386"/>
      <c r="AX61" s="386"/>
      <c r="AY61" s="386"/>
      <c r="AZ61" s="386"/>
      <c r="BA61" s="386"/>
      <c r="BB61" s="386"/>
      <c r="BC61" s="386"/>
      <c r="BD61" s="386"/>
      <c r="BE61" s="386"/>
      <c r="BF61" s="386"/>
      <c r="BG61" s="386"/>
      <c r="BH61" s="387"/>
      <c r="BI61" s="367"/>
      <c r="BJ61" s="87"/>
      <c r="BK61" s="86"/>
      <c r="BL61" s="94"/>
    </row>
    <row r="62" spans="1:64" s="84" customFormat="1" ht="96.75" thickBot="1" x14ac:dyDescent="1.45">
      <c r="A62" s="393"/>
      <c r="B62" s="92"/>
      <c r="C62" s="91"/>
      <c r="D62" s="90"/>
      <c r="E62" s="93"/>
      <c r="F62" s="385"/>
      <c r="G62" s="386"/>
      <c r="H62" s="386"/>
      <c r="I62" s="386"/>
      <c r="J62" s="386"/>
      <c r="K62" s="386"/>
      <c r="L62" s="386"/>
      <c r="M62" s="386"/>
      <c r="N62" s="386"/>
      <c r="O62" s="386"/>
      <c r="P62" s="386"/>
      <c r="Q62" s="386"/>
      <c r="R62" s="386"/>
      <c r="S62" s="386"/>
      <c r="T62" s="386"/>
      <c r="U62" s="386"/>
      <c r="V62" s="386"/>
      <c r="W62" s="386"/>
      <c r="X62" s="386"/>
      <c r="Y62" s="386"/>
      <c r="Z62" s="386"/>
      <c r="AA62" s="386"/>
      <c r="AB62" s="386"/>
      <c r="AC62" s="386"/>
      <c r="AD62" s="386"/>
      <c r="AE62" s="386"/>
      <c r="AF62" s="386"/>
      <c r="AG62" s="386"/>
      <c r="AH62" s="386"/>
      <c r="AI62" s="386"/>
      <c r="AJ62" s="386"/>
      <c r="AK62" s="386"/>
      <c r="AL62" s="386"/>
      <c r="AM62" s="386"/>
      <c r="AN62" s="386"/>
      <c r="AO62" s="386"/>
      <c r="AP62" s="386"/>
      <c r="AQ62" s="386"/>
      <c r="AR62" s="386"/>
      <c r="AS62" s="386"/>
      <c r="AT62" s="386"/>
      <c r="AU62" s="386"/>
      <c r="AV62" s="386"/>
      <c r="AW62" s="386"/>
      <c r="AX62" s="386"/>
      <c r="AY62" s="386"/>
      <c r="AZ62" s="386"/>
      <c r="BA62" s="386"/>
      <c r="BB62" s="386"/>
      <c r="BC62" s="386"/>
      <c r="BD62" s="386"/>
      <c r="BE62" s="386"/>
      <c r="BF62" s="386"/>
      <c r="BG62" s="386"/>
      <c r="BH62" s="387"/>
      <c r="BI62" s="367"/>
      <c r="BJ62" s="87"/>
      <c r="BK62" s="86"/>
      <c r="BL62" s="94"/>
    </row>
    <row r="63" spans="1:64" s="84" customFormat="1" ht="96.75" thickBot="1" x14ac:dyDescent="1.45">
      <c r="A63" s="393"/>
      <c r="B63" s="92"/>
      <c r="C63" s="91"/>
      <c r="D63" s="90"/>
      <c r="E63" s="93"/>
      <c r="F63" s="385"/>
      <c r="G63" s="386"/>
      <c r="H63" s="386"/>
      <c r="I63" s="386"/>
      <c r="J63" s="386"/>
      <c r="K63" s="386"/>
      <c r="L63" s="386"/>
      <c r="M63" s="386"/>
      <c r="N63" s="386"/>
      <c r="O63" s="386"/>
      <c r="P63" s="386"/>
      <c r="Q63" s="386"/>
      <c r="R63" s="386"/>
      <c r="S63" s="386"/>
      <c r="T63" s="386"/>
      <c r="U63" s="386"/>
      <c r="V63" s="386"/>
      <c r="W63" s="386"/>
      <c r="X63" s="386"/>
      <c r="Y63" s="386"/>
      <c r="Z63" s="386"/>
      <c r="AA63" s="386"/>
      <c r="AB63" s="386"/>
      <c r="AC63" s="386"/>
      <c r="AD63" s="386"/>
      <c r="AE63" s="386"/>
      <c r="AF63" s="386"/>
      <c r="AG63" s="386"/>
      <c r="AH63" s="386"/>
      <c r="AI63" s="386"/>
      <c r="AJ63" s="386"/>
      <c r="AK63" s="386"/>
      <c r="AL63" s="386"/>
      <c r="AM63" s="386"/>
      <c r="AN63" s="386"/>
      <c r="AO63" s="386"/>
      <c r="AP63" s="386"/>
      <c r="AQ63" s="386"/>
      <c r="AR63" s="386"/>
      <c r="AS63" s="386"/>
      <c r="AT63" s="386"/>
      <c r="AU63" s="386"/>
      <c r="AV63" s="386"/>
      <c r="AW63" s="386"/>
      <c r="AX63" s="386"/>
      <c r="AY63" s="386"/>
      <c r="AZ63" s="386"/>
      <c r="BA63" s="386"/>
      <c r="BB63" s="386"/>
      <c r="BC63" s="386"/>
      <c r="BD63" s="386"/>
      <c r="BE63" s="386"/>
      <c r="BF63" s="386"/>
      <c r="BG63" s="386"/>
      <c r="BH63" s="387"/>
      <c r="BI63" s="367"/>
      <c r="BJ63" s="87"/>
      <c r="BK63" s="86"/>
      <c r="BL63" s="94"/>
    </row>
    <row r="64" spans="1:64" s="84" customFormat="1" ht="96.75" thickBot="1" x14ac:dyDescent="1.45">
      <c r="A64" s="393"/>
      <c r="B64" s="92"/>
      <c r="C64" s="91"/>
      <c r="D64" s="90"/>
      <c r="E64" s="93"/>
      <c r="F64" s="385"/>
      <c r="G64" s="386"/>
      <c r="H64" s="386"/>
      <c r="I64" s="386"/>
      <c r="J64" s="386"/>
      <c r="K64" s="386"/>
      <c r="L64" s="386"/>
      <c r="M64" s="386"/>
      <c r="N64" s="386"/>
      <c r="O64" s="386"/>
      <c r="P64" s="386"/>
      <c r="Q64" s="386"/>
      <c r="R64" s="386"/>
      <c r="S64" s="386"/>
      <c r="T64" s="386"/>
      <c r="U64" s="386"/>
      <c r="V64" s="386"/>
      <c r="W64" s="386"/>
      <c r="X64" s="386"/>
      <c r="Y64" s="386"/>
      <c r="Z64" s="386"/>
      <c r="AA64" s="386"/>
      <c r="AB64" s="386"/>
      <c r="AC64" s="386"/>
      <c r="AD64" s="386"/>
      <c r="AE64" s="386"/>
      <c r="AF64" s="386"/>
      <c r="AG64" s="386"/>
      <c r="AH64" s="386"/>
      <c r="AI64" s="386"/>
      <c r="AJ64" s="386"/>
      <c r="AK64" s="386"/>
      <c r="AL64" s="386"/>
      <c r="AM64" s="386"/>
      <c r="AN64" s="386"/>
      <c r="AO64" s="386"/>
      <c r="AP64" s="386"/>
      <c r="AQ64" s="386"/>
      <c r="AR64" s="386"/>
      <c r="AS64" s="386"/>
      <c r="AT64" s="386"/>
      <c r="AU64" s="386"/>
      <c r="AV64" s="386"/>
      <c r="AW64" s="386"/>
      <c r="AX64" s="386"/>
      <c r="AY64" s="386"/>
      <c r="AZ64" s="386"/>
      <c r="BA64" s="386"/>
      <c r="BB64" s="386"/>
      <c r="BC64" s="386"/>
      <c r="BD64" s="386"/>
      <c r="BE64" s="386"/>
      <c r="BF64" s="386"/>
      <c r="BG64" s="386"/>
      <c r="BH64" s="387"/>
      <c r="BI64" s="367"/>
      <c r="BJ64" s="87"/>
      <c r="BK64" s="86"/>
      <c r="BL64" s="94"/>
    </row>
    <row r="65" spans="1:64" s="84" customFormat="1" ht="96.75" thickBot="1" x14ac:dyDescent="1.45">
      <c r="A65" s="393"/>
      <c r="B65" s="92"/>
      <c r="C65" s="91"/>
      <c r="D65" s="90"/>
      <c r="E65" s="93"/>
      <c r="F65" s="385"/>
      <c r="G65" s="386"/>
      <c r="H65" s="386"/>
      <c r="I65" s="386"/>
      <c r="J65" s="386"/>
      <c r="K65" s="386"/>
      <c r="L65" s="386"/>
      <c r="M65" s="386"/>
      <c r="N65" s="386"/>
      <c r="O65" s="386"/>
      <c r="P65" s="386"/>
      <c r="Q65" s="386"/>
      <c r="R65" s="386"/>
      <c r="S65" s="386"/>
      <c r="T65" s="386"/>
      <c r="U65" s="386"/>
      <c r="V65" s="386"/>
      <c r="W65" s="386"/>
      <c r="X65" s="386"/>
      <c r="Y65" s="386"/>
      <c r="Z65" s="386"/>
      <c r="AA65" s="386"/>
      <c r="AB65" s="386"/>
      <c r="AC65" s="386"/>
      <c r="AD65" s="386"/>
      <c r="AE65" s="386"/>
      <c r="AF65" s="386"/>
      <c r="AG65" s="386"/>
      <c r="AH65" s="386"/>
      <c r="AI65" s="386"/>
      <c r="AJ65" s="386"/>
      <c r="AK65" s="386"/>
      <c r="AL65" s="386"/>
      <c r="AM65" s="386"/>
      <c r="AN65" s="386"/>
      <c r="AO65" s="386"/>
      <c r="AP65" s="386"/>
      <c r="AQ65" s="386"/>
      <c r="AR65" s="386"/>
      <c r="AS65" s="386"/>
      <c r="AT65" s="386"/>
      <c r="AU65" s="386"/>
      <c r="AV65" s="386"/>
      <c r="AW65" s="386"/>
      <c r="AX65" s="386"/>
      <c r="AY65" s="386"/>
      <c r="AZ65" s="386"/>
      <c r="BA65" s="386"/>
      <c r="BB65" s="386"/>
      <c r="BC65" s="386"/>
      <c r="BD65" s="386"/>
      <c r="BE65" s="386"/>
      <c r="BF65" s="386"/>
      <c r="BG65" s="386"/>
      <c r="BH65" s="387"/>
      <c r="BI65" s="367"/>
      <c r="BJ65" s="87"/>
      <c r="BK65" s="86"/>
      <c r="BL65" s="94"/>
    </row>
    <row r="66" spans="1:64" s="84" customFormat="1" ht="96.75" thickBot="1" x14ac:dyDescent="1.45">
      <c r="A66" s="393"/>
      <c r="B66" s="92"/>
      <c r="C66" s="91"/>
      <c r="D66" s="90"/>
      <c r="E66" s="93"/>
      <c r="F66" s="385"/>
      <c r="G66" s="386"/>
      <c r="H66" s="386"/>
      <c r="I66" s="386"/>
      <c r="J66" s="386"/>
      <c r="K66" s="386"/>
      <c r="L66" s="386"/>
      <c r="M66" s="386"/>
      <c r="N66" s="386"/>
      <c r="O66" s="386"/>
      <c r="P66" s="386"/>
      <c r="Q66" s="386"/>
      <c r="R66" s="386"/>
      <c r="S66" s="386"/>
      <c r="T66" s="386"/>
      <c r="U66" s="386"/>
      <c r="V66" s="386"/>
      <c r="W66" s="386"/>
      <c r="X66" s="386"/>
      <c r="Y66" s="386"/>
      <c r="Z66" s="386"/>
      <c r="AA66" s="386"/>
      <c r="AB66" s="386"/>
      <c r="AC66" s="386"/>
      <c r="AD66" s="386"/>
      <c r="AE66" s="386"/>
      <c r="AF66" s="386"/>
      <c r="AG66" s="386"/>
      <c r="AH66" s="386"/>
      <c r="AI66" s="386"/>
      <c r="AJ66" s="386"/>
      <c r="AK66" s="386"/>
      <c r="AL66" s="386"/>
      <c r="AM66" s="386"/>
      <c r="AN66" s="386"/>
      <c r="AO66" s="386"/>
      <c r="AP66" s="386"/>
      <c r="AQ66" s="386"/>
      <c r="AR66" s="386"/>
      <c r="AS66" s="386"/>
      <c r="AT66" s="386"/>
      <c r="AU66" s="386"/>
      <c r="AV66" s="386"/>
      <c r="AW66" s="386"/>
      <c r="AX66" s="386"/>
      <c r="AY66" s="386"/>
      <c r="AZ66" s="386"/>
      <c r="BA66" s="386"/>
      <c r="BB66" s="386"/>
      <c r="BC66" s="386"/>
      <c r="BD66" s="386"/>
      <c r="BE66" s="386"/>
      <c r="BF66" s="386"/>
      <c r="BG66" s="386"/>
      <c r="BH66" s="387"/>
      <c r="BI66" s="367"/>
      <c r="BJ66" s="87"/>
      <c r="BK66" s="86"/>
      <c r="BL66" s="94"/>
    </row>
    <row r="67" spans="1:64" s="84" customFormat="1" ht="96.75" thickBot="1" x14ac:dyDescent="1.45">
      <c r="A67" s="393"/>
      <c r="B67" s="92"/>
      <c r="C67" s="91"/>
      <c r="D67" s="90"/>
      <c r="E67" s="93"/>
      <c r="F67" s="385"/>
      <c r="G67" s="386"/>
      <c r="H67" s="386"/>
      <c r="I67" s="386"/>
      <c r="J67" s="386"/>
      <c r="K67" s="386"/>
      <c r="L67" s="386"/>
      <c r="M67" s="386"/>
      <c r="N67" s="386"/>
      <c r="O67" s="386"/>
      <c r="P67" s="386"/>
      <c r="Q67" s="386"/>
      <c r="R67" s="386"/>
      <c r="S67" s="386"/>
      <c r="T67" s="386"/>
      <c r="U67" s="386"/>
      <c r="V67" s="386"/>
      <c r="W67" s="386"/>
      <c r="X67" s="386"/>
      <c r="Y67" s="386"/>
      <c r="Z67" s="386"/>
      <c r="AA67" s="386"/>
      <c r="AB67" s="386"/>
      <c r="AC67" s="386"/>
      <c r="AD67" s="386"/>
      <c r="AE67" s="386"/>
      <c r="AF67" s="386"/>
      <c r="AG67" s="386"/>
      <c r="AH67" s="386"/>
      <c r="AI67" s="386"/>
      <c r="AJ67" s="386"/>
      <c r="AK67" s="386"/>
      <c r="AL67" s="386"/>
      <c r="AM67" s="386"/>
      <c r="AN67" s="386"/>
      <c r="AO67" s="386"/>
      <c r="AP67" s="386"/>
      <c r="AQ67" s="386"/>
      <c r="AR67" s="386"/>
      <c r="AS67" s="386"/>
      <c r="AT67" s="386"/>
      <c r="AU67" s="386"/>
      <c r="AV67" s="386"/>
      <c r="AW67" s="386"/>
      <c r="AX67" s="386"/>
      <c r="AY67" s="386"/>
      <c r="AZ67" s="386"/>
      <c r="BA67" s="386"/>
      <c r="BB67" s="386"/>
      <c r="BC67" s="386"/>
      <c r="BD67" s="386"/>
      <c r="BE67" s="386"/>
      <c r="BF67" s="386"/>
      <c r="BG67" s="386"/>
      <c r="BH67" s="387"/>
      <c r="BI67" s="367"/>
      <c r="BJ67" s="87"/>
      <c r="BK67" s="86"/>
      <c r="BL67" s="94"/>
    </row>
    <row r="68" spans="1:64" s="84" customFormat="1" ht="96.75" thickBot="1" x14ac:dyDescent="1.45">
      <c r="A68" s="393"/>
      <c r="B68" s="92"/>
      <c r="C68" s="91"/>
      <c r="D68" s="90"/>
      <c r="E68" s="93"/>
      <c r="F68" s="385"/>
      <c r="G68" s="386"/>
      <c r="H68" s="386"/>
      <c r="I68" s="386"/>
      <c r="J68" s="386"/>
      <c r="K68" s="386"/>
      <c r="L68" s="386"/>
      <c r="M68" s="386"/>
      <c r="N68" s="386"/>
      <c r="O68" s="386"/>
      <c r="P68" s="386"/>
      <c r="Q68" s="386"/>
      <c r="R68" s="386"/>
      <c r="S68" s="386"/>
      <c r="T68" s="386"/>
      <c r="U68" s="386"/>
      <c r="V68" s="386"/>
      <c r="W68" s="386"/>
      <c r="X68" s="386"/>
      <c r="Y68" s="386"/>
      <c r="Z68" s="386"/>
      <c r="AA68" s="386"/>
      <c r="AB68" s="386"/>
      <c r="AC68" s="386"/>
      <c r="AD68" s="386"/>
      <c r="AE68" s="386"/>
      <c r="AF68" s="386"/>
      <c r="AG68" s="386"/>
      <c r="AH68" s="386"/>
      <c r="AI68" s="386"/>
      <c r="AJ68" s="386"/>
      <c r="AK68" s="386"/>
      <c r="AL68" s="386"/>
      <c r="AM68" s="386"/>
      <c r="AN68" s="386"/>
      <c r="AO68" s="386"/>
      <c r="AP68" s="386"/>
      <c r="AQ68" s="386"/>
      <c r="AR68" s="386"/>
      <c r="AS68" s="386"/>
      <c r="AT68" s="386"/>
      <c r="AU68" s="386"/>
      <c r="AV68" s="386"/>
      <c r="AW68" s="386"/>
      <c r="AX68" s="386"/>
      <c r="AY68" s="386"/>
      <c r="AZ68" s="386"/>
      <c r="BA68" s="386"/>
      <c r="BB68" s="386"/>
      <c r="BC68" s="386"/>
      <c r="BD68" s="386"/>
      <c r="BE68" s="386"/>
      <c r="BF68" s="386"/>
      <c r="BG68" s="386"/>
      <c r="BH68" s="387"/>
      <c r="BI68" s="367"/>
      <c r="BJ68" s="87"/>
      <c r="BK68" s="86"/>
      <c r="BL68" s="94"/>
    </row>
    <row r="69" spans="1:64" s="84" customFormat="1" ht="96.75" thickBot="1" x14ac:dyDescent="1.45">
      <c r="A69" s="393"/>
      <c r="B69" s="92"/>
      <c r="C69" s="91"/>
      <c r="D69" s="90"/>
      <c r="E69" s="93"/>
      <c r="F69" s="385"/>
      <c r="G69" s="386"/>
      <c r="H69" s="386"/>
      <c r="I69" s="386"/>
      <c r="J69" s="386"/>
      <c r="K69" s="386"/>
      <c r="L69" s="386"/>
      <c r="M69" s="386"/>
      <c r="N69" s="386"/>
      <c r="O69" s="386"/>
      <c r="P69" s="386"/>
      <c r="Q69" s="386"/>
      <c r="R69" s="386"/>
      <c r="S69" s="386"/>
      <c r="T69" s="386"/>
      <c r="U69" s="386"/>
      <c r="V69" s="386"/>
      <c r="W69" s="386"/>
      <c r="X69" s="386"/>
      <c r="Y69" s="386"/>
      <c r="Z69" s="386"/>
      <c r="AA69" s="386"/>
      <c r="AB69" s="386"/>
      <c r="AC69" s="386"/>
      <c r="AD69" s="386"/>
      <c r="AE69" s="386"/>
      <c r="AF69" s="386"/>
      <c r="AG69" s="386"/>
      <c r="AH69" s="386"/>
      <c r="AI69" s="386"/>
      <c r="AJ69" s="386"/>
      <c r="AK69" s="386"/>
      <c r="AL69" s="386"/>
      <c r="AM69" s="386"/>
      <c r="AN69" s="386"/>
      <c r="AO69" s="386"/>
      <c r="AP69" s="386"/>
      <c r="AQ69" s="386"/>
      <c r="AR69" s="386"/>
      <c r="AS69" s="386"/>
      <c r="AT69" s="386"/>
      <c r="AU69" s="386"/>
      <c r="AV69" s="386"/>
      <c r="AW69" s="386"/>
      <c r="AX69" s="386"/>
      <c r="AY69" s="386"/>
      <c r="AZ69" s="386"/>
      <c r="BA69" s="386"/>
      <c r="BB69" s="386"/>
      <c r="BC69" s="386"/>
      <c r="BD69" s="386"/>
      <c r="BE69" s="386"/>
      <c r="BF69" s="386"/>
      <c r="BG69" s="386"/>
      <c r="BH69" s="387"/>
      <c r="BI69" s="367"/>
      <c r="BJ69" s="87"/>
      <c r="BK69" s="86"/>
      <c r="BL69" s="94"/>
    </row>
    <row r="70" spans="1:64" s="84" customFormat="1" x14ac:dyDescent="1.4">
      <c r="A70" s="393"/>
      <c r="B70" s="92"/>
      <c r="C70" s="91"/>
      <c r="D70" s="90"/>
      <c r="E70" s="93"/>
      <c r="F70" s="385"/>
      <c r="G70" s="386"/>
      <c r="H70" s="386"/>
      <c r="I70" s="386"/>
      <c r="J70" s="386"/>
      <c r="K70" s="386"/>
      <c r="L70" s="386"/>
      <c r="M70" s="386"/>
      <c r="N70" s="386"/>
      <c r="O70" s="386"/>
      <c r="P70" s="386"/>
      <c r="Q70" s="386"/>
      <c r="R70" s="386"/>
      <c r="S70" s="386"/>
      <c r="T70" s="386"/>
      <c r="U70" s="386"/>
      <c r="V70" s="386"/>
      <c r="W70" s="386"/>
      <c r="X70" s="386"/>
      <c r="Y70" s="386"/>
      <c r="Z70" s="386"/>
      <c r="AA70" s="386"/>
      <c r="AB70" s="386"/>
      <c r="AC70" s="386"/>
      <c r="AD70" s="386"/>
      <c r="AE70" s="386"/>
      <c r="AF70" s="386"/>
      <c r="AG70" s="386"/>
      <c r="AH70" s="386"/>
      <c r="AI70" s="386"/>
      <c r="AJ70" s="386"/>
      <c r="AK70" s="386"/>
      <c r="AL70" s="386"/>
      <c r="AM70" s="386"/>
      <c r="AN70" s="386"/>
      <c r="AO70" s="386"/>
      <c r="AP70" s="386"/>
      <c r="AQ70" s="386"/>
      <c r="AR70" s="386"/>
      <c r="AS70" s="386"/>
      <c r="AT70" s="386"/>
      <c r="AU70" s="386"/>
      <c r="AV70" s="386"/>
      <c r="AW70" s="386"/>
      <c r="AX70" s="386"/>
      <c r="AY70" s="386"/>
      <c r="AZ70" s="386"/>
      <c r="BA70" s="386"/>
      <c r="BB70" s="386"/>
      <c r="BC70" s="386"/>
      <c r="BD70" s="386"/>
      <c r="BE70" s="386"/>
      <c r="BF70" s="386"/>
      <c r="BG70" s="386"/>
      <c r="BH70" s="387"/>
      <c r="BI70" s="367"/>
      <c r="BJ70" s="87"/>
      <c r="BK70" s="86"/>
      <c r="BL70" s="85"/>
    </row>
    <row r="71" spans="1:64" s="84" customFormat="1" x14ac:dyDescent="1.4">
      <c r="A71" s="393"/>
      <c r="B71" s="92"/>
      <c r="C71" s="91"/>
      <c r="D71" s="90"/>
      <c r="E71" s="93"/>
      <c r="F71" s="385"/>
      <c r="G71" s="386"/>
      <c r="H71" s="386"/>
      <c r="I71" s="386"/>
      <c r="J71" s="386"/>
      <c r="K71" s="386"/>
      <c r="L71" s="386"/>
      <c r="M71" s="386"/>
      <c r="N71" s="386"/>
      <c r="O71" s="386"/>
      <c r="P71" s="386"/>
      <c r="Q71" s="386"/>
      <c r="R71" s="386"/>
      <c r="S71" s="386"/>
      <c r="T71" s="386"/>
      <c r="U71" s="386"/>
      <c r="V71" s="386"/>
      <c r="W71" s="386"/>
      <c r="X71" s="386"/>
      <c r="Y71" s="386"/>
      <c r="Z71" s="386"/>
      <c r="AA71" s="386"/>
      <c r="AB71" s="386"/>
      <c r="AC71" s="386"/>
      <c r="AD71" s="386"/>
      <c r="AE71" s="386"/>
      <c r="AF71" s="386"/>
      <c r="AG71" s="386"/>
      <c r="AH71" s="386"/>
      <c r="AI71" s="386"/>
      <c r="AJ71" s="386"/>
      <c r="AK71" s="386"/>
      <c r="AL71" s="386"/>
      <c r="AM71" s="386"/>
      <c r="AN71" s="386"/>
      <c r="AO71" s="386"/>
      <c r="AP71" s="386"/>
      <c r="AQ71" s="386"/>
      <c r="AR71" s="386"/>
      <c r="AS71" s="386"/>
      <c r="AT71" s="386"/>
      <c r="AU71" s="386"/>
      <c r="AV71" s="386"/>
      <c r="AW71" s="386"/>
      <c r="AX71" s="386"/>
      <c r="AY71" s="386"/>
      <c r="AZ71" s="386"/>
      <c r="BA71" s="386"/>
      <c r="BB71" s="386"/>
      <c r="BC71" s="386"/>
      <c r="BD71" s="386"/>
      <c r="BE71" s="386"/>
      <c r="BF71" s="386"/>
      <c r="BG71" s="386"/>
      <c r="BH71" s="387"/>
      <c r="BI71" s="367"/>
      <c r="BJ71" s="87"/>
      <c r="BK71" s="86"/>
      <c r="BL71" s="85"/>
    </row>
    <row r="72" spans="1:64" s="84" customFormat="1" x14ac:dyDescent="1.4">
      <c r="A72" s="393"/>
      <c r="B72" s="92"/>
      <c r="C72" s="91"/>
      <c r="D72" s="90"/>
      <c r="E72" s="93"/>
      <c r="F72" s="385"/>
      <c r="G72" s="386"/>
      <c r="H72" s="386"/>
      <c r="I72" s="386"/>
      <c r="J72" s="386"/>
      <c r="K72" s="386"/>
      <c r="L72" s="386"/>
      <c r="M72" s="386"/>
      <c r="N72" s="386"/>
      <c r="O72" s="386"/>
      <c r="P72" s="386"/>
      <c r="Q72" s="386"/>
      <c r="R72" s="386"/>
      <c r="S72" s="386"/>
      <c r="T72" s="386"/>
      <c r="U72" s="386"/>
      <c r="V72" s="386"/>
      <c r="W72" s="386"/>
      <c r="X72" s="386"/>
      <c r="Y72" s="386"/>
      <c r="Z72" s="386"/>
      <c r="AA72" s="386"/>
      <c r="AB72" s="386"/>
      <c r="AC72" s="386"/>
      <c r="AD72" s="386"/>
      <c r="AE72" s="386"/>
      <c r="AF72" s="386"/>
      <c r="AG72" s="386"/>
      <c r="AH72" s="386"/>
      <c r="AI72" s="386"/>
      <c r="AJ72" s="386"/>
      <c r="AK72" s="386"/>
      <c r="AL72" s="386"/>
      <c r="AM72" s="386"/>
      <c r="AN72" s="386"/>
      <c r="AO72" s="386"/>
      <c r="AP72" s="386"/>
      <c r="AQ72" s="386"/>
      <c r="AR72" s="386"/>
      <c r="AS72" s="386"/>
      <c r="AT72" s="386"/>
      <c r="AU72" s="386"/>
      <c r="AV72" s="386"/>
      <c r="AW72" s="386"/>
      <c r="AX72" s="386"/>
      <c r="AY72" s="386"/>
      <c r="AZ72" s="386"/>
      <c r="BA72" s="386"/>
      <c r="BB72" s="386"/>
      <c r="BC72" s="386"/>
      <c r="BD72" s="386"/>
      <c r="BE72" s="386"/>
      <c r="BF72" s="386"/>
      <c r="BG72" s="386"/>
      <c r="BH72" s="387"/>
      <c r="BI72" s="367"/>
      <c r="BJ72" s="87"/>
      <c r="BK72" s="86"/>
      <c r="BL72" s="85"/>
    </row>
    <row r="73" spans="1:64" s="84" customFormat="1" x14ac:dyDescent="1.4">
      <c r="A73" s="393"/>
      <c r="B73" s="92"/>
      <c r="C73" s="91"/>
      <c r="D73" s="90"/>
      <c r="E73" s="93"/>
      <c r="F73" s="385"/>
      <c r="G73" s="386"/>
      <c r="H73" s="386"/>
      <c r="I73" s="386"/>
      <c r="J73" s="386"/>
      <c r="K73" s="386"/>
      <c r="L73" s="386"/>
      <c r="M73" s="386"/>
      <c r="N73" s="386"/>
      <c r="O73" s="386"/>
      <c r="P73" s="386"/>
      <c r="Q73" s="386"/>
      <c r="R73" s="386"/>
      <c r="S73" s="386"/>
      <c r="T73" s="386"/>
      <c r="U73" s="386"/>
      <c r="V73" s="386"/>
      <c r="W73" s="386"/>
      <c r="X73" s="386"/>
      <c r="Y73" s="386"/>
      <c r="Z73" s="386"/>
      <c r="AA73" s="386"/>
      <c r="AB73" s="386"/>
      <c r="AC73" s="386"/>
      <c r="AD73" s="386"/>
      <c r="AE73" s="386"/>
      <c r="AF73" s="386"/>
      <c r="AG73" s="386"/>
      <c r="AH73" s="386"/>
      <c r="AI73" s="386"/>
      <c r="AJ73" s="386"/>
      <c r="AK73" s="386"/>
      <c r="AL73" s="386"/>
      <c r="AM73" s="386"/>
      <c r="AN73" s="386"/>
      <c r="AO73" s="386"/>
      <c r="AP73" s="386"/>
      <c r="AQ73" s="386"/>
      <c r="AR73" s="386"/>
      <c r="AS73" s="386"/>
      <c r="AT73" s="386"/>
      <c r="AU73" s="386"/>
      <c r="AV73" s="386"/>
      <c r="AW73" s="386"/>
      <c r="AX73" s="386"/>
      <c r="AY73" s="386"/>
      <c r="AZ73" s="386"/>
      <c r="BA73" s="386"/>
      <c r="BB73" s="386"/>
      <c r="BC73" s="386"/>
      <c r="BD73" s="386"/>
      <c r="BE73" s="386"/>
      <c r="BF73" s="386"/>
      <c r="BG73" s="386"/>
      <c r="BH73" s="387"/>
      <c r="BI73" s="367"/>
      <c r="BJ73" s="87"/>
      <c r="BK73" s="86"/>
      <c r="BL73" s="85"/>
    </row>
    <row r="74" spans="1:64" s="84" customFormat="1" x14ac:dyDescent="1.4">
      <c r="A74" s="393"/>
      <c r="B74" s="92"/>
      <c r="C74" s="91"/>
      <c r="D74" s="90"/>
      <c r="E74" s="93"/>
      <c r="F74" s="385"/>
      <c r="G74" s="386"/>
      <c r="H74" s="386"/>
      <c r="I74" s="386"/>
      <c r="J74" s="386"/>
      <c r="K74" s="386"/>
      <c r="L74" s="386"/>
      <c r="M74" s="386"/>
      <c r="N74" s="386"/>
      <c r="O74" s="386"/>
      <c r="P74" s="386"/>
      <c r="Q74" s="386"/>
      <c r="R74" s="386"/>
      <c r="S74" s="386"/>
      <c r="T74" s="386"/>
      <c r="U74" s="386"/>
      <c r="V74" s="386"/>
      <c r="W74" s="386"/>
      <c r="X74" s="386"/>
      <c r="Y74" s="386"/>
      <c r="Z74" s="386"/>
      <c r="AA74" s="386"/>
      <c r="AB74" s="386"/>
      <c r="AC74" s="386"/>
      <c r="AD74" s="386"/>
      <c r="AE74" s="386"/>
      <c r="AF74" s="386"/>
      <c r="AG74" s="386"/>
      <c r="AH74" s="386"/>
      <c r="AI74" s="386"/>
      <c r="AJ74" s="386"/>
      <c r="AK74" s="386"/>
      <c r="AL74" s="386"/>
      <c r="AM74" s="386"/>
      <c r="AN74" s="386"/>
      <c r="AO74" s="386"/>
      <c r="AP74" s="386"/>
      <c r="AQ74" s="386"/>
      <c r="AR74" s="386"/>
      <c r="AS74" s="386"/>
      <c r="AT74" s="386"/>
      <c r="AU74" s="386"/>
      <c r="AV74" s="386"/>
      <c r="AW74" s="386"/>
      <c r="AX74" s="386"/>
      <c r="AY74" s="386"/>
      <c r="AZ74" s="386"/>
      <c r="BA74" s="386"/>
      <c r="BB74" s="386"/>
      <c r="BC74" s="386"/>
      <c r="BD74" s="386"/>
      <c r="BE74" s="386"/>
      <c r="BF74" s="386"/>
      <c r="BG74" s="386"/>
      <c r="BH74" s="387"/>
      <c r="BI74" s="367"/>
      <c r="BJ74" s="87"/>
      <c r="BK74" s="86"/>
      <c r="BL74" s="85"/>
    </row>
    <row r="75" spans="1:64" s="84" customFormat="1" x14ac:dyDescent="1.4">
      <c r="A75" s="393"/>
      <c r="B75" s="92"/>
      <c r="C75" s="91"/>
      <c r="D75" s="90"/>
      <c r="E75" s="93"/>
      <c r="F75" s="385"/>
      <c r="G75" s="386"/>
      <c r="H75" s="386"/>
      <c r="I75" s="386"/>
      <c r="J75" s="386"/>
      <c r="K75" s="386"/>
      <c r="L75" s="386"/>
      <c r="M75" s="386"/>
      <c r="N75" s="386"/>
      <c r="O75" s="386"/>
      <c r="P75" s="386"/>
      <c r="Q75" s="386"/>
      <c r="R75" s="386"/>
      <c r="S75" s="386"/>
      <c r="T75" s="386"/>
      <c r="U75" s="386"/>
      <c r="V75" s="386"/>
      <c r="W75" s="386"/>
      <c r="X75" s="386"/>
      <c r="Y75" s="386"/>
      <c r="Z75" s="386"/>
      <c r="AA75" s="386"/>
      <c r="AB75" s="386"/>
      <c r="AC75" s="386"/>
      <c r="AD75" s="386"/>
      <c r="AE75" s="386"/>
      <c r="AF75" s="386"/>
      <c r="AG75" s="386"/>
      <c r="AH75" s="386"/>
      <c r="AI75" s="386"/>
      <c r="AJ75" s="386"/>
      <c r="AK75" s="386"/>
      <c r="AL75" s="386"/>
      <c r="AM75" s="386"/>
      <c r="AN75" s="386"/>
      <c r="AO75" s="386"/>
      <c r="AP75" s="386"/>
      <c r="AQ75" s="386"/>
      <c r="AR75" s="386"/>
      <c r="AS75" s="386"/>
      <c r="AT75" s="386"/>
      <c r="AU75" s="386"/>
      <c r="AV75" s="386"/>
      <c r="AW75" s="386"/>
      <c r="AX75" s="386"/>
      <c r="AY75" s="386"/>
      <c r="AZ75" s="386"/>
      <c r="BA75" s="386"/>
      <c r="BB75" s="386"/>
      <c r="BC75" s="386"/>
      <c r="BD75" s="386"/>
      <c r="BE75" s="386"/>
      <c r="BF75" s="386"/>
      <c r="BG75" s="386"/>
      <c r="BH75" s="387"/>
      <c r="BI75" s="367"/>
      <c r="BJ75" s="87"/>
      <c r="BK75" s="86"/>
      <c r="BL75" s="85"/>
    </row>
    <row r="76" spans="1:64" s="84" customFormat="1" x14ac:dyDescent="1.4">
      <c r="A76" s="393"/>
      <c r="B76" s="92"/>
      <c r="C76" s="91"/>
      <c r="D76" s="90"/>
      <c r="E76" s="93"/>
      <c r="F76" s="385"/>
      <c r="G76" s="386"/>
      <c r="H76" s="386"/>
      <c r="I76" s="386"/>
      <c r="J76" s="386"/>
      <c r="K76" s="386"/>
      <c r="L76" s="386"/>
      <c r="M76" s="386"/>
      <c r="N76" s="386"/>
      <c r="O76" s="386"/>
      <c r="P76" s="386"/>
      <c r="Q76" s="386"/>
      <c r="R76" s="386"/>
      <c r="S76" s="386"/>
      <c r="T76" s="386"/>
      <c r="U76" s="386"/>
      <c r="V76" s="386"/>
      <c r="W76" s="386"/>
      <c r="X76" s="386"/>
      <c r="Y76" s="386"/>
      <c r="Z76" s="386"/>
      <c r="AA76" s="386"/>
      <c r="AB76" s="386"/>
      <c r="AC76" s="386"/>
      <c r="AD76" s="386"/>
      <c r="AE76" s="386"/>
      <c r="AF76" s="386"/>
      <c r="AG76" s="386"/>
      <c r="AH76" s="386"/>
      <c r="AI76" s="386"/>
      <c r="AJ76" s="386"/>
      <c r="AK76" s="386"/>
      <c r="AL76" s="386"/>
      <c r="AM76" s="386"/>
      <c r="AN76" s="386"/>
      <c r="AO76" s="386"/>
      <c r="AP76" s="386"/>
      <c r="AQ76" s="386"/>
      <c r="AR76" s="386"/>
      <c r="AS76" s="386"/>
      <c r="AT76" s="386"/>
      <c r="AU76" s="386"/>
      <c r="AV76" s="386"/>
      <c r="AW76" s="386"/>
      <c r="AX76" s="386"/>
      <c r="AY76" s="386"/>
      <c r="AZ76" s="386"/>
      <c r="BA76" s="386"/>
      <c r="BB76" s="386"/>
      <c r="BC76" s="386"/>
      <c r="BD76" s="386"/>
      <c r="BE76" s="386"/>
      <c r="BF76" s="386"/>
      <c r="BG76" s="386"/>
      <c r="BH76" s="387"/>
      <c r="BI76" s="367"/>
      <c r="BJ76" s="87"/>
      <c r="BK76" s="86"/>
      <c r="BL76" s="85"/>
    </row>
    <row r="77" spans="1:64" s="84" customFormat="1" x14ac:dyDescent="1.4">
      <c r="A77" s="393"/>
      <c r="B77" s="92"/>
      <c r="C77" s="91"/>
      <c r="D77" s="90"/>
      <c r="E77" s="93"/>
      <c r="F77" s="385"/>
      <c r="G77" s="386"/>
      <c r="H77" s="386"/>
      <c r="I77" s="386"/>
      <c r="J77" s="386"/>
      <c r="K77" s="386"/>
      <c r="L77" s="386"/>
      <c r="M77" s="386"/>
      <c r="N77" s="386"/>
      <c r="O77" s="386"/>
      <c r="P77" s="386"/>
      <c r="Q77" s="386"/>
      <c r="R77" s="386"/>
      <c r="S77" s="386"/>
      <c r="T77" s="386"/>
      <c r="U77" s="386"/>
      <c r="V77" s="386"/>
      <c r="W77" s="386"/>
      <c r="X77" s="386"/>
      <c r="Y77" s="386"/>
      <c r="Z77" s="386"/>
      <c r="AA77" s="386"/>
      <c r="AB77" s="386"/>
      <c r="AC77" s="386"/>
      <c r="AD77" s="386"/>
      <c r="AE77" s="386"/>
      <c r="AF77" s="386"/>
      <c r="AG77" s="386"/>
      <c r="AH77" s="386"/>
      <c r="AI77" s="386"/>
      <c r="AJ77" s="386"/>
      <c r="AK77" s="386"/>
      <c r="AL77" s="386"/>
      <c r="AM77" s="386"/>
      <c r="AN77" s="386"/>
      <c r="AO77" s="386"/>
      <c r="AP77" s="386"/>
      <c r="AQ77" s="386"/>
      <c r="AR77" s="386"/>
      <c r="AS77" s="386"/>
      <c r="AT77" s="386"/>
      <c r="AU77" s="386"/>
      <c r="AV77" s="386"/>
      <c r="AW77" s="386"/>
      <c r="AX77" s="386"/>
      <c r="AY77" s="386"/>
      <c r="AZ77" s="386"/>
      <c r="BA77" s="386"/>
      <c r="BB77" s="386"/>
      <c r="BC77" s="386"/>
      <c r="BD77" s="386"/>
      <c r="BE77" s="386"/>
      <c r="BF77" s="386"/>
      <c r="BG77" s="386"/>
      <c r="BH77" s="387"/>
      <c r="BI77" s="367"/>
      <c r="BJ77" s="87"/>
      <c r="BK77" s="86"/>
      <c r="BL77" s="85"/>
    </row>
    <row r="78" spans="1:64" s="84" customFormat="1" x14ac:dyDescent="1.4">
      <c r="A78" s="393"/>
      <c r="B78" s="92"/>
      <c r="C78" s="91"/>
      <c r="D78" s="90"/>
      <c r="E78" s="93"/>
      <c r="F78" s="385"/>
      <c r="G78" s="386"/>
      <c r="H78" s="386"/>
      <c r="I78" s="386"/>
      <c r="J78" s="386"/>
      <c r="K78" s="386"/>
      <c r="L78" s="386"/>
      <c r="M78" s="386"/>
      <c r="N78" s="386"/>
      <c r="O78" s="386"/>
      <c r="P78" s="386"/>
      <c r="Q78" s="386"/>
      <c r="R78" s="386"/>
      <c r="S78" s="386"/>
      <c r="T78" s="386"/>
      <c r="U78" s="386"/>
      <c r="V78" s="386"/>
      <c r="W78" s="386"/>
      <c r="X78" s="386"/>
      <c r="Y78" s="386"/>
      <c r="Z78" s="386"/>
      <c r="AA78" s="386"/>
      <c r="AB78" s="386"/>
      <c r="AC78" s="386"/>
      <c r="AD78" s="386"/>
      <c r="AE78" s="386"/>
      <c r="AF78" s="386"/>
      <c r="AG78" s="386"/>
      <c r="AH78" s="386"/>
      <c r="AI78" s="386"/>
      <c r="AJ78" s="386"/>
      <c r="AK78" s="386"/>
      <c r="AL78" s="386"/>
      <c r="AM78" s="386"/>
      <c r="AN78" s="386"/>
      <c r="AO78" s="386"/>
      <c r="AP78" s="386"/>
      <c r="AQ78" s="386"/>
      <c r="AR78" s="386"/>
      <c r="AS78" s="386"/>
      <c r="AT78" s="386"/>
      <c r="AU78" s="386"/>
      <c r="AV78" s="386"/>
      <c r="AW78" s="386"/>
      <c r="AX78" s="386"/>
      <c r="AY78" s="386"/>
      <c r="AZ78" s="386"/>
      <c r="BA78" s="386"/>
      <c r="BB78" s="386"/>
      <c r="BC78" s="386"/>
      <c r="BD78" s="386"/>
      <c r="BE78" s="386"/>
      <c r="BF78" s="386"/>
      <c r="BG78" s="386"/>
      <c r="BH78" s="387"/>
      <c r="BI78" s="367"/>
      <c r="BJ78" s="87"/>
      <c r="BK78" s="86"/>
      <c r="BL78" s="85"/>
    </row>
    <row r="79" spans="1:64" s="84" customFormat="1" x14ac:dyDescent="1.4">
      <c r="A79" s="393"/>
      <c r="B79" s="92"/>
      <c r="C79" s="91"/>
      <c r="D79" s="90"/>
      <c r="E79" s="93"/>
      <c r="F79" s="385"/>
      <c r="G79" s="386"/>
      <c r="H79" s="386"/>
      <c r="I79" s="386"/>
      <c r="J79" s="386"/>
      <c r="K79" s="386"/>
      <c r="L79" s="386"/>
      <c r="M79" s="386"/>
      <c r="N79" s="386"/>
      <c r="O79" s="386"/>
      <c r="P79" s="386"/>
      <c r="Q79" s="386"/>
      <c r="R79" s="386"/>
      <c r="S79" s="386"/>
      <c r="T79" s="386"/>
      <c r="U79" s="386"/>
      <c r="V79" s="386"/>
      <c r="W79" s="386"/>
      <c r="X79" s="386"/>
      <c r="Y79" s="386"/>
      <c r="Z79" s="386"/>
      <c r="AA79" s="386"/>
      <c r="AB79" s="386"/>
      <c r="AC79" s="386"/>
      <c r="AD79" s="386"/>
      <c r="AE79" s="386"/>
      <c r="AF79" s="386"/>
      <c r="AG79" s="386"/>
      <c r="AH79" s="386"/>
      <c r="AI79" s="386"/>
      <c r="AJ79" s="386"/>
      <c r="AK79" s="386"/>
      <c r="AL79" s="386"/>
      <c r="AM79" s="386"/>
      <c r="AN79" s="386"/>
      <c r="AO79" s="386"/>
      <c r="AP79" s="386"/>
      <c r="AQ79" s="386"/>
      <c r="AR79" s="386"/>
      <c r="AS79" s="386"/>
      <c r="AT79" s="386"/>
      <c r="AU79" s="386"/>
      <c r="AV79" s="386"/>
      <c r="AW79" s="386"/>
      <c r="AX79" s="386"/>
      <c r="AY79" s="386"/>
      <c r="AZ79" s="386"/>
      <c r="BA79" s="386"/>
      <c r="BB79" s="386"/>
      <c r="BC79" s="386"/>
      <c r="BD79" s="386"/>
      <c r="BE79" s="386"/>
      <c r="BF79" s="386"/>
      <c r="BG79" s="386"/>
      <c r="BH79" s="387"/>
      <c r="BI79" s="367"/>
      <c r="BJ79" s="87"/>
      <c r="BK79" s="86"/>
      <c r="BL79" s="85"/>
    </row>
    <row r="80" spans="1:64" s="84" customFormat="1" x14ac:dyDescent="1.4">
      <c r="A80" s="393"/>
      <c r="B80" s="92"/>
      <c r="C80" s="91"/>
      <c r="D80" s="90"/>
      <c r="E80" s="93"/>
      <c r="F80" s="385"/>
      <c r="G80" s="386"/>
      <c r="H80" s="386"/>
      <c r="I80" s="386"/>
      <c r="J80" s="386"/>
      <c r="K80" s="386"/>
      <c r="L80" s="386"/>
      <c r="M80" s="386"/>
      <c r="N80" s="386"/>
      <c r="O80" s="386"/>
      <c r="P80" s="386"/>
      <c r="Q80" s="386"/>
      <c r="R80" s="386"/>
      <c r="S80" s="386"/>
      <c r="T80" s="386"/>
      <c r="U80" s="386"/>
      <c r="V80" s="386"/>
      <c r="W80" s="386"/>
      <c r="X80" s="386"/>
      <c r="Y80" s="386"/>
      <c r="Z80" s="386"/>
      <c r="AA80" s="386"/>
      <c r="AB80" s="386"/>
      <c r="AC80" s="386"/>
      <c r="AD80" s="386"/>
      <c r="AE80" s="386"/>
      <c r="AF80" s="386"/>
      <c r="AG80" s="386"/>
      <c r="AH80" s="386"/>
      <c r="AI80" s="386"/>
      <c r="AJ80" s="386"/>
      <c r="AK80" s="386"/>
      <c r="AL80" s="386"/>
      <c r="AM80" s="386"/>
      <c r="AN80" s="386"/>
      <c r="AO80" s="386"/>
      <c r="AP80" s="386"/>
      <c r="AQ80" s="386"/>
      <c r="AR80" s="386"/>
      <c r="AS80" s="386"/>
      <c r="AT80" s="386"/>
      <c r="AU80" s="386"/>
      <c r="AV80" s="386"/>
      <c r="AW80" s="386"/>
      <c r="AX80" s="386"/>
      <c r="AY80" s="386"/>
      <c r="AZ80" s="386"/>
      <c r="BA80" s="386"/>
      <c r="BB80" s="386"/>
      <c r="BC80" s="386"/>
      <c r="BD80" s="386"/>
      <c r="BE80" s="386"/>
      <c r="BF80" s="386"/>
      <c r="BG80" s="386"/>
      <c r="BH80" s="387"/>
      <c r="BI80" s="367"/>
      <c r="BJ80" s="87"/>
      <c r="BK80" s="86"/>
      <c r="BL80" s="85"/>
    </row>
    <row r="81" spans="1:66" s="84" customFormat="1" x14ac:dyDescent="1.4">
      <c r="A81" s="393"/>
      <c r="B81" s="92"/>
      <c r="C81" s="91"/>
      <c r="D81" s="90"/>
      <c r="E81" s="93"/>
      <c r="F81" s="385"/>
      <c r="G81" s="386"/>
      <c r="H81" s="386"/>
      <c r="I81" s="386"/>
      <c r="J81" s="386"/>
      <c r="K81" s="386"/>
      <c r="L81" s="386"/>
      <c r="M81" s="386"/>
      <c r="N81" s="386"/>
      <c r="O81" s="386"/>
      <c r="P81" s="386"/>
      <c r="Q81" s="386"/>
      <c r="R81" s="386"/>
      <c r="S81" s="386"/>
      <c r="T81" s="386"/>
      <c r="U81" s="386"/>
      <c r="V81" s="386"/>
      <c r="W81" s="386"/>
      <c r="X81" s="386"/>
      <c r="Y81" s="386"/>
      <c r="Z81" s="386"/>
      <c r="AA81" s="386"/>
      <c r="AB81" s="386"/>
      <c r="AC81" s="386"/>
      <c r="AD81" s="386"/>
      <c r="AE81" s="386"/>
      <c r="AF81" s="386"/>
      <c r="AG81" s="386"/>
      <c r="AH81" s="386"/>
      <c r="AI81" s="386"/>
      <c r="AJ81" s="386"/>
      <c r="AK81" s="386"/>
      <c r="AL81" s="386"/>
      <c r="AM81" s="386"/>
      <c r="AN81" s="386"/>
      <c r="AO81" s="386"/>
      <c r="AP81" s="386"/>
      <c r="AQ81" s="386"/>
      <c r="AR81" s="386"/>
      <c r="AS81" s="386"/>
      <c r="AT81" s="386"/>
      <c r="AU81" s="386"/>
      <c r="AV81" s="386"/>
      <c r="AW81" s="386"/>
      <c r="AX81" s="386"/>
      <c r="AY81" s="386"/>
      <c r="AZ81" s="386"/>
      <c r="BA81" s="386"/>
      <c r="BB81" s="386"/>
      <c r="BC81" s="386"/>
      <c r="BD81" s="386"/>
      <c r="BE81" s="386"/>
      <c r="BF81" s="386"/>
      <c r="BG81" s="386"/>
      <c r="BH81" s="387"/>
      <c r="BI81" s="367"/>
      <c r="BJ81" s="87"/>
      <c r="BK81" s="86"/>
      <c r="BL81" s="85"/>
    </row>
    <row r="82" spans="1:66" s="84" customFormat="1" x14ac:dyDescent="1.4">
      <c r="A82" s="393"/>
      <c r="B82" s="92"/>
      <c r="C82" s="91"/>
      <c r="D82" s="90"/>
      <c r="E82" s="93"/>
      <c r="F82" s="385"/>
      <c r="G82" s="386"/>
      <c r="H82" s="386"/>
      <c r="I82" s="386"/>
      <c r="J82" s="386"/>
      <c r="K82" s="386"/>
      <c r="L82" s="386"/>
      <c r="M82" s="386"/>
      <c r="N82" s="386"/>
      <c r="O82" s="386"/>
      <c r="P82" s="386"/>
      <c r="Q82" s="386"/>
      <c r="R82" s="386"/>
      <c r="S82" s="386"/>
      <c r="T82" s="386"/>
      <c r="U82" s="386"/>
      <c r="V82" s="386"/>
      <c r="W82" s="386"/>
      <c r="X82" s="386"/>
      <c r="Y82" s="386"/>
      <c r="Z82" s="386"/>
      <c r="AA82" s="386"/>
      <c r="AB82" s="386"/>
      <c r="AC82" s="386"/>
      <c r="AD82" s="386"/>
      <c r="AE82" s="386"/>
      <c r="AF82" s="386"/>
      <c r="AG82" s="386"/>
      <c r="AH82" s="386"/>
      <c r="AI82" s="386"/>
      <c r="AJ82" s="386"/>
      <c r="AK82" s="386"/>
      <c r="AL82" s="386"/>
      <c r="AM82" s="386"/>
      <c r="AN82" s="386"/>
      <c r="AO82" s="386"/>
      <c r="AP82" s="386"/>
      <c r="AQ82" s="386"/>
      <c r="AR82" s="386"/>
      <c r="AS82" s="386"/>
      <c r="AT82" s="386"/>
      <c r="AU82" s="386"/>
      <c r="AV82" s="386"/>
      <c r="AW82" s="386"/>
      <c r="AX82" s="386"/>
      <c r="AY82" s="386"/>
      <c r="AZ82" s="386"/>
      <c r="BA82" s="386"/>
      <c r="BB82" s="386"/>
      <c r="BC82" s="386"/>
      <c r="BD82" s="386"/>
      <c r="BE82" s="386"/>
      <c r="BF82" s="386"/>
      <c r="BG82" s="386"/>
      <c r="BH82" s="387"/>
      <c r="BI82" s="367"/>
      <c r="BJ82" s="87"/>
      <c r="BK82" s="86"/>
      <c r="BL82" s="85"/>
    </row>
    <row r="83" spans="1:66" s="84" customFormat="1" x14ac:dyDescent="1.4">
      <c r="A83" s="393"/>
      <c r="B83" s="92"/>
      <c r="C83" s="91"/>
      <c r="D83" s="90"/>
      <c r="E83" s="93"/>
      <c r="F83" s="385"/>
      <c r="G83" s="386"/>
      <c r="H83" s="386"/>
      <c r="I83" s="386"/>
      <c r="J83" s="386"/>
      <c r="K83" s="386"/>
      <c r="L83" s="386"/>
      <c r="M83" s="386"/>
      <c r="N83" s="386"/>
      <c r="O83" s="386"/>
      <c r="P83" s="386"/>
      <c r="Q83" s="386"/>
      <c r="R83" s="386"/>
      <c r="S83" s="386"/>
      <c r="T83" s="386"/>
      <c r="U83" s="386"/>
      <c r="V83" s="386"/>
      <c r="W83" s="386"/>
      <c r="X83" s="386"/>
      <c r="Y83" s="386"/>
      <c r="Z83" s="386"/>
      <c r="AA83" s="386"/>
      <c r="AB83" s="386"/>
      <c r="AC83" s="386"/>
      <c r="AD83" s="386"/>
      <c r="AE83" s="386"/>
      <c r="AF83" s="386"/>
      <c r="AG83" s="386"/>
      <c r="AH83" s="386"/>
      <c r="AI83" s="386"/>
      <c r="AJ83" s="386"/>
      <c r="AK83" s="386"/>
      <c r="AL83" s="386"/>
      <c r="AM83" s="386"/>
      <c r="AN83" s="386"/>
      <c r="AO83" s="386"/>
      <c r="AP83" s="386"/>
      <c r="AQ83" s="386"/>
      <c r="AR83" s="386"/>
      <c r="AS83" s="386"/>
      <c r="AT83" s="386"/>
      <c r="AU83" s="386"/>
      <c r="AV83" s="386"/>
      <c r="AW83" s="386"/>
      <c r="AX83" s="386"/>
      <c r="AY83" s="386"/>
      <c r="AZ83" s="386"/>
      <c r="BA83" s="386"/>
      <c r="BB83" s="386"/>
      <c r="BC83" s="386"/>
      <c r="BD83" s="386"/>
      <c r="BE83" s="386"/>
      <c r="BF83" s="386"/>
      <c r="BG83" s="386"/>
      <c r="BH83" s="387"/>
      <c r="BI83" s="367"/>
      <c r="BJ83" s="87"/>
      <c r="BK83" s="86"/>
      <c r="BL83" s="85"/>
    </row>
    <row r="84" spans="1:66" s="88" customFormat="1" x14ac:dyDescent="1.4">
      <c r="A84" s="393"/>
      <c r="B84" s="92"/>
      <c r="C84" s="91"/>
      <c r="D84" s="90"/>
      <c r="E84" s="93"/>
      <c r="F84" s="385"/>
      <c r="G84" s="386"/>
      <c r="H84" s="386"/>
      <c r="I84" s="386"/>
      <c r="J84" s="386"/>
      <c r="K84" s="386"/>
      <c r="L84" s="386"/>
      <c r="M84" s="386"/>
      <c r="N84" s="386"/>
      <c r="O84" s="386"/>
      <c r="P84" s="386"/>
      <c r="Q84" s="386"/>
      <c r="R84" s="386"/>
      <c r="S84" s="386"/>
      <c r="T84" s="386"/>
      <c r="U84" s="386"/>
      <c r="V84" s="386"/>
      <c r="W84" s="386"/>
      <c r="X84" s="386"/>
      <c r="Y84" s="386"/>
      <c r="Z84" s="386"/>
      <c r="AA84" s="386"/>
      <c r="AB84" s="386"/>
      <c r="AC84" s="386"/>
      <c r="AD84" s="386"/>
      <c r="AE84" s="386"/>
      <c r="AF84" s="386"/>
      <c r="AG84" s="386"/>
      <c r="AH84" s="386"/>
      <c r="AI84" s="386"/>
      <c r="AJ84" s="386"/>
      <c r="AK84" s="386"/>
      <c r="AL84" s="386"/>
      <c r="AM84" s="386"/>
      <c r="AN84" s="386"/>
      <c r="AO84" s="386"/>
      <c r="AP84" s="386"/>
      <c r="AQ84" s="386"/>
      <c r="AR84" s="386"/>
      <c r="AS84" s="386"/>
      <c r="AT84" s="386"/>
      <c r="AU84" s="386"/>
      <c r="AV84" s="386"/>
      <c r="AW84" s="386"/>
      <c r="AX84" s="386"/>
      <c r="AY84" s="386"/>
      <c r="AZ84" s="386"/>
      <c r="BA84" s="386"/>
      <c r="BB84" s="386"/>
      <c r="BC84" s="386"/>
      <c r="BD84" s="386"/>
      <c r="BE84" s="386"/>
      <c r="BF84" s="386"/>
      <c r="BG84" s="386"/>
      <c r="BH84" s="387"/>
      <c r="BI84" s="367"/>
      <c r="BJ84" s="87"/>
      <c r="BK84" s="86"/>
      <c r="BL84" s="85"/>
      <c r="BM84" s="84"/>
      <c r="BN84" s="84"/>
    </row>
    <row r="85" spans="1:66" s="88" customFormat="1" x14ac:dyDescent="1.4">
      <c r="A85" s="393"/>
      <c r="B85" s="92"/>
      <c r="C85" s="91"/>
      <c r="D85" s="90"/>
      <c r="E85" s="93"/>
      <c r="F85" s="385"/>
      <c r="G85" s="386"/>
      <c r="H85" s="386"/>
      <c r="I85" s="386"/>
      <c r="J85" s="386"/>
      <c r="K85" s="386"/>
      <c r="L85" s="386"/>
      <c r="M85" s="386"/>
      <c r="N85" s="386"/>
      <c r="O85" s="386"/>
      <c r="P85" s="386"/>
      <c r="Q85" s="386"/>
      <c r="R85" s="386"/>
      <c r="S85" s="386"/>
      <c r="T85" s="386"/>
      <c r="U85" s="386"/>
      <c r="V85" s="386"/>
      <c r="W85" s="386"/>
      <c r="X85" s="386"/>
      <c r="Y85" s="386"/>
      <c r="Z85" s="386"/>
      <c r="AA85" s="386"/>
      <c r="AB85" s="386"/>
      <c r="AC85" s="386"/>
      <c r="AD85" s="386"/>
      <c r="AE85" s="386"/>
      <c r="AF85" s="386"/>
      <c r="AG85" s="386"/>
      <c r="AH85" s="386"/>
      <c r="AI85" s="386"/>
      <c r="AJ85" s="386"/>
      <c r="AK85" s="386"/>
      <c r="AL85" s="386"/>
      <c r="AM85" s="386"/>
      <c r="AN85" s="386"/>
      <c r="AO85" s="386"/>
      <c r="AP85" s="386"/>
      <c r="AQ85" s="386"/>
      <c r="AR85" s="386"/>
      <c r="AS85" s="386"/>
      <c r="AT85" s="386"/>
      <c r="AU85" s="386"/>
      <c r="AV85" s="386"/>
      <c r="AW85" s="386"/>
      <c r="AX85" s="386"/>
      <c r="AY85" s="386"/>
      <c r="AZ85" s="386"/>
      <c r="BA85" s="386"/>
      <c r="BB85" s="386"/>
      <c r="BC85" s="386"/>
      <c r="BD85" s="386"/>
      <c r="BE85" s="386"/>
      <c r="BF85" s="386"/>
      <c r="BG85" s="386"/>
      <c r="BH85" s="387"/>
      <c r="BI85" s="367"/>
      <c r="BJ85" s="87"/>
      <c r="BK85" s="86"/>
      <c r="BL85" s="85"/>
      <c r="BM85" s="84"/>
      <c r="BN85" s="84"/>
    </row>
    <row r="86" spans="1:66" s="88" customFormat="1" x14ac:dyDescent="1.4">
      <c r="A86" s="393"/>
      <c r="B86" s="92"/>
      <c r="C86" s="91"/>
      <c r="D86" s="90"/>
      <c r="E86" s="93"/>
      <c r="F86" s="385"/>
      <c r="G86" s="386"/>
      <c r="H86" s="386"/>
      <c r="I86" s="386"/>
      <c r="J86" s="386"/>
      <c r="K86" s="386"/>
      <c r="L86" s="386"/>
      <c r="M86" s="386"/>
      <c r="N86" s="386"/>
      <c r="O86" s="386"/>
      <c r="P86" s="386"/>
      <c r="Q86" s="386"/>
      <c r="R86" s="386"/>
      <c r="S86" s="386"/>
      <c r="T86" s="386"/>
      <c r="U86" s="386"/>
      <c r="V86" s="386"/>
      <c r="W86" s="386"/>
      <c r="X86" s="386"/>
      <c r="Y86" s="386"/>
      <c r="Z86" s="386"/>
      <c r="AA86" s="386"/>
      <c r="AB86" s="386"/>
      <c r="AC86" s="386"/>
      <c r="AD86" s="386"/>
      <c r="AE86" s="386"/>
      <c r="AF86" s="386"/>
      <c r="AG86" s="386"/>
      <c r="AH86" s="386"/>
      <c r="AI86" s="386"/>
      <c r="AJ86" s="386"/>
      <c r="AK86" s="386"/>
      <c r="AL86" s="386"/>
      <c r="AM86" s="386"/>
      <c r="AN86" s="386"/>
      <c r="AO86" s="386"/>
      <c r="AP86" s="386"/>
      <c r="AQ86" s="386"/>
      <c r="AR86" s="386"/>
      <c r="AS86" s="386"/>
      <c r="AT86" s="386"/>
      <c r="AU86" s="386"/>
      <c r="AV86" s="386"/>
      <c r="AW86" s="386"/>
      <c r="AX86" s="386"/>
      <c r="AY86" s="386"/>
      <c r="AZ86" s="386"/>
      <c r="BA86" s="386"/>
      <c r="BB86" s="386"/>
      <c r="BC86" s="386"/>
      <c r="BD86" s="386"/>
      <c r="BE86" s="386"/>
      <c r="BF86" s="386"/>
      <c r="BG86" s="386"/>
      <c r="BH86" s="387"/>
      <c r="BI86" s="367"/>
      <c r="BJ86" s="87"/>
      <c r="BK86" s="86"/>
      <c r="BL86" s="85"/>
      <c r="BM86" s="84"/>
      <c r="BN86" s="84"/>
    </row>
    <row r="87" spans="1:66" s="88" customFormat="1" x14ac:dyDescent="1.4">
      <c r="A87" s="393"/>
      <c r="B87" s="92"/>
      <c r="C87" s="91"/>
      <c r="D87" s="90"/>
      <c r="E87" s="93"/>
      <c r="F87" s="385"/>
      <c r="G87" s="386"/>
      <c r="H87" s="386"/>
      <c r="I87" s="386"/>
      <c r="J87" s="386"/>
      <c r="K87" s="386"/>
      <c r="L87" s="386"/>
      <c r="M87" s="386"/>
      <c r="N87" s="386"/>
      <c r="O87" s="386"/>
      <c r="P87" s="386"/>
      <c r="Q87" s="386"/>
      <c r="R87" s="386"/>
      <c r="S87" s="386"/>
      <c r="T87" s="386"/>
      <c r="U87" s="386"/>
      <c r="V87" s="386"/>
      <c r="W87" s="386"/>
      <c r="X87" s="386"/>
      <c r="Y87" s="386"/>
      <c r="Z87" s="386"/>
      <c r="AA87" s="386"/>
      <c r="AB87" s="386"/>
      <c r="AC87" s="386"/>
      <c r="AD87" s="386"/>
      <c r="AE87" s="386"/>
      <c r="AF87" s="386"/>
      <c r="AG87" s="386"/>
      <c r="AH87" s="386"/>
      <c r="AI87" s="386"/>
      <c r="AJ87" s="386"/>
      <c r="AK87" s="386"/>
      <c r="AL87" s="386"/>
      <c r="AM87" s="386"/>
      <c r="AN87" s="386"/>
      <c r="AO87" s="386"/>
      <c r="AP87" s="386"/>
      <c r="AQ87" s="386"/>
      <c r="AR87" s="386"/>
      <c r="AS87" s="386"/>
      <c r="AT87" s="386"/>
      <c r="AU87" s="386"/>
      <c r="AV87" s="386"/>
      <c r="AW87" s="386"/>
      <c r="AX87" s="386"/>
      <c r="AY87" s="386"/>
      <c r="AZ87" s="386"/>
      <c r="BA87" s="386"/>
      <c r="BB87" s="386"/>
      <c r="BC87" s="386"/>
      <c r="BD87" s="386"/>
      <c r="BE87" s="386"/>
      <c r="BF87" s="386"/>
      <c r="BG87" s="386"/>
      <c r="BH87" s="387"/>
      <c r="BI87" s="367"/>
      <c r="BJ87" s="87"/>
      <c r="BK87" s="86"/>
      <c r="BL87" s="85"/>
      <c r="BM87" s="84"/>
      <c r="BN87" s="84"/>
    </row>
    <row r="88" spans="1:66" s="88" customFormat="1" x14ac:dyDescent="1.4">
      <c r="A88" s="393"/>
      <c r="B88" s="92"/>
      <c r="C88" s="91"/>
      <c r="D88" s="90"/>
      <c r="E88" s="93"/>
      <c r="F88" s="385"/>
      <c r="G88" s="386"/>
      <c r="H88" s="386"/>
      <c r="I88" s="386"/>
      <c r="J88" s="386"/>
      <c r="K88" s="386"/>
      <c r="L88" s="386"/>
      <c r="M88" s="386"/>
      <c r="N88" s="386"/>
      <c r="O88" s="386"/>
      <c r="P88" s="386"/>
      <c r="Q88" s="386"/>
      <c r="R88" s="386"/>
      <c r="S88" s="386"/>
      <c r="T88" s="386"/>
      <c r="U88" s="386"/>
      <c r="V88" s="386"/>
      <c r="W88" s="386"/>
      <c r="X88" s="386"/>
      <c r="Y88" s="386"/>
      <c r="Z88" s="386"/>
      <c r="AA88" s="386"/>
      <c r="AB88" s="386"/>
      <c r="AC88" s="386"/>
      <c r="AD88" s="386"/>
      <c r="AE88" s="386"/>
      <c r="AF88" s="386"/>
      <c r="AG88" s="386"/>
      <c r="AH88" s="386"/>
      <c r="AI88" s="386"/>
      <c r="AJ88" s="386"/>
      <c r="AK88" s="386"/>
      <c r="AL88" s="386"/>
      <c r="AM88" s="386"/>
      <c r="AN88" s="386"/>
      <c r="AO88" s="386"/>
      <c r="AP88" s="386"/>
      <c r="AQ88" s="386"/>
      <c r="AR88" s="386"/>
      <c r="AS88" s="386"/>
      <c r="AT88" s="386"/>
      <c r="AU88" s="386"/>
      <c r="AV88" s="386"/>
      <c r="AW88" s="386"/>
      <c r="AX88" s="386"/>
      <c r="AY88" s="386"/>
      <c r="AZ88" s="386"/>
      <c r="BA88" s="386"/>
      <c r="BB88" s="386"/>
      <c r="BC88" s="386"/>
      <c r="BD88" s="386"/>
      <c r="BE88" s="386"/>
      <c r="BF88" s="386"/>
      <c r="BG88" s="386"/>
      <c r="BH88" s="387"/>
      <c r="BI88" s="367"/>
      <c r="BJ88" s="87"/>
      <c r="BK88" s="86"/>
      <c r="BL88" s="85"/>
      <c r="BM88" s="84"/>
      <c r="BN88" s="84"/>
    </row>
    <row r="89" spans="1:66" s="88" customFormat="1" x14ac:dyDescent="1.4">
      <c r="A89" s="393"/>
      <c r="B89" s="92"/>
      <c r="C89" s="91"/>
      <c r="D89" s="90"/>
      <c r="E89" s="93"/>
      <c r="F89" s="385"/>
      <c r="G89" s="386"/>
      <c r="H89" s="386"/>
      <c r="I89" s="386"/>
      <c r="J89" s="386"/>
      <c r="K89" s="386"/>
      <c r="L89" s="386"/>
      <c r="M89" s="386"/>
      <c r="N89" s="386"/>
      <c r="O89" s="386"/>
      <c r="P89" s="386"/>
      <c r="Q89" s="386"/>
      <c r="R89" s="386"/>
      <c r="S89" s="386"/>
      <c r="T89" s="386"/>
      <c r="U89" s="386"/>
      <c r="V89" s="386"/>
      <c r="W89" s="386"/>
      <c r="X89" s="386"/>
      <c r="Y89" s="386"/>
      <c r="Z89" s="386"/>
      <c r="AA89" s="386"/>
      <c r="AB89" s="386"/>
      <c r="AC89" s="386"/>
      <c r="AD89" s="386"/>
      <c r="AE89" s="386"/>
      <c r="AF89" s="386"/>
      <c r="AG89" s="386"/>
      <c r="AH89" s="386"/>
      <c r="AI89" s="386"/>
      <c r="AJ89" s="386"/>
      <c r="AK89" s="386"/>
      <c r="AL89" s="386"/>
      <c r="AM89" s="386"/>
      <c r="AN89" s="386"/>
      <c r="AO89" s="386"/>
      <c r="AP89" s="386"/>
      <c r="AQ89" s="386"/>
      <c r="AR89" s="386"/>
      <c r="AS89" s="386"/>
      <c r="AT89" s="386"/>
      <c r="AU89" s="386"/>
      <c r="AV89" s="386"/>
      <c r="AW89" s="386"/>
      <c r="AX89" s="386"/>
      <c r="AY89" s="386"/>
      <c r="AZ89" s="386"/>
      <c r="BA89" s="386"/>
      <c r="BB89" s="386"/>
      <c r="BC89" s="386"/>
      <c r="BD89" s="386"/>
      <c r="BE89" s="386"/>
      <c r="BF89" s="386"/>
      <c r="BG89" s="386"/>
      <c r="BH89" s="387"/>
      <c r="BI89" s="367"/>
      <c r="BJ89" s="87"/>
      <c r="BK89" s="86"/>
      <c r="BL89" s="85"/>
      <c r="BM89" s="84"/>
      <c r="BN89" s="84"/>
    </row>
    <row r="90" spans="1:66" s="88" customFormat="1" x14ac:dyDescent="1.4">
      <c r="A90" s="393"/>
      <c r="B90" s="92"/>
      <c r="C90" s="91"/>
      <c r="D90" s="90"/>
      <c r="E90" s="93"/>
      <c r="F90" s="385"/>
      <c r="G90" s="386"/>
      <c r="H90" s="386"/>
      <c r="I90" s="386"/>
      <c r="J90" s="386"/>
      <c r="K90" s="386"/>
      <c r="L90" s="386"/>
      <c r="M90" s="386"/>
      <c r="N90" s="386"/>
      <c r="O90" s="386"/>
      <c r="P90" s="386"/>
      <c r="Q90" s="386"/>
      <c r="R90" s="386"/>
      <c r="S90" s="386"/>
      <c r="T90" s="386"/>
      <c r="U90" s="386"/>
      <c r="V90" s="386"/>
      <c r="W90" s="386"/>
      <c r="X90" s="386"/>
      <c r="Y90" s="386"/>
      <c r="Z90" s="386"/>
      <c r="AA90" s="386"/>
      <c r="AB90" s="386"/>
      <c r="AC90" s="386"/>
      <c r="AD90" s="386"/>
      <c r="AE90" s="386"/>
      <c r="AF90" s="386"/>
      <c r="AG90" s="386"/>
      <c r="AH90" s="386"/>
      <c r="AI90" s="386"/>
      <c r="AJ90" s="386"/>
      <c r="AK90" s="386"/>
      <c r="AL90" s="386"/>
      <c r="AM90" s="386"/>
      <c r="AN90" s="386"/>
      <c r="AO90" s="386"/>
      <c r="AP90" s="386"/>
      <c r="AQ90" s="386"/>
      <c r="AR90" s="386"/>
      <c r="AS90" s="386"/>
      <c r="AT90" s="386"/>
      <c r="AU90" s="386"/>
      <c r="AV90" s="386"/>
      <c r="AW90" s="386"/>
      <c r="AX90" s="386"/>
      <c r="AY90" s="386"/>
      <c r="AZ90" s="386"/>
      <c r="BA90" s="386"/>
      <c r="BB90" s="386"/>
      <c r="BC90" s="386"/>
      <c r="BD90" s="386"/>
      <c r="BE90" s="386"/>
      <c r="BF90" s="386"/>
      <c r="BG90" s="386"/>
      <c r="BH90" s="387"/>
      <c r="BI90" s="367"/>
      <c r="BJ90" s="87"/>
      <c r="BK90" s="86"/>
      <c r="BL90" s="85"/>
      <c r="BM90" s="84"/>
      <c r="BN90" s="84"/>
    </row>
    <row r="91" spans="1:66" s="88" customFormat="1" x14ac:dyDescent="1.4">
      <c r="A91" s="393"/>
      <c r="B91" s="92"/>
      <c r="C91" s="91"/>
      <c r="D91" s="90"/>
      <c r="E91" s="93"/>
      <c r="F91" s="385"/>
      <c r="G91" s="386"/>
      <c r="H91" s="386"/>
      <c r="I91" s="386"/>
      <c r="J91" s="386"/>
      <c r="K91" s="386"/>
      <c r="L91" s="386"/>
      <c r="M91" s="386"/>
      <c r="N91" s="386"/>
      <c r="O91" s="386"/>
      <c r="P91" s="386"/>
      <c r="Q91" s="386"/>
      <c r="R91" s="386"/>
      <c r="S91" s="386"/>
      <c r="T91" s="386"/>
      <c r="U91" s="386"/>
      <c r="V91" s="386"/>
      <c r="W91" s="386"/>
      <c r="X91" s="386"/>
      <c r="Y91" s="386"/>
      <c r="Z91" s="386"/>
      <c r="AA91" s="386"/>
      <c r="AB91" s="386"/>
      <c r="AC91" s="386"/>
      <c r="AD91" s="386"/>
      <c r="AE91" s="386"/>
      <c r="AF91" s="386"/>
      <c r="AG91" s="386"/>
      <c r="AH91" s="386"/>
      <c r="AI91" s="386"/>
      <c r="AJ91" s="386"/>
      <c r="AK91" s="386"/>
      <c r="AL91" s="386"/>
      <c r="AM91" s="386"/>
      <c r="AN91" s="386"/>
      <c r="AO91" s="386"/>
      <c r="AP91" s="386"/>
      <c r="AQ91" s="386"/>
      <c r="AR91" s="386"/>
      <c r="AS91" s="386"/>
      <c r="AT91" s="386"/>
      <c r="AU91" s="386"/>
      <c r="AV91" s="386"/>
      <c r="AW91" s="386"/>
      <c r="AX91" s="386"/>
      <c r="AY91" s="386"/>
      <c r="AZ91" s="386"/>
      <c r="BA91" s="386"/>
      <c r="BB91" s="386"/>
      <c r="BC91" s="386"/>
      <c r="BD91" s="386"/>
      <c r="BE91" s="386"/>
      <c r="BF91" s="386"/>
      <c r="BG91" s="386"/>
      <c r="BH91" s="387"/>
      <c r="BI91" s="367"/>
      <c r="BJ91" s="87"/>
      <c r="BK91" s="86"/>
      <c r="BL91" s="85"/>
      <c r="BM91" s="84"/>
      <c r="BN91" s="84"/>
    </row>
    <row r="92" spans="1:66" s="88" customFormat="1" x14ac:dyDescent="1.4">
      <c r="A92" s="393"/>
      <c r="B92" s="92"/>
      <c r="C92" s="91"/>
      <c r="D92" s="90"/>
      <c r="E92" s="93"/>
      <c r="F92" s="385"/>
      <c r="G92" s="386"/>
      <c r="H92" s="386"/>
      <c r="I92" s="386"/>
      <c r="J92" s="386"/>
      <c r="K92" s="386"/>
      <c r="L92" s="386"/>
      <c r="M92" s="386"/>
      <c r="N92" s="386"/>
      <c r="O92" s="386"/>
      <c r="P92" s="386"/>
      <c r="Q92" s="386"/>
      <c r="R92" s="386"/>
      <c r="S92" s="386"/>
      <c r="T92" s="386"/>
      <c r="U92" s="386"/>
      <c r="V92" s="386"/>
      <c r="W92" s="386"/>
      <c r="X92" s="386"/>
      <c r="Y92" s="386"/>
      <c r="Z92" s="386"/>
      <c r="AA92" s="386"/>
      <c r="AB92" s="386"/>
      <c r="AC92" s="386"/>
      <c r="AD92" s="386"/>
      <c r="AE92" s="386"/>
      <c r="AF92" s="386"/>
      <c r="AG92" s="386"/>
      <c r="AH92" s="386"/>
      <c r="AI92" s="386"/>
      <c r="AJ92" s="386"/>
      <c r="AK92" s="386"/>
      <c r="AL92" s="386"/>
      <c r="AM92" s="386"/>
      <c r="AN92" s="386"/>
      <c r="AO92" s="386"/>
      <c r="AP92" s="386"/>
      <c r="AQ92" s="386"/>
      <c r="AR92" s="386"/>
      <c r="AS92" s="386"/>
      <c r="AT92" s="386"/>
      <c r="AU92" s="386"/>
      <c r="AV92" s="386"/>
      <c r="AW92" s="386"/>
      <c r="AX92" s="386"/>
      <c r="AY92" s="386"/>
      <c r="AZ92" s="386"/>
      <c r="BA92" s="386"/>
      <c r="BB92" s="386"/>
      <c r="BC92" s="386"/>
      <c r="BD92" s="386"/>
      <c r="BE92" s="386"/>
      <c r="BF92" s="386"/>
      <c r="BG92" s="386"/>
      <c r="BH92" s="387"/>
      <c r="BI92" s="367"/>
      <c r="BJ92" s="87"/>
      <c r="BK92" s="86"/>
      <c r="BL92" s="85"/>
      <c r="BM92" s="84"/>
      <c r="BN92" s="84"/>
    </row>
    <row r="93" spans="1:66" s="88" customFormat="1" x14ac:dyDescent="1.4">
      <c r="A93" s="393"/>
      <c r="B93" s="92"/>
      <c r="C93" s="91"/>
      <c r="D93" s="90"/>
      <c r="E93" s="93"/>
      <c r="F93" s="385"/>
      <c r="G93" s="386"/>
      <c r="H93" s="386"/>
      <c r="I93" s="386"/>
      <c r="J93" s="386"/>
      <c r="K93" s="386"/>
      <c r="L93" s="386"/>
      <c r="M93" s="386"/>
      <c r="N93" s="386"/>
      <c r="O93" s="386"/>
      <c r="P93" s="386"/>
      <c r="Q93" s="386"/>
      <c r="R93" s="386"/>
      <c r="S93" s="386"/>
      <c r="T93" s="386"/>
      <c r="U93" s="386"/>
      <c r="V93" s="386"/>
      <c r="W93" s="386"/>
      <c r="X93" s="386"/>
      <c r="Y93" s="386"/>
      <c r="Z93" s="386"/>
      <c r="AA93" s="386"/>
      <c r="AB93" s="386"/>
      <c r="AC93" s="386"/>
      <c r="AD93" s="386"/>
      <c r="AE93" s="386"/>
      <c r="AF93" s="386"/>
      <c r="AG93" s="386"/>
      <c r="AH93" s="386"/>
      <c r="AI93" s="386"/>
      <c r="AJ93" s="386"/>
      <c r="AK93" s="386"/>
      <c r="AL93" s="386"/>
      <c r="AM93" s="386"/>
      <c r="AN93" s="386"/>
      <c r="AO93" s="386"/>
      <c r="AP93" s="386"/>
      <c r="AQ93" s="386"/>
      <c r="AR93" s="386"/>
      <c r="AS93" s="386"/>
      <c r="AT93" s="386"/>
      <c r="AU93" s="386"/>
      <c r="AV93" s="386"/>
      <c r="AW93" s="386"/>
      <c r="AX93" s="386"/>
      <c r="AY93" s="386"/>
      <c r="AZ93" s="386"/>
      <c r="BA93" s="386"/>
      <c r="BB93" s="386"/>
      <c r="BC93" s="386"/>
      <c r="BD93" s="386"/>
      <c r="BE93" s="386"/>
      <c r="BF93" s="386"/>
      <c r="BG93" s="386"/>
      <c r="BH93" s="387"/>
      <c r="BI93" s="367"/>
      <c r="BJ93" s="87"/>
      <c r="BK93" s="86"/>
      <c r="BL93" s="85"/>
      <c r="BM93" s="84"/>
      <c r="BN93" s="84"/>
    </row>
    <row r="94" spans="1:66" s="88" customFormat="1" x14ac:dyDescent="1.4">
      <c r="A94" s="393"/>
      <c r="B94" s="92"/>
      <c r="C94" s="91"/>
      <c r="D94" s="90"/>
      <c r="E94" s="93"/>
      <c r="F94" s="385"/>
      <c r="G94" s="386"/>
      <c r="H94" s="386"/>
      <c r="I94" s="386"/>
      <c r="J94" s="386"/>
      <c r="K94" s="386"/>
      <c r="L94" s="386"/>
      <c r="M94" s="386"/>
      <c r="N94" s="386"/>
      <c r="O94" s="386"/>
      <c r="P94" s="386"/>
      <c r="Q94" s="386"/>
      <c r="R94" s="386"/>
      <c r="S94" s="386"/>
      <c r="T94" s="386"/>
      <c r="U94" s="386"/>
      <c r="V94" s="386"/>
      <c r="W94" s="386"/>
      <c r="X94" s="386"/>
      <c r="Y94" s="386"/>
      <c r="Z94" s="386"/>
      <c r="AA94" s="386"/>
      <c r="AB94" s="386"/>
      <c r="AC94" s="386"/>
      <c r="AD94" s="386"/>
      <c r="AE94" s="386"/>
      <c r="AF94" s="386"/>
      <c r="AG94" s="386"/>
      <c r="AH94" s="386"/>
      <c r="AI94" s="386"/>
      <c r="AJ94" s="386"/>
      <c r="AK94" s="386"/>
      <c r="AL94" s="386"/>
      <c r="AM94" s="386"/>
      <c r="AN94" s="386"/>
      <c r="AO94" s="386"/>
      <c r="AP94" s="386"/>
      <c r="AQ94" s="386"/>
      <c r="AR94" s="386"/>
      <c r="AS94" s="386"/>
      <c r="AT94" s="386"/>
      <c r="AU94" s="386"/>
      <c r="AV94" s="386"/>
      <c r="AW94" s="386"/>
      <c r="AX94" s="386"/>
      <c r="AY94" s="386"/>
      <c r="AZ94" s="386"/>
      <c r="BA94" s="386"/>
      <c r="BB94" s="386"/>
      <c r="BC94" s="386"/>
      <c r="BD94" s="386"/>
      <c r="BE94" s="386"/>
      <c r="BF94" s="386"/>
      <c r="BG94" s="386"/>
      <c r="BH94" s="387"/>
      <c r="BI94" s="367"/>
      <c r="BJ94" s="87"/>
      <c r="BK94" s="86"/>
      <c r="BL94" s="85"/>
      <c r="BM94" s="84"/>
      <c r="BN94" s="84"/>
    </row>
    <row r="95" spans="1:66" s="88" customFormat="1" x14ac:dyDescent="1.4">
      <c r="A95" s="393"/>
      <c r="B95" s="92"/>
      <c r="C95" s="91"/>
      <c r="D95" s="90"/>
      <c r="E95" s="93"/>
      <c r="F95" s="385"/>
      <c r="G95" s="386"/>
      <c r="H95" s="386"/>
      <c r="I95" s="386"/>
      <c r="J95" s="386"/>
      <c r="K95" s="386"/>
      <c r="L95" s="386"/>
      <c r="M95" s="386"/>
      <c r="N95" s="386"/>
      <c r="O95" s="386"/>
      <c r="P95" s="386"/>
      <c r="Q95" s="386"/>
      <c r="R95" s="386"/>
      <c r="S95" s="386"/>
      <c r="T95" s="386"/>
      <c r="U95" s="386"/>
      <c r="V95" s="386"/>
      <c r="W95" s="386"/>
      <c r="X95" s="386"/>
      <c r="Y95" s="386"/>
      <c r="Z95" s="386"/>
      <c r="AA95" s="386"/>
      <c r="AB95" s="386"/>
      <c r="AC95" s="386"/>
      <c r="AD95" s="386"/>
      <c r="AE95" s="386"/>
      <c r="AF95" s="386"/>
      <c r="AG95" s="386"/>
      <c r="AH95" s="386"/>
      <c r="AI95" s="386"/>
      <c r="AJ95" s="386"/>
      <c r="AK95" s="386"/>
      <c r="AL95" s="386"/>
      <c r="AM95" s="386"/>
      <c r="AN95" s="386"/>
      <c r="AO95" s="386"/>
      <c r="AP95" s="386"/>
      <c r="AQ95" s="386"/>
      <c r="AR95" s="386"/>
      <c r="AS95" s="386"/>
      <c r="AT95" s="386"/>
      <c r="AU95" s="386"/>
      <c r="AV95" s="386"/>
      <c r="AW95" s="386"/>
      <c r="AX95" s="386"/>
      <c r="AY95" s="386"/>
      <c r="AZ95" s="386"/>
      <c r="BA95" s="386"/>
      <c r="BB95" s="386"/>
      <c r="BC95" s="386"/>
      <c r="BD95" s="386"/>
      <c r="BE95" s="386"/>
      <c r="BF95" s="386"/>
      <c r="BG95" s="386"/>
      <c r="BH95" s="387"/>
      <c r="BI95" s="367"/>
      <c r="BJ95" s="87"/>
      <c r="BK95" s="86"/>
      <c r="BL95" s="85"/>
      <c r="BM95" s="84"/>
      <c r="BN95" s="84"/>
    </row>
    <row r="96" spans="1:66" s="88" customFormat="1" x14ac:dyDescent="1.4">
      <c r="A96" s="393"/>
      <c r="B96" s="92"/>
      <c r="C96" s="91"/>
      <c r="D96" s="90"/>
      <c r="E96" s="93"/>
      <c r="F96" s="385"/>
      <c r="G96" s="386"/>
      <c r="H96" s="386"/>
      <c r="I96" s="386"/>
      <c r="J96" s="386"/>
      <c r="K96" s="386"/>
      <c r="L96" s="386"/>
      <c r="M96" s="386"/>
      <c r="N96" s="386"/>
      <c r="O96" s="386"/>
      <c r="P96" s="386"/>
      <c r="Q96" s="386"/>
      <c r="R96" s="386"/>
      <c r="S96" s="386"/>
      <c r="T96" s="386"/>
      <c r="U96" s="386"/>
      <c r="V96" s="386"/>
      <c r="W96" s="386"/>
      <c r="X96" s="386"/>
      <c r="Y96" s="386"/>
      <c r="Z96" s="386"/>
      <c r="AA96" s="386"/>
      <c r="AB96" s="386"/>
      <c r="AC96" s="386"/>
      <c r="AD96" s="386"/>
      <c r="AE96" s="386"/>
      <c r="AF96" s="386"/>
      <c r="AG96" s="386"/>
      <c r="AH96" s="386"/>
      <c r="AI96" s="386"/>
      <c r="AJ96" s="386"/>
      <c r="AK96" s="386"/>
      <c r="AL96" s="386"/>
      <c r="AM96" s="386"/>
      <c r="AN96" s="386"/>
      <c r="AO96" s="386"/>
      <c r="AP96" s="386"/>
      <c r="AQ96" s="386"/>
      <c r="AR96" s="386"/>
      <c r="AS96" s="386"/>
      <c r="AT96" s="386"/>
      <c r="AU96" s="386"/>
      <c r="AV96" s="386"/>
      <c r="AW96" s="386"/>
      <c r="AX96" s="386"/>
      <c r="AY96" s="386"/>
      <c r="AZ96" s="386"/>
      <c r="BA96" s="386"/>
      <c r="BB96" s="386"/>
      <c r="BC96" s="386"/>
      <c r="BD96" s="386"/>
      <c r="BE96" s="386"/>
      <c r="BF96" s="386"/>
      <c r="BG96" s="386"/>
      <c r="BH96" s="387"/>
      <c r="BI96" s="367"/>
      <c r="BJ96" s="87"/>
      <c r="BK96" s="86"/>
      <c r="BL96" s="85"/>
      <c r="BM96" s="84"/>
      <c r="BN96" s="84"/>
    </row>
    <row r="97" spans="1:66" s="88" customFormat="1" x14ac:dyDescent="1.4">
      <c r="A97" s="393"/>
      <c r="B97" s="92"/>
      <c r="C97" s="91"/>
      <c r="D97" s="90"/>
      <c r="E97" s="93"/>
      <c r="F97" s="385"/>
      <c r="G97" s="386"/>
      <c r="H97" s="386"/>
      <c r="I97" s="386"/>
      <c r="J97" s="386"/>
      <c r="K97" s="386"/>
      <c r="L97" s="386"/>
      <c r="M97" s="386"/>
      <c r="N97" s="386"/>
      <c r="O97" s="386"/>
      <c r="P97" s="386"/>
      <c r="Q97" s="386"/>
      <c r="R97" s="386"/>
      <c r="S97" s="386"/>
      <c r="T97" s="386"/>
      <c r="U97" s="386"/>
      <c r="V97" s="386"/>
      <c r="W97" s="386"/>
      <c r="X97" s="386"/>
      <c r="Y97" s="386"/>
      <c r="Z97" s="386"/>
      <c r="AA97" s="386"/>
      <c r="AB97" s="386"/>
      <c r="AC97" s="386"/>
      <c r="AD97" s="386"/>
      <c r="AE97" s="386"/>
      <c r="AF97" s="386"/>
      <c r="AG97" s="386"/>
      <c r="AH97" s="386"/>
      <c r="AI97" s="386"/>
      <c r="AJ97" s="386"/>
      <c r="AK97" s="386">
        <v>2221</v>
      </c>
      <c r="AL97" s="386"/>
      <c r="AM97" s="386"/>
      <c r="AN97" s="386"/>
      <c r="AO97" s="386"/>
      <c r="AP97" s="386"/>
      <c r="AQ97" s="386"/>
      <c r="AR97" s="386"/>
      <c r="AS97" s="386"/>
      <c r="AT97" s="386"/>
      <c r="AU97" s="386"/>
      <c r="AV97" s="386"/>
      <c r="AW97" s="386"/>
      <c r="AX97" s="386"/>
      <c r="AY97" s="386"/>
      <c r="AZ97" s="386"/>
      <c r="BA97" s="386"/>
      <c r="BB97" s="386"/>
      <c r="BC97" s="386"/>
      <c r="BD97" s="386"/>
      <c r="BE97" s="386"/>
      <c r="BF97" s="386"/>
      <c r="BG97" s="386"/>
      <c r="BH97" s="387"/>
      <c r="BI97" s="367"/>
      <c r="BJ97" s="87"/>
      <c r="BK97" s="86"/>
      <c r="BL97" s="85"/>
      <c r="BM97" s="84"/>
      <c r="BN97" s="84"/>
    </row>
    <row r="98" spans="1:66" s="88" customFormat="1" x14ac:dyDescent="1.4">
      <c r="A98" s="393"/>
      <c r="B98" s="92"/>
      <c r="C98" s="91"/>
      <c r="D98" s="90"/>
      <c r="E98" s="93"/>
      <c r="F98" s="385"/>
      <c r="G98" s="386"/>
      <c r="H98" s="386"/>
      <c r="I98" s="386"/>
      <c r="J98" s="386"/>
      <c r="K98" s="386"/>
      <c r="L98" s="386"/>
      <c r="M98" s="386"/>
      <c r="N98" s="386"/>
      <c r="O98" s="386"/>
      <c r="P98" s="386"/>
      <c r="Q98" s="386"/>
      <c r="R98" s="386"/>
      <c r="S98" s="386"/>
      <c r="T98" s="386"/>
      <c r="U98" s="386"/>
      <c r="V98" s="386"/>
      <c r="W98" s="386"/>
      <c r="X98" s="386"/>
      <c r="Y98" s="386"/>
      <c r="Z98" s="386"/>
      <c r="AA98" s="386"/>
      <c r="AB98" s="386"/>
      <c r="AC98" s="386"/>
      <c r="AD98" s="386"/>
      <c r="AE98" s="386"/>
      <c r="AF98" s="386"/>
      <c r="AG98" s="386"/>
      <c r="AH98" s="386"/>
      <c r="AI98" s="386"/>
      <c r="AJ98" s="386"/>
      <c r="AK98" s="386"/>
      <c r="AL98" s="386"/>
      <c r="AM98" s="386"/>
      <c r="AN98" s="386"/>
      <c r="AO98" s="386"/>
      <c r="AP98" s="386"/>
      <c r="AQ98" s="386"/>
      <c r="AR98" s="386"/>
      <c r="AS98" s="386"/>
      <c r="AT98" s="386"/>
      <c r="AU98" s="386"/>
      <c r="AV98" s="386"/>
      <c r="AW98" s="386"/>
      <c r="AX98" s="386"/>
      <c r="AY98" s="386"/>
      <c r="AZ98" s="386"/>
      <c r="BA98" s="386"/>
      <c r="BB98" s="386"/>
      <c r="BC98" s="386"/>
      <c r="BD98" s="386"/>
      <c r="BE98" s="386"/>
      <c r="BF98" s="386"/>
      <c r="BG98" s="386"/>
      <c r="BH98" s="387"/>
      <c r="BI98" s="367"/>
      <c r="BJ98" s="87"/>
      <c r="BK98" s="86"/>
      <c r="BL98" s="85"/>
      <c r="BM98" s="84"/>
      <c r="BN98" s="84"/>
    </row>
    <row r="99" spans="1:66" s="88" customFormat="1" x14ac:dyDescent="1.4">
      <c r="A99" s="393"/>
      <c r="B99" s="92"/>
      <c r="C99" s="91"/>
      <c r="D99" s="90"/>
      <c r="E99" s="93"/>
      <c r="F99" s="385"/>
      <c r="G99" s="386"/>
      <c r="H99" s="386"/>
      <c r="I99" s="386"/>
      <c r="J99" s="386"/>
      <c r="K99" s="386"/>
      <c r="L99" s="386"/>
      <c r="M99" s="386"/>
      <c r="N99" s="386"/>
      <c r="O99" s="386"/>
      <c r="P99" s="386"/>
      <c r="Q99" s="386"/>
      <c r="R99" s="386"/>
      <c r="S99" s="386"/>
      <c r="T99" s="386"/>
      <c r="U99" s="386"/>
      <c r="V99" s="386"/>
      <c r="W99" s="386"/>
      <c r="X99" s="386"/>
      <c r="Y99" s="386"/>
      <c r="Z99" s="386"/>
      <c r="AA99" s="386"/>
      <c r="AB99" s="386"/>
      <c r="AC99" s="386"/>
      <c r="AD99" s="386"/>
      <c r="AE99" s="386"/>
      <c r="AF99" s="386"/>
      <c r="AG99" s="386"/>
      <c r="AH99" s="386"/>
      <c r="AI99" s="386"/>
      <c r="AJ99" s="386"/>
      <c r="AK99" s="386"/>
      <c r="AL99" s="386"/>
      <c r="AM99" s="386"/>
      <c r="AN99" s="386"/>
      <c r="AO99" s="386"/>
      <c r="AP99" s="386"/>
      <c r="AQ99" s="386"/>
      <c r="AR99" s="386"/>
      <c r="AS99" s="386"/>
      <c r="AT99" s="386"/>
      <c r="AU99" s="386"/>
      <c r="AV99" s="386"/>
      <c r="AW99" s="386"/>
      <c r="AX99" s="386"/>
      <c r="AY99" s="386"/>
      <c r="AZ99" s="386"/>
      <c r="BA99" s="386"/>
      <c r="BB99" s="386"/>
      <c r="BC99" s="386"/>
      <c r="BD99" s="386"/>
      <c r="BE99" s="386"/>
      <c r="BF99" s="386"/>
      <c r="BG99" s="386"/>
      <c r="BH99" s="387"/>
      <c r="BI99" s="367"/>
      <c r="BJ99" s="87"/>
      <c r="BK99" s="86"/>
      <c r="BL99" s="85"/>
      <c r="BM99" s="84"/>
      <c r="BN99" s="84"/>
    </row>
    <row r="100" spans="1:66" s="88" customFormat="1" x14ac:dyDescent="1.4">
      <c r="A100" s="393"/>
      <c r="B100" s="92"/>
      <c r="C100" s="91"/>
      <c r="D100" s="90"/>
      <c r="E100" s="93"/>
      <c r="F100" s="385"/>
      <c r="G100" s="386"/>
      <c r="H100" s="386"/>
      <c r="I100" s="386"/>
      <c r="J100" s="386"/>
      <c r="K100" s="386"/>
      <c r="L100" s="386"/>
      <c r="M100" s="386"/>
      <c r="N100" s="386"/>
      <c r="O100" s="386"/>
      <c r="P100" s="386"/>
      <c r="Q100" s="386"/>
      <c r="R100" s="386"/>
      <c r="S100" s="386"/>
      <c r="T100" s="386"/>
      <c r="U100" s="386"/>
      <c r="V100" s="386"/>
      <c r="W100" s="386"/>
      <c r="X100" s="386"/>
      <c r="Y100" s="386"/>
      <c r="Z100" s="386"/>
      <c r="AA100" s="386"/>
      <c r="AB100" s="386"/>
      <c r="AC100" s="386"/>
      <c r="AD100" s="386"/>
      <c r="AE100" s="386"/>
      <c r="AF100" s="386"/>
      <c r="AG100" s="386"/>
      <c r="AH100" s="386"/>
      <c r="AI100" s="386"/>
      <c r="AJ100" s="386"/>
      <c r="AK100" s="386"/>
      <c r="AL100" s="386"/>
      <c r="AM100" s="386"/>
      <c r="AN100" s="386"/>
      <c r="AO100" s="386"/>
      <c r="AP100" s="386"/>
      <c r="AQ100" s="386"/>
      <c r="AR100" s="386"/>
      <c r="AS100" s="386"/>
      <c r="AT100" s="386"/>
      <c r="AU100" s="386"/>
      <c r="AV100" s="386"/>
      <c r="AW100" s="386"/>
      <c r="AX100" s="386"/>
      <c r="AY100" s="386"/>
      <c r="AZ100" s="386"/>
      <c r="BA100" s="386"/>
      <c r="BB100" s="386"/>
      <c r="BC100" s="386"/>
      <c r="BD100" s="386"/>
      <c r="BE100" s="386"/>
      <c r="BF100" s="386"/>
      <c r="BG100" s="386"/>
      <c r="BH100" s="387"/>
      <c r="BI100" s="367"/>
      <c r="BJ100" s="87"/>
      <c r="BK100" s="86"/>
      <c r="BL100" s="85"/>
      <c r="BM100" s="84"/>
      <c r="BN100" s="84"/>
    </row>
    <row r="101" spans="1:66" s="88" customFormat="1" x14ac:dyDescent="1.4">
      <c r="A101" s="393"/>
      <c r="B101" s="92"/>
      <c r="C101" s="91"/>
      <c r="D101" s="90"/>
      <c r="E101" s="93"/>
      <c r="F101" s="385"/>
      <c r="G101" s="386"/>
      <c r="H101" s="386"/>
      <c r="I101" s="386"/>
      <c r="J101" s="386"/>
      <c r="K101" s="386"/>
      <c r="L101" s="386"/>
      <c r="M101" s="386"/>
      <c r="N101" s="386"/>
      <c r="O101" s="386"/>
      <c r="P101" s="386"/>
      <c r="Q101" s="386"/>
      <c r="R101" s="386"/>
      <c r="S101" s="386"/>
      <c r="T101" s="386"/>
      <c r="U101" s="386"/>
      <c r="V101" s="386"/>
      <c r="W101" s="386"/>
      <c r="X101" s="386"/>
      <c r="Y101" s="386"/>
      <c r="Z101" s="386"/>
      <c r="AA101" s="386"/>
      <c r="AB101" s="386"/>
      <c r="AC101" s="386"/>
      <c r="AD101" s="386"/>
      <c r="AE101" s="386"/>
      <c r="AF101" s="386"/>
      <c r="AG101" s="386"/>
      <c r="AH101" s="386"/>
      <c r="AI101" s="386"/>
      <c r="AJ101" s="386"/>
      <c r="AK101" s="386"/>
      <c r="AL101" s="386"/>
      <c r="AM101" s="386"/>
      <c r="AN101" s="386"/>
      <c r="AO101" s="386"/>
      <c r="AP101" s="386"/>
      <c r="AQ101" s="386"/>
      <c r="AR101" s="386"/>
      <c r="AS101" s="386"/>
      <c r="AT101" s="386"/>
      <c r="AU101" s="386"/>
      <c r="AV101" s="386"/>
      <c r="AW101" s="386"/>
      <c r="AX101" s="386"/>
      <c r="AY101" s="386"/>
      <c r="AZ101" s="386"/>
      <c r="BA101" s="386"/>
      <c r="BB101" s="386"/>
      <c r="BC101" s="386"/>
      <c r="BD101" s="386"/>
      <c r="BE101" s="386"/>
      <c r="BF101" s="386"/>
      <c r="BG101" s="386"/>
      <c r="BH101" s="387"/>
      <c r="BI101" s="367"/>
      <c r="BJ101" s="87"/>
      <c r="BK101" s="86"/>
      <c r="BL101" s="85"/>
      <c r="BM101" s="84"/>
      <c r="BN101" s="84"/>
    </row>
    <row r="102" spans="1:66" s="88" customFormat="1" x14ac:dyDescent="1.4">
      <c r="A102" s="393"/>
      <c r="B102" s="92"/>
      <c r="C102" s="91"/>
      <c r="D102" s="90"/>
      <c r="E102" s="93"/>
      <c r="F102" s="385"/>
      <c r="G102" s="386"/>
      <c r="H102" s="386"/>
      <c r="I102" s="386"/>
      <c r="J102" s="386"/>
      <c r="K102" s="386"/>
      <c r="L102" s="386"/>
      <c r="M102" s="386"/>
      <c r="N102" s="386"/>
      <c r="O102" s="386"/>
      <c r="P102" s="386"/>
      <c r="Q102" s="386"/>
      <c r="R102" s="386"/>
      <c r="S102" s="386"/>
      <c r="T102" s="386"/>
      <c r="U102" s="386"/>
      <c r="V102" s="386"/>
      <c r="W102" s="386"/>
      <c r="X102" s="386"/>
      <c r="Y102" s="386"/>
      <c r="Z102" s="386"/>
      <c r="AA102" s="386"/>
      <c r="AB102" s="386"/>
      <c r="AC102" s="386"/>
      <c r="AD102" s="386"/>
      <c r="AE102" s="386"/>
      <c r="AF102" s="386"/>
      <c r="AG102" s="386"/>
      <c r="AH102" s="386"/>
      <c r="AI102" s="386"/>
      <c r="AJ102" s="386"/>
      <c r="AK102" s="386"/>
      <c r="AL102" s="386"/>
      <c r="AM102" s="386"/>
      <c r="AN102" s="386"/>
      <c r="AO102" s="386"/>
      <c r="AP102" s="386"/>
      <c r="AQ102" s="386"/>
      <c r="AR102" s="386"/>
      <c r="AS102" s="386"/>
      <c r="AT102" s="386"/>
      <c r="AU102" s="386"/>
      <c r="AV102" s="386"/>
      <c r="AW102" s="386"/>
      <c r="AX102" s="386"/>
      <c r="AY102" s="386"/>
      <c r="AZ102" s="386"/>
      <c r="BA102" s="386"/>
      <c r="BB102" s="386"/>
      <c r="BC102" s="386"/>
      <c r="BD102" s="386"/>
      <c r="BE102" s="386"/>
      <c r="BF102" s="386"/>
      <c r="BG102" s="386"/>
      <c r="BH102" s="387"/>
      <c r="BI102" s="367"/>
      <c r="BJ102" s="87"/>
      <c r="BK102" s="86"/>
      <c r="BL102" s="85"/>
      <c r="BM102" s="84"/>
      <c r="BN102" s="84"/>
    </row>
    <row r="103" spans="1:66" s="88" customFormat="1" x14ac:dyDescent="1.4">
      <c r="A103" s="393"/>
      <c r="B103" s="92"/>
      <c r="C103" s="91"/>
      <c r="D103" s="90"/>
      <c r="E103" s="93"/>
      <c r="F103" s="385"/>
      <c r="G103" s="386"/>
      <c r="H103" s="386"/>
      <c r="I103" s="386"/>
      <c r="J103" s="386"/>
      <c r="K103" s="386"/>
      <c r="L103" s="386"/>
      <c r="M103" s="386"/>
      <c r="N103" s="386"/>
      <c r="O103" s="386"/>
      <c r="P103" s="386"/>
      <c r="Q103" s="386"/>
      <c r="R103" s="386"/>
      <c r="S103" s="386"/>
      <c r="T103" s="386"/>
      <c r="U103" s="386"/>
      <c r="V103" s="386"/>
      <c r="W103" s="386"/>
      <c r="X103" s="386"/>
      <c r="Y103" s="386"/>
      <c r="Z103" s="386"/>
      <c r="AA103" s="386"/>
      <c r="AB103" s="386"/>
      <c r="AC103" s="386"/>
      <c r="AD103" s="386"/>
      <c r="AE103" s="386"/>
      <c r="AF103" s="386"/>
      <c r="AG103" s="386"/>
      <c r="AH103" s="386"/>
      <c r="AI103" s="386"/>
      <c r="AJ103" s="386"/>
      <c r="AK103" s="386"/>
      <c r="AL103" s="386"/>
      <c r="AM103" s="386"/>
      <c r="AN103" s="386"/>
      <c r="AO103" s="386"/>
      <c r="AP103" s="386"/>
      <c r="AQ103" s="386"/>
      <c r="AR103" s="386"/>
      <c r="AS103" s="386"/>
      <c r="AT103" s="386"/>
      <c r="AU103" s="386"/>
      <c r="AV103" s="386"/>
      <c r="AW103" s="386"/>
      <c r="AX103" s="386"/>
      <c r="AY103" s="386"/>
      <c r="AZ103" s="386"/>
      <c r="BA103" s="386"/>
      <c r="BB103" s="386"/>
      <c r="BC103" s="386"/>
      <c r="BD103" s="386"/>
      <c r="BE103" s="386"/>
      <c r="BF103" s="386"/>
      <c r="BG103" s="386"/>
      <c r="BH103" s="387"/>
      <c r="BI103" s="367"/>
      <c r="BJ103" s="87"/>
      <c r="BK103" s="86"/>
      <c r="BL103" s="85"/>
      <c r="BM103" s="84"/>
      <c r="BN103" s="84"/>
    </row>
    <row r="104" spans="1:66" s="88" customFormat="1" x14ac:dyDescent="1.4">
      <c r="A104" s="393"/>
      <c r="B104" s="92"/>
      <c r="C104" s="91"/>
      <c r="D104" s="90"/>
      <c r="E104" s="93"/>
      <c r="F104" s="385"/>
      <c r="G104" s="386"/>
      <c r="H104" s="386"/>
      <c r="I104" s="386"/>
      <c r="J104" s="386"/>
      <c r="K104" s="386"/>
      <c r="L104" s="386"/>
      <c r="M104" s="386"/>
      <c r="N104" s="386"/>
      <c r="O104" s="386"/>
      <c r="P104" s="386"/>
      <c r="Q104" s="386"/>
      <c r="R104" s="386"/>
      <c r="S104" s="386"/>
      <c r="T104" s="386"/>
      <c r="U104" s="386"/>
      <c r="V104" s="386"/>
      <c r="W104" s="386"/>
      <c r="X104" s="386"/>
      <c r="Y104" s="386"/>
      <c r="Z104" s="386"/>
      <c r="AA104" s="386"/>
      <c r="AB104" s="386"/>
      <c r="AC104" s="386"/>
      <c r="AD104" s="386"/>
      <c r="AE104" s="386"/>
      <c r="AF104" s="386"/>
      <c r="AG104" s="386"/>
      <c r="AH104" s="386"/>
      <c r="AI104" s="386"/>
      <c r="AJ104" s="386"/>
      <c r="AK104" s="386"/>
      <c r="AL104" s="386"/>
      <c r="AM104" s="386"/>
      <c r="AN104" s="386"/>
      <c r="AO104" s="386"/>
      <c r="AP104" s="386"/>
      <c r="AQ104" s="386"/>
      <c r="AR104" s="386"/>
      <c r="AS104" s="386"/>
      <c r="AT104" s="386"/>
      <c r="AU104" s="386"/>
      <c r="AV104" s="386"/>
      <c r="AW104" s="386"/>
      <c r="AX104" s="386"/>
      <c r="AY104" s="386"/>
      <c r="AZ104" s="386"/>
      <c r="BA104" s="386"/>
      <c r="BB104" s="386"/>
      <c r="BC104" s="386"/>
      <c r="BD104" s="386"/>
      <c r="BE104" s="386"/>
      <c r="BF104" s="386"/>
      <c r="BG104" s="386"/>
      <c r="BH104" s="387"/>
      <c r="BI104" s="367"/>
      <c r="BJ104" s="87"/>
      <c r="BK104" s="86"/>
      <c r="BL104" s="85"/>
      <c r="BM104" s="84"/>
      <c r="BN104" s="84"/>
    </row>
    <row r="105" spans="1:66" s="88" customFormat="1" x14ac:dyDescent="1.4">
      <c r="A105" s="393"/>
      <c r="B105" s="92"/>
      <c r="C105" s="91"/>
      <c r="D105" s="90"/>
      <c r="E105" s="93"/>
      <c r="F105" s="385"/>
      <c r="G105" s="386"/>
      <c r="H105" s="386"/>
      <c r="I105" s="386"/>
      <c r="J105" s="386"/>
      <c r="K105" s="386"/>
      <c r="L105" s="386"/>
      <c r="M105" s="386"/>
      <c r="N105" s="386"/>
      <c r="O105" s="386"/>
      <c r="P105" s="386"/>
      <c r="Q105" s="386"/>
      <c r="R105" s="386"/>
      <c r="S105" s="386"/>
      <c r="T105" s="386"/>
      <c r="U105" s="386"/>
      <c r="V105" s="386"/>
      <c r="W105" s="386"/>
      <c r="X105" s="386"/>
      <c r="Y105" s="386"/>
      <c r="Z105" s="386"/>
      <c r="AA105" s="386"/>
      <c r="AB105" s="386"/>
      <c r="AC105" s="386"/>
      <c r="AD105" s="386"/>
      <c r="AE105" s="386"/>
      <c r="AF105" s="386"/>
      <c r="AG105" s="386"/>
      <c r="AH105" s="386"/>
      <c r="AI105" s="386"/>
      <c r="AJ105" s="386"/>
      <c r="AK105" s="386"/>
      <c r="AL105" s="386"/>
      <c r="AM105" s="386"/>
      <c r="AN105" s="386"/>
      <c r="AO105" s="386"/>
      <c r="AP105" s="386"/>
      <c r="AQ105" s="386"/>
      <c r="AR105" s="386"/>
      <c r="AS105" s="386"/>
      <c r="AT105" s="386"/>
      <c r="AU105" s="386"/>
      <c r="AV105" s="386"/>
      <c r="AW105" s="386"/>
      <c r="AX105" s="386"/>
      <c r="AY105" s="386"/>
      <c r="AZ105" s="386"/>
      <c r="BA105" s="386"/>
      <c r="BB105" s="386"/>
      <c r="BC105" s="386"/>
      <c r="BD105" s="386"/>
      <c r="BE105" s="386"/>
      <c r="BF105" s="386"/>
      <c r="BG105" s="386"/>
      <c r="BH105" s="387"/>
      <c r="BI105" s="367"/>
      <c r="BJ105" s="87"/>
      <c r="BK105" s="86"/>
      <c r="BL105" s="85"/>
      <c r="BM105" s="84"/>
      <c r="BN105" s="84"/>
    </row>
    <row r="106" spans="1:66" s="88" customFormat="1" x14ac:dyDescent="1.4">
      <c r="A106" s="393"/>
      <c r="B106" s="92"/>
      <c r="C106" s="91"/>
      <c r="D106" s="90"/>
      <c r="E106" s="93"/>
      <c r="F106" s="385"/>
      <c r="G106" s="386"/>
      <c r="H106" s="386"/>
      <c r="I106" s="386"/>
      <c r="J106" s="386"/>
      <c r="K106" s="386"/>
      <c r="L106" s="386"/>
      <c r="M106" s="386"/>
      <c r="N106" s="386"/>
      <c r="O106" s="386"/>
      <c r="P106" s="386"/>
      <c r="Q106" s="386"/>
      <c r="R106" s="386"/>
      <c r="S106" s="386"/>
      <c r="T106" s="386"/>
      <c r="U106" s="386"/>
      <c r="V106" s="386"/>
      <c r="W106" s="386"/>
      <c r="X106" s="386"/>
      <c r="Y106" s="386"/>
      <c r="Z106" s="386"/>
      <c r="AA106" s="386"/>
      <c r="AB106" s="386"/>
      <c r="AC106" s="386"/>
      <c r="AD106" s="386"/>
      <c r="AE106" s="386"/>
      <c r="AF106" s="386"/>
      <c r="AG106" s="386"/>
      <c r="AH106" s="386"/>
      <c r="AI106" s="386"/>
      <c r="AJ106" s="386"/>
      <c r="AK106" s="386"/>
      <c r="AL106" s="386"/>
      <c r="AM106" s="386"/>
      <c r="AN106" s="386"/>
      <c r="AO106" s="386"/>
      <c r="AP106" s="386"/>
      <c r="AQ106" s="386"/>
      <c r="AR106" s="386"/>
      <c r="AS106" s="386"/>
      <c r="AT106" s="386"/>
      <c r="AU106" s="386"/>
      <c r="AV106" s="386"/>
      <c r="AW106" s="386"/>
      <c r="AX106" s="386"/>
      <c r="AY106" s="386"/>
      <c r="AZ106" s="386"/>
      <c r="BA106" s="386"/>
      <c r="BB106" s="386"/>
      <c r="BC106" s="386"/>
      <c r="BD106" s="386"/>
      <c r="BE106" s="386"/>
      <c r="BF106" s="386"/>
      <c r="BG106" s="386"/>
      <c r="BH106" s="387"/>
      <c r="BI106" s="367"/>
      <c r="BJ106" s="87"/>
      <c r="BK106" s="86"/>
      <c r="BL106" s="85"/>
      <c r="BM106" s="84"/>
      <c r="BN106" s="84"/>
    </row>
    <row r="107" spans="1:66" s="88" customFormat="1" x14ac:dyDescent="1.4">
      <c r="A107" s="393"/>
      <c r="B107" s="92"/>
      <c r="C107" s="91"/>
      <c r="D107" s="90"/>
      <c r="E107" s="93"/>
      <c r="F107" s="385"/>
      <c r="G107" s="386"/>
      <c r="H107" s="386"/>
      <c r="I107" s="386"/>
      <c r="J107" s="386"/>
      <c r="K107" s="386"/>
      <c r="L107" s="386"/>
      <c r="M107" s="386"/>
      <c r="N107" s="386"/>
      <c r="O107" s="386"/>
      <c r="P107" s="386"/>
      <c r="Q107" s="386"/>
      <c r="R107" s="386"/>
      <c r="S107" s="386"/>
      <c r="T107" s="386"/>
      <c r="U107" s="386"/>
      <c r="V107" s="386"/>
      <c r="W107" s="386"/>
      <c r="X107" s="386"/>
      <c r="Y107" s="386"/>
      <c r="Z107" s="386"/>
      <c r="AA107" s="386"/>
      <c r="AB107" s="386"/>
      <c r="AC107" s="386"/>
      <c r="AD107" s="386"/>
      <c r="AE107" s="386"/>
      <c r="AF107" s="386"/>
      <c r="AG107" s="386"/>
      <c r="AH107" s="386"/>
      <c r="AI107" s="386"/>
      <c r="AJ107" s="386"/>
      <c r="AK107" s="386"/>
      <c r="AL107" s="386"/>
      <c r="AM107" s="386"/>
      <c r="AN107" s="386"/>
      <c r="AO107" s="386"/>
      <c r="AP107" s="386"/>
      <c r="AQ107" s="386"/>
      <c r="AR107" s="386"/>
      <c r="AS107" s="386"/>
      <c r="AT107" s="386"/>
      <c r="AU107" s="386"/>
      <c r="AV107" s="386"/>
      <c r="AW107" s="386"/>
      <c r="AX107" s="386"/>
      <c r="AY107" s="386"/>
      <c r="AZ107" s="386"/>
      <c r="BA107" s="386"/>
      <c r="BB107" s="386"/>
      <c r="BC107" s="386"/>
      <c r="BD107" s="386"/>
      <c r="BE107" s="386"/>
      <c r="BF107" s="386"/>
      <c r="BG107" s="386"/>
      <c r="BH107" s="387"/>
      <c r="BI107" s="367"/>
      <c r="BJ107" s="87"/>
      <c r="BK107" s="86"/>
      <c r="BL107" s="85"/>
      <c r="BM107" s="84"/>
      <c r="BN107" s="84"/>
    </row>
    <row r="108" spans="1:66" s="88" customFormat="1" x14ac:dyDescent="1.4">
      <c r="A108" s="393"/>
      <c r="B108" s="92"/>
      <c r="C108" s="91"/>
      <c r="D108" s="90"/>
      <c r="E108" s="93"/>
      <c r="F108" s="385"/>
      <c r="G108" s="386"/>
      <c r="H108" s="386"/>
      <c r="I108" s="386"/>
      <c r="J108" s="386"/>
      <c r="K108" s="386"/>
      <c r="L108" s="386"/>
      <c r="M108" s="386"/>
      <c r="N108" s="386"/>
      <c r="O108" s="386"/>
      <c r="P108" s="386"/>
      <c r="Q108" s="386"/>
      <c r="R108" s="386"/>
      <c r="S108" s="386"/>
      <c r="T108" s="386"/>
      <c r="U108" s="386"/>
      <c r="V108" s="386"/>
      <c r="W108" s="386"/>
      <c r="X108" s="386"/>
      <c r="Y108" s="386"/>
      <c r="Z108" s="386"/>
      <c r="AA108" s="386"/>
      <c r="AB108" s="386"/>
      <c r="AC108" s="386"/>
      <c r="AD108" s="386"/>
      <c r="AE108" s="386"/>
      <c r="AF108" s="386"/>
      <c r="AG108" s="386"/>
      <c r="AH108" s="386"/>
      <c r="AI108" s="386"/>
      <c r="AJ108" s="386"/>
      <c r="AK108" s="386"/>
      <c r="AL108" s="386"/>
      <c r="AM108" s="386"/>
      <c r="AN108" s="386"/>
      <c r="AO108" s="386"/>
      <c r="AP108" s="386"/>
      <c r="AQ108" s="386"/>
      <c r="AR108" s="386"/>
      <c r="AS108" s="386"/>
      <c r="AT108" s="386"/>
      <c r="AU108" s="386"/>
      <c r="AV108" s="386"/>
      <c r="AW108" s="386"/>
      <c r="AX108" s="386"/>
      <c r="AY108" s="386"/>
      <c r="AZ108" s="386"/>
      <c r="BA108" s="386"/>
      <c r="BB108" s="386"/>
      <c r="BC108" s="386"/>
      <c r="BD108" s="386"/>
      <c r="BE108" s="386"/>
      <c r="BF108" s="386"/>
      <c r="BG108" s="386"/>
      <c r="BH108" s="387"/>
      <c r="BI108" s="367"/>
      <c r="BJ108" s="87"/>
      <c r="BK108" s="86"/>
      <c r="BL108" s="85"/>
      <c r="BM108" s="84"/>
      <c r="BN108" s="84"/>
    </row>
    <row r="109" spans="1:66" s="88" customFormat="1" x14ac:dyDescent="1.4">
      <c r="A109" s="393"/>
      <c r="B109" s="92"/>
      <c r="C109" s="91"/>
      <c r="D109" s="90"/>
      <c r="E109" s="93"/>
      <c r="F109" s="385"/>
      <c r="G109" s="386"/>
      <c r="H109" s="386"/>
      <c r="I109" s="386"/>
      <c r="J109" s="386"/>
      <c r="K109" s="386"/>
      <c r="L109" s="386"/>
      <c r="M109" s="386"/>
      <c r="N109" s="386"/>
      <c r="O109" s="386"/>
      <c r="P109" s="386"/>
      <c r="Q109" s="386"/>
      <c r="R109" s="386"/>
      <c r="S109" s="386"/>
      <c r="T109" s="386"/>
      <c r="U109" s="386"/>
      <c r="V109" s="386"/>
      <c r="W109" s="386"/>
      <c r="X109" s="386"/>
      <c r="Y109" s="386"/>
      <c r="Z109" s="386"/>
      <c r="AA109" s="386"/>
      <c r="AB109" s="386"/>
      <c r="AC109" s="386"/>
      <c r="AD109" s="386"/>
      <c r="AE109" s="386"/>
      <c r="AF109" s="386"/>
      <c r="AG109" s="386"/>
      <c r="AH109" s="386"/>
      <c r="AI109" s="386"/>
      <c r="AJ109" s="386"/>
      <c r="AK109" s="386"/>
      <c r="AL109" s="386"/>
      <c r="AM109" s="386"/>
      <c r="AN109" s="386"/>
      <c r="AO109" s="386"/>
      <c r="AP109" s="386"/>
      <c r="AQ109" s="386"/>
      <c r="AR109" s="386"/>
      <c r="AS109" s="386"/>
      <c r="AT109" s="386"/>
      <c r="AU109" s="386"/>
      <c r="AV109" s="386"/>
      <c r="AW109" s="386"/>
      <c r="AX109" s="386"/>
      <c r="AY109" s="386"/>
      <c r="AZ109" s="386"/>
      <c r="BA109" s="386"/>
      <c r="BB109" s="386"/>
      <c r="BC109" s="386"/>
      <c r="BD109" s="386"/>
      <c r="BE109" s="386"/>
      <c r="BF109" s="386"/>
      <c r="BG109" s="386"/>
      <c r="BH109" s="387"/>
      <c r="BI109" s="367"/>
      <c r="BJ109" s="87"/>
      <c r="BK109" s="86"/>
      <c r="BL109" s="85"/>
      <c r="BM109" s="84"/>
      <c r="BN109" s="84"/>
    </row>
    <row r="110" spans="1:66" s="88" customFormat="1" x14ac:dyDescent="1.4">
      <c r="A110" s="393"/>
      <c r="B110" s="92"/>
      <c r="C110" s="91"/>
      <c r="D110" s="90"/>
      <c r="E110" s="93"/>
      <c r="F110" s="385"/>
      <c r="G110" s="386"/>
      <c r="H110" s="386"/>
      <c r="I110" s="386"/>
      <c r="J110" s="386"/>
      <c r="K110" s="386"/>
      <c r="L110" s="386"/>
      <c r="M110" s="386"/>
      <c r="N110" s="386"/>
      <c r="O110" s="386"/>
      <c r="P110" s="386"/>
      <c r="Q110" s="386"/>
      <c r="R110" s="386"/>
      <c r="S110" s="386"/>
      <c r="T110" s="386"/>
      <c r="U110" s="386"/>
      <c r="V110" s="386"/>
      <c r="W110" s="386"/>
      <c r="X110" s="386"/>
      <c r="Y110" s="386"/>
      <c r="Z110" s="386"/>
      <c r="AA110" s="386"/>
      <c r="AB110" s="386"/>
      <c r="AC110" s="386"/>
      <c r="AD110" s="386"/>
      <c r="AE110" s="386"/>
      <c r="AF110" s="386"/>
      <c r="AG110" s="386"/>
      <c r="AH110" s="386"/>
      <c r="AI110" s="386"/>
      <c r="AJ110" s="386"/>
      <c r="AK110" s="386"/>
      <c r="AL110" s="386"/>
      <c r="AM110" s="386"/>
      <c r="AN110" s="386"/>
      <c r="AO110" s="386"/>
      <c r="AP110" s="386"/>
      <c r="AQ110" s="386"/>
      <c r="AR110" s="386"/>
      <c r="AS110" s="386"/>
      <c r="AT110" s="386"/>
      <c r="AU110" s="386"/>
      <c r="AV110" s="386"/>
      <c r="AW110" s="386"/>
      <c r="AX110" s="386"/>
      <c r="AY110" s="386"/>
      <c r="AZ110" s="386"/>
      <c r="BA110" s="386"/>
      <c r="BB110" s="386"/>
      <c r="BC110" s="386"/>
      <c r="BD110" s="386"/>
      <c r="BE110" s="386"/>
      <c r="BF110" s="386"/>
      <c r="BG110" s="386"/>
      <c r="BH110" s="387"/>
      <c r="BI110" s="367"/>
      <c r="BJ110" s="87"/>
      <c r="BK110" s="86"/>
      <c r="BL110" s="85"/>
      <c r="BM110" s="84"/>
      <c r="BN110" s="84"/>
    </row>
    <row r="111" spans="1:66" s="88" customFormat="1" x14ac:dyDescent="1.4">
      <c r="A111" s="393"/>
      <c r="B111" s="92"/>
      <c r="C111" s="91"/>
      <c r="D111" s="90"/>
      <c r="E111" s="93"/>
      <c r="F111" s="385"/>
      <c r="G111" s="386"/>
      <c r="H111" s="386"/>
      <c r="I111" s="386"/>
      <c r="J111" s="386"/>
      <c r="K111" s="386"/>
      <c r="L111" s="386"/>
      <c r="M111" s="386"/>
      <c r="N111" s="386"/>
      <c r="O111" s="386"/>
      <c r="P111" s="386"/>
      <c r="Q111" s="386"/>
      <c r="R111" s="386"/>
      <c r="S111" s="386"/>
      <c r="T111" s="386"/>
      <c r="U111" s="386"/>
      <c r="V111" s="386"/>
      <c r="W111" s="386"/>
      <c r="X111" s="386"/>
      <c r="Y111" s="386"/>
      <c r="Z111" s="386"/>
      <c r="AA111" s="386"/>
      <c r="AB111" s="386"/>
      <c r="AC111" s="386"/>
      <c r="AD111" s="386"/>
      <c r="AE111" s="386"/>
      <c r="AF111" s="386"/>
      <c r="AG111" s="386"/>
      <c r="AH111" s="386"/>
      <c r="AI111" s="386"/>
      <c r="AJ111" s="386"/>
      <c r="AK111" s="386"/>
      <c r="AL111" s="386"/>
      <c r="AM111" s="386"/>
      <c r="AN111" s="386"/>
      <c r="AO111" s="386"/>
      <c r="AP111" s="386"/>
      <c r="AQ111" s="386"/>
      <c r="AR111" s="386"/>
      <c r="AS111" s="386"/>
      <c r="AT111" s="386"/>
      <c r="AU111" s="386"/>
      <c r="AV111" s="386"/>
      <c r="AW111" s="386"/>
      <c r="AX111" s="386"/>
      <c r="AY111" s="386"/>
      <c r="AZ111" s="386"/>
      <c r="BA111" s="386"/>
      <c r="BB111" s="386"/>
      <c r="BC111" s="386"/>
      <c r="BD111" s="386"/>
      <c r="BE111" s="386"/>
      <c r="BF111" s="386"/>
      <c r="BG111" s="386"/>
      <c r="BH111" s="387"/>
      <c r="BI111" s="367"/>
      <c r="BJ111" s="87"/>
      <c r="BK111" s="86"/>
      <c r="BL111" s="85"/>
      <c r="BM111" s="84"/>
      <c r="BN111" s="84"/>
    </row>
    <row r="112" spans="1:66" s="88" customFormat="1" x14ac:dyDescent="1.4">
      <c r="A112" s="393"/>
      <c r="B112" s="92"/>
      <c r="C112" s="91"/>
      <c r="D112" s="90"/>
      <c r="E112" s="93"/>
      <c r="F112" s="385"/>
      <c r="G112" s="386"/>
      <c r="H112" s="386"/>
      <c r="I112" s="386"/>
      <c r="J112" s="386"/>
      <c r="K112" s="386"/>
      <c r="L112" s="386"/>
      <c r="M112" s="386"/>
      <c r="N112" s="386"/>
      <c r="O112" s="386"/>
      <c r="P112" s="386"/>
      <c r="Q112" s="386"/>
      <c r="R112" s="386"/>
      <c r="S112" s="386"/>
      <c r="T112" s="386"/>
      <c r="U112" s="386"/>
      <c r="V112" s="386"/>
      <c r="W112" s="386"/>
      <c r="X112" s="386"/>
      <c r="Y112" s="386"/>
      <c r="Z112" s="386"/>
      <c r="AA112" s="386"/>
      <c r="AB112" s="386"/>
      <c r="AC112" s="386"/>
      <c r="AD112" s="386"/>
      <c r="AE112" s="386"/>
      <c r="AF112" s="386"/>
      <c r="AG112" s="386"/>
      <c r="AH112" s="386"/>
      <c r="AI112" s="386"/>
      <c r="AJ112" s="386"/>
      <c r="AK112" s="386"/>
      <c r="AL112" s="386"/>
      <c r="AM112" s="386"/>
      <c r="AN112" s="386"/>
      <c r="AO112" s="386"/>
      <c r="AP112" s="386"/>
      <c r="AQ112" s="386"/>
      <c r="AR112" s="386"/>
      <c r="AS112" s="386"/>
      <c r="AT112" s="386"/>
      <c r="AU112" s="386"/>
      <c r="AV112" s="386"/>
      <c r="AW112" s="386"/>
      <c r="AX112" s="386"/>
      <c r="AY112" s="386"/>
      <c r="AZ112" s="386"/>
      <c r="BA112" s="386"/>
      <c r="BB112" s="386"/>
      <c r="BC112" s="386"/>
      <c r="BD112" s="386"/>
      <c r="BE112" s="386"/>
      <c r="BF112" s="386"/>
      <c r="BG112" s="386"/>
      <c r="BH112" s="387"/>
      <c r="BI112" s="367"/>
      <c r="BJ112" s="87"/>
      <c r="BK112" s="86"/>
      <c r="BL112" s="85"/>
      <c r="BM112" s="84"/>
      <c r="BN112" s="84"/>
    </row>
    <row r="113" spans="1:66" s="88" customFormat="1" x14ac:dyDescent="1.4">
      <c r="A113" s="393"/>
      <c r="B113" s="92"/>
      <c r="C113" s="91"/>
      <c r="D113" s="90"/>
      <c r="E113" s="93"/>
      <c r="F113" s="385"/>
      <c r="G113" s="386"/>
      <c r="H113" s="386"/>
      <c r="I113" s="386"/>
      <c r="J113" s="386"/>
      <c r="K113" s="386"/>
      <c r="L113" s="386"/>
      <c r="M113" s="386"/>
      <c r="N113" s="386"/>
      <c r="O113" s="386"/>
      <c r="P113" s="386"/>
      <c r="Q113" s="386"/>
      <c r="R113" s="386"/>
      <c r="S113" s="386"/>
      <c r="T113" s="386"/>
      <c r="U113" s="386"/>
      <c r="V113" s="386"/>
      <c r="W113" s="386"/>
      <c r="X113" s="386"/>
      <c r="Y113" s="386"/>
      <c r="Z113" s="386"/>
      <c r="AA113" s="386"/>
      <c r="AB113" s="386"/>
      <c r="AC113" s="386"/>
      <c r="AD113" s="386"/>
      <c r="AE113" s="386"/>
      <c r="AF113" s="386"/>
      <c r="AG113" s="386"/>
      <c r="AH113" s="386"/>
      <c r="AI113" s="386"/>
      <c r="AJ113" s="386"/>
      <c r="AK113" s="386"/>
      <c r="AL113" s="386"/>
      <c r="AM113" s="386"/>
      <c r="AN113" s="386"/>
      <c r="AO113" s="386"/>
      <c r="AP113" s="386"/>
      <c r="AQ113" s="386"/>
      <c r="AR113" s="386"/>
      <c r="AS113" s="386"/>
      <c r="AT113" s="386"/>
      <c r="AU113" s="386"/>
      <c r="AV113" s="386"/>
      <c r="AW113" s="386"/>
      <c r="AX113" s="386"/>
      <c r="AY113" s="386"/>
      <c r="AZ113" s="386"/>
      <c r="BA113" s="386"/>
      <c r="BB113" s="386"/>
      <c r="BC113" s="386"/>
      <c r="BD113" s="386"/>
      <c r="BE113" s="386"/>
      <c r="BF113" s="386"/>
      <c r="BG113" s="386"/>
      <c r="BH113" s="387"/>
      <c r="BI113" s="367"/>
      <c r="BJ113" s="87"/>
      <c r="BK113" s="86"/>
      <c r="BL113" s="85"/>
      <c r="BM113" s="84"/>
      <c r="BN113" s="84"/>
    </row>
    <row r="114" spans="1:66" s="88" customFormat="1" x14ac:dyDescent="1.4">
      <c r="A114" s="393"/>
      <c r="B114" s="92"/>
      <c r="C114" s="91"/>
      <c r="D114" s="90"/>
      <c r="E114" s="93"/>
      <c r="F114" s="385"/>
      <c r="G114" s="386"/>
      <c r="H114" s="386"/>
      <c r="I114" s="386"/>
      <c r="J114" s="386"/>
      <c r="K114" s="386"/>
      <c r="L114" s="386"/>
      <c r="M114" s="386"/>
      <c r="N114" s="386"/>
      <c r="O114" s="386"/>
      <c r="P114" s="386"/>
      <c r="Q114" s="386"/>
      <c r="R114" s="386"/>
      <c r="S114" s="386"/>
      <c r="T114" s="386"/>
      <c r="U114" s="386"/>
      <c r="V114" s="386"/>
      <c r="W114" s="386"/>
      <c r="X114" s="386"/>
      <c r="Y114" s="386"/>
      <c r="Z114" s="386"/>
      <c r="AA114" s="386"/>
      <c r="AB114" s="386"/>
      <c r="AC114" s="386"/>
      <c r="AD114" s="386"/>
      <c r="AE114" s="386"/>
      <c r="AF114" s="386"/>
      <c r="AG114" s="386"/>
      <c r="AH114" s="386"/>
      <c r="AI114" s="386"/>
      <c r="AJ114" s="386"/>
      <c r="AK114" s="386"/>
      <c r="AL114" s="386"/>
      <c r="AM114" s="386"/>
      <c r="AN114" s="386"/>
      <c r="AO114" s="386"/>
      <c r="AP114" s="386"/>
      <c r="AQ114" s="386"/>
      <c r="AR114" s="386"/>
      <c r="AS114" s="386"/>
      <c r="AT114" s="386"/>
      <c r="AU114" s="386"/>
      <c r="AV114" s="386"/>
      <c r="AW114" s="386"/>
      <c r="AX114" s="386"/>
      <c r="AY114" s="386"/>
      <c r="AZ114" s="386"/>
      <c r="BA114" s="386"/>
      <c r="BB114" s="386"/>
      <c r="BC114" s="386"/>
      <c r="BD114" s="386"/>
      <c r="BE114" s="386"/>
      <c r="BF114" s="386"/>
      <c r="BG114" s="386"/>
      <c r="BH114" s="387"/>
      <c r="BI114" s="367"/>
      <c r="BJ114" s="87"/>
      <c r="BK114" s="86"/>
      <c r="BL114" s="85"/>
      <c r="BM114" s="84"/>
      <c r="BN114" s="84"/>
    </row>
    <row r="115" spans="1:66" s="88" customFormat="1" x14ac:dyDescent="1.4">
      <c r="A115" s="393"/>
      <c r="B115" s="92"/>
      <c r="C115" s="91"/>
      <c r="D115" s="90"/>
      <c r="E115" s="93"/>
      <c r="F115" s="385"/>
      <c r="G115" s="386"/>
      <c r="H115" s="386"/>
      <c r="I115" s="386"/>
      <c r="J115" s="386"/>
      <c r="K115" s="386"/>
      <c r="L115" s="386"/>
      <c r="M115" s="386"/>
      <c r="N115" s="386"/>
      <c r="O115" s="386"/>
      <c r="P115" s="386"/>
      <c r="Q115" s="386"/>
      <c r="R115" s="386"/>
      <c r="S115" s="386"/>
      <c r="T115" s="386"/>
      <c r="U115" s="386"/>
      <c r="V115" s="386"/>
      <c r="W115" s="386"/>
      <c r="X115" s="386"/>
      <c r="Y115" s="386"/>
      <c r="Z115" s="386"/>
      <c r="AA115" s="386"/>
      <c r="AB115" s="386"/>
      <c r="AC115" s="386"/>
      <c r="AD115" s="386"/>
      <c r="AE115" s="386"/>
      <c r="AF115" s="386"/>
      <c r="AG115" s="386"/>
      <c r="AH115" s="386"/>
      <c r="AI115" s="386"/>
      <c r="AJ115" s="386"/>
      <c r="AK115" s="386"/>
      <c r="AL115" s="386"/>
      <c r="AM115" s="386"/>
      <c r="AN115" s="386"/>
      <c r="AO115" s="386"/>
      <c r="AP115" s="386"/>
      <c r="AQ115" s="386"/>
      <c r="AR115" s="386"/>
      <c r="AS115" s="386"/>
      <c r="AT115" s="386"/>
      <c r="AU115" s="386"/>
      <c r="AV115" s="386"/>
      <c r="AW115" s="386"/>
      <c r="AX115" s="386"/>
      <c r="AY115" s="386"/>
      <c r="AZ115" s="386"/>
      <c r="BA115" s="386"/>
      <c r="BB115" s="386"/>
      <c r="BC115" s="386"/>
      <c r="BD115" s="386"/>
      <c r="BE115" s="386"/>
      <c r="BF115" s="386"/>
      <c r="BG115" s="386"/>
      <c r="BH115" s="387"/>
      <c r="BI115" s="367"/>
      <c r="BJ115" s="87"/>
      <c r="BK115" s="86"/>
      <c r="BL115" s="85"/>
      <c r="BM115" s="84"/>
      <c r="BN115" s="84"/>
    </row>
    <row r="116" spans="1:66" s="88" customFormat="1" x14ac:dyDescent="1.4">
      <c r="A116" s="393"/>
      <c r="B116" s="92"/>
      <c r="C116" s="91"/>
      <c r="D116" s="90"/>
      <c r="E116" s="93"/>
      <c r="F116" s="385"/>
      <c r="G116" s="386"/>
      <c r="H116" s="386"/>
      <c r="I116" s="386"/>
      <c r="J116" s="386"/>
      <c r="K116" s="386"/>
      <c r="L116" s="386"/>
      <c r="M116" s="386"/>
      <c r="N116" s="386"/>
      <c r="O116" s="386"/>
      <c r="P116" s="386"/>
      <c r="Q116" s="386"/>
      <c r="R116" s="386"/>
      <c r="S116" s="386"/>
      <c r="T116" s="386"/>
      <c r="U116" s="386"/>
      <c r="V116" s="386"/>
      <c r="W116" s="386"/>
      <c r="X116" s="386"/>
      <c r="Y116" s="386"/>
      <c r="Z116" s="386"/>
      <c r="AA116" s="386"/>
      <c r="AB116" s="386"/>
      <c r="AC116" s="386"/>
      <c r="AD116" s="386"/>
      <c r="AE116" s="386"/>
      <c r="AF116" s="386"/>
      <c r="AG116" s="386"/>
      <c r="AH116" s="386"/>
      <c r="AI116" s="386"/>
      <c r="AJ116" s="386"/>
      <c r="AK116" s="386"/>
      <c r="AL116" s="386"/>
      <c r="AM116" s="386"/>
      <c r="AN116" s="386"/>
      <c r="AO116" s="386"/>
      <c r="AP116" s="386"/>
      <c r="AQ116" s="386"/>
      <c r="AR116" s="386"/>
      <c r="AS116" s="386"/>
      <c r="AT116" s="386"/>
      <c r="AU116" s="386"/>
      <c r="AV116" s="386"/>
      <c r="AW116" s="386"/>
      <c r="AX116" s="386"/>
      <c r="AY116" s="386"/>
      <c r="AZ116" s="386"/>
      <c r="BA116" s="386"/>
      <c r="BB116" s="386"/>
      <c r="BC116" s="386"/>
      <c r="BD116" s="386"/>
      <c r="BE116" s="386"/>
      <c r="BF116" s="386"/>
      <c r="BG116" s="386"/>
      <c r="BH116" s="387"/>
      <c r="BI116" s="367"/>
      <c r="BJ116" s="87"/>
      <c r="BK116" s="86"/>
      <c r="BL116" s="85"/>
      <c r="BM116" s="84"/>
      <c r="BN116" s="84"/>
    </row>
    <row r="117" spans="1:66" s="88" customFormat="1" x14ac:dyDescent="1.4">
      <c r="A117" s="393"/>
      <c r="B117" s="92"/>
      <c r="C117" s="91"/>
      <c r="D117" s="90"/>
      <c r="E117" s="93"/>
      <c r="F117" s="385"/>
      <c r="G117" s="386"/>
      <c r="H117" s="386"/>
      <c r="I117" s="386"/>
      <c r="J117" s="386"/>
      <c r="K117" s="386"/>
      <c r="L117" s="386"/>
      <c r="M117" s="386"/>
      <c r="N117" s="386"/>
      <c r="O117" s="386"/>
      <c r="P117" s="386"/>
      <c r="Q117" s="386"/>
      <c r="R117" s="386"/>
      <c r="S117" s="386"/>
      <c r="T117" s="386"/>
      <c r="U117" s="386"/>
      <c r="V117" s="386"/>
      <c r="W117" s="386"/>
      <c r="X117" s="386"/>
      <c r="Y117" s="386"/>
      <c r="Z117" s="386"/>
      <c r="AA117" s="386"/>
      <c r="AB117" s="386"/>
      <c r="AC117" s="386"/>
      <c r="AD117" s="386"/>
      <c r="AE117" s="386"/>
      <c r="AF117" s="386"/>
      <c r="AG117" s="386"/>
      <c r="AH117" s="386"/>
      <c r="AI117" s="386"/>
      <c r="AJ117" s="386"/>
      <c r="AK117" s="386"/>
      <c r="AL117" s="386"/>
      <c r="AM117" s="386"/>
      <c r="AN117" s="386"/>
      <c r="AO117" s="386"/>
      <c r="AP117" s="386"/>
      <c r="AQ117" s="386"/>
      <c r="AR117" s="386"/>
      <c r="AS117" s="386"/>
      <c r="AT117" s="386"/>
      <c r="AU117" s="386"/>
      <c r="AV117" s="386"/>
      <c r="AW117" s="386"/>
      <c r="AX117" s="386"/>
      <c r="AY117" s="386"/>
      <c r="AZ117" s="386"/>
      <c r="BA117" s="386"/>
      <c r="BB117" s="386"/>
      <c r="BC117" s="386"/>
      <c r="BD117" s="386"/>
      <c r="BE117" s="386"/>
      <c r="BF117" s="386"/>
      <c r="BG117" s="386"/>
      <c r="BH117" s="387"/>
      <c r="BI117" s="367"/>
      <c r="BJ117" s="87"/>
      <c r="BK117" s="86"/>
      <c r="BL117" s="85"/>
      <c r="BM117" s="84"/>
      <c r="BN117" s="84"/>
    </row>
    <row r="118" spans="1:66" s="88" customFormat="1" x14ac:dyDescent="1.4">
      <c r="A118" s="393"/>
      <c r="B118" s="92"/>
      <c r="C118" s="91"/>
      <c r="D118" s="90"/>
      <c r="E118" s="93"/>
      <c r="F118" s="385"/>
      <c r="G118" s="386"/>
      <c r="H118" s="386"/>
      <c r="I118" s="386"/>
      <c r="J118" s="386"/>
      <c r="K118" s="386"/>
      <c r="L118" s="386"/>
      <c r="M118" s="386"/>
      <c r="N118" s="386"/>
      <c r="O118" s="386"/>
      <c r="P118" s="386"/>
      <c r="Q118" s="386"/>
      <c r="R118" s="386"/>
      <c r="S118" s="386"/>
      <c r="T118" s="386"/>
      <c r="U118" s="386"/>
      <c r="V118" s="386"/>
      <c r="W118" s="386"/>
      <c r="X118" s="386"/>
      <c r="Y118" s="386"/>
      <c r="Z118" s="386"/>
      <c r="AA118" s="386"/>
      <c r="AB118" s="386"/>
      <c r="AC118" s="386"/>
      <c r="AD118" s="386"/>
      <c r="AE118" s="386"/>
      <c r="AF118" s="386"/>
      <c r="AG118" s="386"/>
      <c r="AH118" s="386"/>
      <c r="AI118" s="386"/>
      <c r="AJ118" s="386"/>
      <c r="AK118" s="386"/>
      <c r="AL118" s="386"/>
      <c r="AM118" s="386"/>
      <c r="AN118" s="386"/>
      <c r="AO118" s="386"/>
      <c r="AP118" s="386"/>
      <c r="AQ118" s="386"/>
      <c r="AR118" s="386"/>
      <c r="AS118" s="386"/>
      <c r="AT118" s="386"/>
      <c r="AU118" s="386"/>
      <c r="AV118" s="386"/>
      <c r="AW118" s="386"/>
      <c r="AX118" s="386"/>
      <c r="AY118" s="386"/>
      <c r="AZ118" s="386"/>
      <c r="BA118" s="386"/>
      <c r="BB118" s="386"/>
      <c r="BC118" s="386"/>
      <c r="BD118" s="386"/>
      <c r="BE118" s="386"/>
      <c r="BF118" s="386"/>
      <c r="BG118" s="386"/>
      <c r="BH118" s="387"/>
      <c r="BI118" s="367"/>
      <c r="BJ118" s="87"/>
      <c r="BK118" s="86"/>
      <c r="BL118" s="85"/>
      <c r="BM118" s="84"/>
      <c r="BN118" s="84"/>
    </row>
    <row r="119" spans="1:66" s="88" customFormat="1" x14ac:dyDescent="1.4">
      <c r="A119" s="393"/>
      <c r="B119" s="92"/>
      <c r="C119" s="91"/>
      <c r="D119" s="90"/>
      <c r="E119" s="93"/>
      <c r="F119" s="385"/>
      <c r="G119" s="386"/>
      <c r="H119" s="386"/>
      <c r="I119" s="386"/>
      <c r="J119" s="386"/>
      <c r="K119" s="386"/>
      <c r="L119" s="386"/>
      <c r="M119" s="386"/>
      <c r="N119" s="386"/>
      <c r="O119" s="386"/>
      <c r="P119" s="386"/>
      <c r="Q119" s="386"/>
      <c r="R119" s="386"/>
      <c r="S119" s="386"/>
      <c r="T119" s="386"/>
      <c r="U119" s="386"/>
      <c r="V119" s="386"/>
      <c r="W119" s="386"/>
      <c r="X119" s="386"/>
      <c r="Y119" s="386"/>
      <c r="Z119" s="386"/>
      <c r="AA119" s="386"/>
      <c r="AB119" s="386"/>
      <c r="AC119" s="386"/>
      <c r="AD119" s="386"/>
      <c r="AE119" s="386"/>
      <c r="AF119" s="386"/>
      <c r="AG119" s="386"/>
      <c r="AH119" s="386"/>
      <c r="AI119" s="386"/>
      <c r="AJ119" s="386"/>
      <c r="AK119" s="386"/>
      <c r="AL119" s="386"/>
      <c r="AM119" s="386"/>
      <c r="AN119" s="386"/>
      <c r="AO119" s="386"/>
      <c r="AP119" s="386"/>
      <c r="AQ119" s="386"/>
      <c r="AR119" s="386"/>
      <c r="AS119" s="386"/>
      <c r="AT119" s="386"/>
      <c r="AU119" s="386"/>
      <c r="AV119" s="386"/>
      <c r="AW119" s="386"/>
      <c r="AX119" s="386"/>
      <c r="AY119" s="386"/>
      <c r="AZ119" s="386"/>
      <c r="BA119" s="386"/>
      <c r="BB119" s="386"/>
      <c r="BC119" s="386"/>
      <c r="BD119" s="386"/>
      <c r="BE119" s="386"/>
      <c r="BF119" s="386"/>
      <c r="BG119" s="386"/>
      <c r="BH119" s="387"/>
      <c r="BI119" s="367"/>
      <c r="BJ119" s="87"/>
      <c r="BK119" s="86"/>
      <c r="BL119" s="85"/>
      <c r="BM119" s="84"/>
      <c r="BN119" s="84"/>
    </row>
    <row r="120" spans="1:66" s="88" customFormat="1" x14ac:dyDescent="1.4">
      <c r="A120" s="393"/>
      <c r="B120" s="92"/>
      <c r="C120" s="91"/>
      <c r="D120" s="90"/>
      <c r="E120" s="93"/>
      <c r="F120" s="385"/>
      <c r="G120" s="386"/>
      <c r="H120" s="386"/>
      <c r="I120" s="386"/>
      <c r="J120" s="386"/>
      <c r="K120" s="386"/>
      <c r="L120" s="386"/>
      <c r="M120" s="386"/>
      <c r="N120" s="386"/>
      <c r="O120" s="386"/>
      <c r="P120" s="386"/>
      <c r="Q120" s="386"/>
      <c r="R120" s="386"/>
      <c r="S120" s="386"/>
      <c r="T120" s="386"/>
      <c r="U120" s="386"/>
      <c r="V120" s="386"/>
      <c r="W120" s="386"/>
      <c r="X120" s="386"/>
      <c r="Y120" s="386"/>
      <c r="Z120" s="386"/>
      <c r="AA120" s="386"/>
      <c r="AB120" s="386"/>
      <c r="AC120" s="386"/>
      <c r="AD120" s="386"/>
      <c r="AE120" s="386"/>
      <c r="AF120" s="386"/>
      <c r="AG120" s="386"/>
      <c r="AH120" s="386"/>
      <c r="AI120" s="386"/>
      <c r="AJ120" s="386"/>
      <c r="AK120" s="386"/>
      <c r="AL120" s="386"/>
      <c r="AM120" s="386"/>
      <c r="AN120" s="386"/>
      <c r="AO120" s="386"/>
      <c r="AP120" s="386"/>
      <c r="AQ120" s="386"/>
      <c r="AR120" s="386"/>
      <c r="AS120" s="386"/>
      <c r="AT120" s="386"/>
      <c r="AU120" s="386"/>
      <c r="AV120" s="386"/>
      <c r="AW120" s="386"/>
      <c r="AX120" s="386"/>
      <c r="AY120" s="386"/>
      <c r="AZ120" s="386"/>
      <c r="BA120" s="386"/>
      <c r="BB120" s="386"/>
      <c r="BC120" s="386"/>
      <c r="BD120" s="386"/>
      <c r="BE120" s="386"/>
      <c r="BF120" s="386"/>
      <c r="BG120" s="386"/>
      <c r="BH120" s="387"/>
      <c r="BI120" s="367"/>
      <c r="BJ120" s="87"/>
      <c r="BK120" s="86"/>
      <c r="BL120" s="85"/>
      <c r="BM120" s="84"/>
      <c r="BN120" s="84"/>
    </row>
    <row r="121" spans="1:66" s="88" customFormat="1" x14ac:dyDescent="1.4">
      <c r="A121" s="393"/>
      <c r="B121" s="92"/>
      <c r="C121" s="91"/>
      <c r="D121" s="90"/>
      <c r="E121" s="93"/>
      <c r="F121" s="385"/>
      <c r="G121" s="386"/>
      <c r="H121" s="386"/>
      <c r="I121" s="386"/>
      <c r="J121" s="386"/>
      <c r="K121" s="386"/>
      <c r="L121" s="386"/>
      <c r="M121" s="386"/>
      <c r="N121" s="386"/>
      <c r="O121" s="386"/>
      <c r="P121" s="386"/>
      <c r="Q121" s="386"/>
      <c r="R121" s="386"/>
      <c r="S121" s="386"/>
      <c r="T121" s="386"/>
      <c r="U121" s="386"/>
      <c r="V121" s="386"/>
      <c r="W121" s="386"/>
      <c r="X121" s="386"/>
      <c r="Y121" s="386"/>
      <c r="Z121" s="386"/>
      <c r="AA121" s="386"/>
      <c r="AB121" s="386"/>
      <c r="AC121" s="386"/>
      <c r="AD121" s="386"/>
      <c r="AE121" s="386"/>
      <c r="AF121" s="386"/>
      <c r="AG121" s="386"/>
      <c r="AH121" s="386"/>
      <c r="AI121" s="386"/>
      <c r="AJ121" s="386"/>
      <c r="AK121" s="386"/>
      <c r="AL121" s="386"/>
      <c r="AM121" s="386"/>
      <c r="AN121" s="386"/>
      <c r="AO121" s="386"/>
      <c r="AP121" s="386"/>
      <c r="AQ121" s="386"/>
      <c r="AR121" s="386"/>
      <c r="AS121" s="386"/>
      <c r="AT121" s="386"/>
      <c r="AU121" s="386"/>
      <c r="AV121" s="386"/>
      <c r="AW121" s="386"/>
      <c r="AX121" s="386"/>
      <c r="AY121" s="386"/>
      <c r="AZ121" s="386"/>
      <c r="BA121" s="386"/>
      <c r="BB121" s="386"/>
      <c r="BC121" s="386"/>
      <c r="BD121" s="386"/>
      <c r="BE121" s="386"/>
      <c r="BF121" s="386"/>
      <c r="BG121" s="386"/>
      <c r="BH121" s="387"/>
      <c r="BI121" s="367"/>
      <c r="BJ121" s="87"/>
      <c r="BK121" s="86"/>
      <c r="BL121" s="85"/>
      <c r="BM121" s="84"/>
      <c r="BN121" s="84"/>
    </row>
    <row r="122" spans="1:66" s="88" customFormat="1" x14ac:dyDescent="1.4">
      <c r="A122" s="393"/>
      <c r="B122" s="92"/>
      <c r="C122" s="91"/>
      <c r="D122" s="90"/>
      <c r="E122" s="93"/>
      <c r="F122" s="385"/>
      <c r="G122" s="386"/>
      <c r="H122" s="386"/>
      <c r="I122" s="386"/>
      <c r="J122" s="386"/>
      <c r="K122" s="386"/>
      <c r="L122" s="386"/>
      <c r="M122" s="386"/>
      <c r="N122" s="386"/>
      <c r="O122" s="386"/>
      <c r="P122" s="386"/>
      <c r="Q122" s="386"/>
      <c r="R122" s="386"/>
      <c r="S122" s="386"/>
      <c r="T122" s="386"/>
      <c r="U122" s="386"/>
      <c r="V122" s="386"/>
      <c r="W122" s="386"/>
      <c r="X122" s="386"/>
      <c r="Y122" s="386"/>
      <c r="Z122" s="386"/>
      <c r="AA122" s="386"/>
      <c r="AB122" s="386"/>
      <c r="AC122" s="386"/>
      <c r="AD122" s="386"/>
      <c r="AE122" s="386"/>
      <c r="AF122" s="386"/>
      <c r="AG122" s="386"/>
      <c r="AH122" s="386"/>
      <c r="AI122" s="386"/>
      <c r="AJ122" s="386"/>
      <c r="AK122" s="386"/>
      <c r="AL122" s="386"/>
      <c r="AM122" s="386"/>
      <c r="AN122" s="386"/>
      <c r="AO122" s="386"/>
      <c r="AP122" s="386"/>
      <c r="AQ122" s="386"/>
      <c r="AR122" s="386"/>
      <c r="AS122" s="386"/>
      <c r="AT122" s="386"/>
      <c r="AU122" s="386"/>
      <c r="AV122" s="386"/>
      <c r="AW122" s="386"/>
      <c r="AX122" s="386"/>
      <c r="AY122" s="386"/>
      <c r="AZ122" s="386"/>
      <c r="BA122" s="386"/>
      <c r="BB122" s="386"/>
      <c r="BC122" s="386"/>
      <c r="BD122" s="386"/>
      <c r="BE122" s="386"/>
      <c r="BF122" s="386"/>
      <c r="BG122" s="386"/>
      <c r="BH122" s="387"/>
      <c r="BI122" s="367"/>
      <c r="BJ122" s="87"/>
      <c r="BK122" s="86"/>
      <c r="BL122" s="85"/>
      <c r="BM122" s="84"/>
      <c r="BN122" s="84"/>
    </row>
    <row r="123" spans="1:66" s="88" customFormat="1" x14ac:dyDescent="1.4">
      <c r="A123" s="393"/>
      <c r="B123" s="92"/>
      <c r="C123" s="91"/>
      <c r="D123" s="90"/>
      <c r="E123" s="93"/>
      <c r="F123" s="385"/>
      <c r="G123" s="386"/>
      <c r="H123" s="386"/>
      <c r="I123" s="386"/>
      <c r="J123" s="386"/>
      <c r="K123" s="386"/>
      <c r="L123" s="386"/>
      <c r="M123" s="386"/>
      <c r="N123" s="386"/>
      <c r="O123" s="386"/>
      <c r="P123" s="386"/>
      <c r="Q123" s="386"/>
      <c r="R123" s="386"/>
      <c r="S123" s="386"/>
      <c r="T123" s="386"/>
      <c r="U123" s="386"/>
      <c r="V123" s="386"/>
      <c r="W123" s="386"/>
      <c r="X123" s="386"/>
      <c r="Y123" s="386"/>
      <c r="Z123" s="386"/>
      <c r="AA123" s="386"/>
      <c r="AB123" s="386"/>
      <c r="AC123" s="386"/>
      <c r="AD123" s="386"/>
      <c r="AE123" s="386"/>
      <c r="AF123" s="386"/>
      <c r="AG123" s="386"/>
      <c r="AH123" s="386"/>
      <c r="AI123" s="386"/>
      <c r="AJ123" s="386"/>
      <c r="AK123" s="386"/>
      <c r="AL123" s="386"/>
      <c r="AM123" s="386"/>
      <c r="AN123" s="386"/>
      <c r="AO123" s="386"/>
      <c r="AP123" s="386"/>
      <c r="AQ123" s="386"/>
      <c r="AR123" s="386"/>
      <c r="AS123" s="386"/>
      <c r="AT123" s="386"/>
      <c r="AU123" s="386"/>
      <c r="AV123" s="386"/>
      <c r="AW123" s="386"/>
      <c r="AX123" s="386"/>
      <c r="AY123" s="386"/>
      <c r="AZ123" s="386"/>
      <c r="BA123" s="386"/>
      <c r="BB123" s="386"/>
      <c r="BC123" s="386"/>
      <c r="BD123" s="386"/>
      <c r="BE123" s="386"/>
      <c r="BF123" s="386"/>
      <c r="BG123" s="386"/>
      <c r="BH123" s="387"/>
      <c r="BI123" s="367"/>
      <c r="BJ123" s="87"/>
      <c r="BK123" s="86"/>
      <c r="BL123" s="85"/>
      <c r="BM123" s="84"/>
      <c r="BN123" s="84"/>
    </row>
    <row r="124" spans="1:66" s="88" customFormat="1" x14ac:dyDescent="1.4">
      <c r="A124" s="393"/>
      <c r="B124" s="92"/>
      <c r="C124" s="91"/>
      <c r="D124" s="90"/>
      <c r="E124" s="93"/>
      <c r="F124" s="385"/>
      <c r="G124" s="386"/>
      <c r="H124" s="386"/>
      <c r="I124" s="386"/>
      <c r="J124" s="386"/>
      <c r="K124" s="386"/>
      <c r="L124" s="386"/>
      <c r="M124" s="386"/>
      <c r="N124" s="386"/>
      <c r="O124" s="386"/>
      <c r="P124" s="386"/>
      <c r="Q124" s="386"/>
      <c r="R124" s="386"/>
      <c r="S124" s="386"/>
      <c r="T124" s="386"/>
      <c r="U124" s="386"/>
      <c r="V124" s="386"/>
      <c r="W124" s="386"/>
      <c r="X124" s="386"/>
      <c r="Y124" s="386"/>
      <c r="Z124" s="386"/>
      <c r="AA124" s="386"/>
      <c r="AB124" s="386"/>
      <c r="AC124" s="386"/>
      <c r="AD124" s="386"/>
      <c r="AE124" s="386"/>
      <c r="AF124" s="386"/>
      <c r="AG124" s="386"/>
      <c r="AH124" s="386"/>
      <c r="AI124" s="386"/>
      <c r="AJ124" s="386"/>
      <c r="AK124" s="386"/>
      <c r="AL124" s="386"/>
      <c r="AM124" s="386"/>
      <c r="AN124" s="386"/>
      <c r="AO124" s="386"/>
      <c r="AP124" s="386"/>
      <c r="AQ124" s="386"/>
      <c r="AR124" s="386"/>
      <c r="AS124" s="386"/>
      <c r="AT124" s="386"/>
      <c r="AU124" s="386"/>
      <c r="AV124" s="386"/>
      <c r="AW124" s="386"/>
      <c r="AX124" s="386"/>
      <c r="AY124" s="386"/>
      <c r="AZ124" s="386"/>
      <c r="BA124" s="386"/>
      <c r="BB124" s="386"/>
      <c r="BC124" s="386"/>
      <c r="BD124" s="386"/>
      <c r="BE124" s="386"/>
      <c r="BF124" s="386"/>
      <c r="BG124" s="386"/>
      <c r="BH124" s="387"/>
      <c r="BI124" s="367"/>
      <c r="BJ124" s="87"/>
      <c r="BK124" s="86"/>
      <c r="BL124" s="85"/>
      <c r="BM124" s="84"/>
      <c r="BN124" s="84"/>
    </row>
    <row r="125" spans="1:66" s="88" customFormat="1" x14ac:dyDescent="1.4">
      <c r="A125" s="393"/>
      <c r="B125" s="92"/>
      <c r="C125" s="91"/>
      <c r="D125" s="90"/>
      <c r="E125" s="93"/>
      <c r="F125" s="385"/>
      <c r="G125" s="386"/>
      <c r="H125" s="386"/>
      <c r="I125" s="386"/>
      <c r="J125" s="386"/>
      <c r="K125" s="386"/>
      <c r="L125" s="386"/>
      <c r="M125" s="386"/>
      <c r="N125" s="386"/>
      <c r="O125" s="386"/>
      <c r="P125" s="386"/>
      <c r="Q125" s="386"/>
      <c r="R125" s="386"/>
      <c r="S125" s="386"/>
      <c r="T125" s="386"/>
      <c r="U125" s="386"/>
      <c r="V125" s="386"/>
      <c r="W125" s="386"/>
      <c r="X125" s="386"/>
      <c r="Y125" s="386"/>
      <c r="Z125" s="386"/>
      <c r="AA125" s="386"/>
      <c r="AB125" s="386"/>
      <c r="AC125" s="386"/>
      <c r="AD125" s="386"/>
      <c r="AE125" s="386"/>
      <c r="AF125" s="386"/>
      <c r="AG125" s="386"/>
      <c r="AH125" s="386"/>
      <c r="AI125" s="386"/>
      <c r="AJ125" s="386"/>
      <c r="AK125" s="386"/>
      <c r="AL125" s="386"/>
      <c r="AM125" s="386"/>
      <c r="AN125" s="386"/>
      <c r="AO125" s="386"/>
      <c r="AP125" s="386"/>
      <c r="AQ125" s="386"/>
      <c r="AR125" s="386"/>
      <c r="AS125" s="386"/>
      <c r="AT125" s="386"/>
      <c r="AU125" s="386"/>
      <c r="AV125" s="386"/>
      <c r="AW125" s="386"/>
      <c r="AX125" s="386"/>
      <c r="AY125" s="386"/>
      <c r="AZ125" s="386"/>
      <c r="BA125" s="386"/>
      <c r="BB125" s="386"/>
      <c r="BC125" s="386"/>
      <c r="BD125" s="386"/>
      <c r="BE125" s="386"/>
      <c r="BF125" s="386"/>
      <c r="BG125" s="386"/>
      <c r="BH125" s="387"/>
      <c r="BI125" s="367"/>
      <c r="BJ125" s="87"/>
      <c r="BK125" s="86"/>
      <c r="BL125" s="85"/>
      <c r="BM125" s="84"/>
      <c r="BN125" s="84"/>
    </row>
    <row r="126" spans="1:66" s="88" customFormat="1" x14ac:dyDescent="1.4">
      <c r="A126" s="393"/>
      <c r="B126" s="92"/>
      <c r="C126" s="91"/>
      <c r="D126" s="90"/>
      <c r="E126" s="93"/>
      <c r="F126" s="385"/>
      <c r="G126" s="386"/>
      <c r="H126" s="386"/>
      <c r="I126" s="386"/>
      <c r="J126" s="386"/>
      <c r="K126" s="386"/>
      <c r="L126" s="386"/>
      <c r="M126" s="386"/>
      <c r="N126" s="386"/>
      <c r="O126" s="386"/>
      <c r="P126" s="386"/>
      <c r="Q126" s="386"/>
      <c r="R126" s="386"/>
      <c r="S126" s="386"/>
      <c r="T126" s="386"/>
      <c r="U126" s="386"/>
      <c r="V126" s="386"/>
      <c r="W126" s="386"/>
      <c r="X126" s="386"/>
      <c r="Y126" s="386"/>
      <c r="Z126" s="386"/>
      <c r="AA126" s="386"/>
      <c r="AB126" s="386"/>
      <c r="AC126" s="386"/>
      <c r="AD126" s="386"/>
      <c r="AE126" s="386"/>
      <c r="AF126" s="386"/>
      <c r="AG126" s="386"/>
      <c r="AH126" s="386"/>
      <c r="AI126" s="386"/>
      <c r="AJ126" s="386"/>
      <c r="AK126" s="386"/>
      <c r="AL126" s="386"/>
      <c r="AM126" s="386"/>
      <c r="AN126" s="386"/>
      <c r="AO126" s="386"/>
      <c r="AP126" s="386"/>
      <c r="AQ126" s="386"/>
      <c r="AR126" s="386"/>
      <c r="AS126" s="386"/>
      <c r="AT126" s="386"/>
      <c r="AU126" s="386"/>
      <c r="AV126" s="386"/>
      <c r="AW126" s="386"/>
      <c r="AX126" s="386"/>
      <c r="AY126" s="386"/>
      <c r="AZ126" s="386"/>
      <c r="BA126" s="386"/>
      <c r="BB126" s="386"/>
      <c r="BC126" s="386"/>
      <c r="BD126" s="386"/>
      <c r="BE126" s="386"/>
      <c r="BF126" s="386"/>
      <c r="BG126" s="386"/>
      <c r="BH126" s="387"/>
      <c r="BI126" s="367"/>
      <c r="BJ126" s="87"/>
      <c r="BK126" s="86"/>
      <c r="BL126" s="85"/>
      <c r="BM126" s="84"/>
      <c r="BN126" s="84"/>
    </row>
    <row r="127" spans="1:66" s="88" customFormat="1" x14ac:dyDescent="1.4">
      <c r="A127" s="393"/>
      <c r="B127" s="92"/>
      <c r="C127" s="91"/>
      <c r="D127" s="90"/>
      <c r="E127" s="93"/>
      <c r="F127" s="385"/>
      <c r="G127" s="386"/>
      <c r="H127" s="386"/>
      <c r="I127" s="386"/>
      <c r="J127" s="386"/>
      <c r="K127" s="386"/>
      <c r="L127" s="386"/>
      <c r="M127" s="386"/>
      <c r="N127" s="386"/>
      <c r="O127" s="386"/>
      <c r="P127" s="386"/>
      <c r="Q127" s="386"/>
      <c r="R127" s="386"/>
      <c r="S127" s="386"/>
      <c r="T127" s="386"/>
      <c r="U127" s="386"/>
      <c r="V127" s="386"/>
      <c r="W127" s="386"/>
      <c r="X127" s="386"/>
      <c r="Y127" s="386"/>
      <c r="Z127" s="386"/>
      <c r="AA127" s="386"/>
      <c r="AB127" s="386"/>
      <c r="AC127" s="386"/>
      <c r="AD127" s="386"/>
      <c r="AE127" s="386"/>
      <c r="AF127" s="386"/>
      <c r="AG127" s="386"/>
      <c r="AH127" s="386"/>
      <c r="AI127" s="386"/>
      <c r="AJ127" s="386"/>
      <c r="AK127" s="386"/>
      <c r="AL127" s="386"/>
      <c r="AM127" s="386"/>
      <c r="AN127" s="386"/>
      <c r="AO127" s="386"/>
      <c r="AP127" s="386"/>
      <c r="AQ127" s="386"/>
      <c r="AR127" s="386"/>
      <c r="AS127" s="386"/>
      <c r="AT127" s="386"/>
      <c r="AU127" s="386"/>
      <c r="AV127" s="386"/>
      <c r="AW127" s="386"/>
      <c r="AX127" s="386"/>
      <c r="AY127" s="386"/>
      <c r="AZ127" s="386"/>
      <c r="BA127" s="386"/>
      <c r="BB127" s="386"/>
      <c r="BC127" s="386"/>
      <c r="BD127" s="386"/>
      <c r="BE127" s="386"/>
      <c r="BF127" s="386"/>
      <c r="BG127" s="386"/>
      <c r="BH127" s="387"/>
      <c r="BI127" s="367"/>
      <c r="BJ127" s="87"/>
      <c r="BK127" s="86"/>
      <c r="BL127" s="85"/>
      <c r="BM127" s="84"/>
      <c r="BN127" s="84"/>
    </row>
    <row r="128" spans="1:66" s="88" customFormat="1" x14ac:dyDescent="1.4">
      <c r="A128" s="393"/>
      <c r="B128" s="92"/>
      <c r="C128" s="91"/>
      <c r="D128" s="90"/>
      <c r="E128" s="93"/>
      <c r="F128" s="385"/>
      <c r="G128" s="386"/>
      <c r="H128" s="386"/>
      <c r="I128" s="386"/>
      <c r="J128" s="386"/>
      <c r="K128" s="386"/>
      <c r="L128" s="386"/>
      <c r="M128" s="386"/>
      <c r="N128" s="386"/>
      <c r="O128" s="386"/>
      <c r="P128" s="386"/>
      <c r="Q128" s="386"/>
      <c r="R128" s="386"/>
      <c r="S128" s="386"/>
      <c r="T128" s="386"/>
      <c r="U128" s="386"/>
      <c r="V128" s="386"/>
      <c r="W128" s="386"/>
      <c r="X128" s="386"/>
      <c r="Y128" s="386"/>
      <c r="Z128" s="386"/>
      <c r="AA128" s="386"/>
      <c r="AB128" s="386"/>
      <c r="AC128" s="386"/>
      <c r="AD128" s="386"/>
      <c r="AE128" s="386"/>
      <c r="AF128" s="386"/>
      <c r="AG128" s="386"/>
      <c r="AH128" s="386"/>
      <c r="AI128" s="386"/>
      <c r="AJ128" s="386"/>
      <c r="AK128" s="386"/>
      <c r="AL128" s="386"/>
      <c r="AM128" s="386"/>
      <c r="AN128" s="386"/>
      <c r="AO128" s="386"/>
      <c r="AP128" s="386"/>
      <c r="AQ128" s="386"/>
      <c r="AR128" s="386"/>
      <c r="AS128" s="386"/>
      <c r="AT128" s="386"/>
      <c r="AU128" s="386"/>
      <c r="AV128" s="386"/>
      <c r="AW128" s="386"/>
      <c r="AX128" s="386"/>
      <c r="AY128" s="386"/>
      <c r="AZ128" s="386"/>
      <c r="BA128" s="386"/>
      <c r="BB128" s="386"/>
      <c r="BC128" s="386"/>
      <c r="BD128" s="386"/>
      <c r="BE128" s="386"/>
      <c r="BF128" s="386"/>
      <c r="BG128" s="386"/>
      <c r="BH128" s="387"/>
      <c r="BI128" s="367"/>
      <c r="BJ128" s="87"/>
      <c r="BK128" s="86"/>
      <c r="BL128" s="85"/>
      <c r="BM128" s="84"/>
      <c r="BN128" s="84"/>
    </row>
    <row r="129" spans="1:66" s="88" customFormat="1" x14ac:dyDescent="1.4">
      <c r="A129" s="393"/>
      <c r="B129" s="92"/>
      <c r="C129" s="91"/>
      <c r="D129" s="90"/>
      <c r="E129" s="93"/>
      <c r="F129" s="385"/>
      <c r="G129" s="386"/>
      <c r="H129" s="386"/>
      <c r="I129" s="386"/>
      <c r="J129" s="386"/>
      <c r="K129" s="386"/>
      <c r="L129" s="386"/>
      <c r="M129" s="386"/>
      <c r="N129" s="386"/>
      <c r="O129" s="386"/>
      <c r="P129" s="386"/>
      <c r="Q129" s="386"/>
      <c r="R129" s="386"/>
      <c r="S129" s="386"/>
      <c r="T129" s="386"/>
      <c r="U129" s="386"/>
      <c r="V129" s="386"/>
      <c r="W129" s="386"/>
      <c r="X129" s="386"/>
      <c r="Y129" s="386"/>
      <c r="Z129" s="386"/>
      <c r="AA129" s="386"/>
      <c r="AB129" s="386"/>
      <c r="AC129" s="386"/>
      <c r="AD129" s="386"/>
      <c r="AE129" s="386"/>
      <c r="AF129" s="386"/>
      <c r="AG129" s="386"/>
      <c r="AH129" s="386"/>
      <c r="AI129" s="386"/>
      <c r="AJ129" s="386"/>
      <c r="AK129" s="386"/>
      <c r="AL129" s="386"/>
      <c r="AM129" s="386"/>
      <c r="AN129" s="386"/>
      <c r="AO129" s="386"/>
      <c r="AP129" s="386"/>
      <c r="AQ129" s="386"/>
      <c r="AR129" s="386"/>
      <c r="AS129" s="386"/>
      <c r="AT129" s="386"/>
      <c r="AU129" s="386"/>
      <c r="AV129" s="386"/>
      <c r="AW129" s="386"/>
      <c r="AX129" s="386"/>
      <c r="AY129" s="386"/>
      <c r="AZ129" s="386"/>
      <c r="BA129" s="386"/>
      <c r="BB129" s="386"/>
      <c r="BC129" s="386"/>
      <c r="BD129" s="386"/>
      <c r="BE129" s="386"/>
      <c r="BF129" s="386"/>
      <c r="BG129" s="386"/>
      <c r="BH129" s="387"/>
      <c r="BI129" s="367"/>
      <c r="BJ129" s="87"/>
      <c r="BK129" s="86"/>
      <c r="BL129" s="85"/>
      <c r="BM129" s="84"/>
      <c r="BN129" s="84"/>
    </row>
    <row r="130" spans="1:66" s="88" customFormat="1" x14ac:dyDescent="1.4">
      <c r="A130" s="393"/>
      <c r="B130" s="92"/>
      <c r="C130" s="91"/>
      <c r="D130" s="90"/>
      <c r="E130" s="93"/>
      <c r="F130" s="385"/>
      <c r="G130" s="386"/>
      <c r="H130" s="386"/>
      <c r="I130" s="386"/>
      <c r="J130" s="386"/>
      <c r="K130" s="386"/>
      <c r="L130" s="386"/>
      <c r="M130" s="386"/>
      <c r="N130" s="386"/>
      <c r="O130" s="386"/>
      <c r="P130" s="386"/>
      <c r="Q130" s="386"/>
      <c r="R130" s="386"/>
      <c r="S130" s="386"/>
      <c r="T130" s="386"/>
      <c r="U130" s="386"/>
      <c r="V130" s="386"/>
      <c r="W130" s="386"/>
      <c r="X130" s="386"/>
      <c r="Y130" s="386"/>
      <c r="Z130" s="386"/>
      <c r="AA130" s="386"/>
      <c r="AB130" s="386"/>
      <c r="AC130" s="386"/>
      <c r="AD130" s="386"/>
      <c r="AE130" s="386"/>
      <c r="AF130" s="386"/>
      <c r="AG130" s="386"/>
      <c r="AH130" s="386"/>
      <c r="AI130" s="386"/>
      <c r="AJ130" s="386"/>
      <c r="AK130" s="386"/>
      <c r="AL130" s="386"/>
      <c r="AM130" s="386"/>
      <c r="AN130" s="386"/>
      <c r="AO130" s="386"/>
      <c r="AP130" s="386"/>
      <c r="AQ130" s="386"/>
      <c r="AR130" s="386"/>
      <c r="AS130" s="386"/>
      <c r="AT130" s="386"/>
      <c r="AU130" s="386"/>
      <c r="AV130" s="386"/>
      <c r="AW130" s="386"/>
      <c r="AX130" s="386"/>
      <c r="AY130" s="386"/>
      <c r="AZ130" s="386"/>
      <c r="BA130" s="386"/>
      <c r="BB130" s="386"/>
      <c r="BC130" s="386"/>
      <c r="BD130" s="386"/>
      <c r="BE130" s="386"/>
      <c r="BF130" s="386"/>
      <c r="BG130" s="386"/>
      <c r="BH130" s="387"/>
      <c r="BI130" s="367"/>
      <c r="BJ130" s="87"/>
      <c r="BK130" s="86"/>
      <c r="BL130" s="85"/>
      <c r="BM130" s="84"/>
      <c r="BN130" s="84"/>
    </row>
    <row r="131" spans="1:66" s="88" customFormat="1" x14ac:dyDescent="1.4">
      <c r="A131" s="393"/>
      <c r="B131" s="92"/>
      <c r="C131" s="91"/>
      <c r="D131" s="90"/>
      <c r="E131" s="93"/>
      <c r="F131" s="385"/>
      <c r="G131" s="386"/>
      <c r="H131" s="386"/>
      <c r="I131" s="386"/>
      <c r="J131" s="386"/>
      <c r="K131" s="386"/>
      <c r="L131" s="386"/>
      <c r="M131" s="386"/>
      <c r="N131" s="386"/>
      <c r="O131" s="386"/>
      <c r="P131" s="386"/>
      <c r="Q131" s="386"/>
      <c r="R131" s="386"/>
      <c r="S131" s="386"/>
      <c r="T131" s="386"/>
      <c r="U131" s="386"/>
      <c r="V131" s="386"/>
      <c r="W131" s="386"/>
      <c r="X131" s="386"/>
      <c r="Y131" s="386"/>
      <c r="Z131" s="386"/>
      <c r="AA131" s="386"/>
      <c r="AB131" s="386"/>
      <c r="AC131" s="386"/>
      <c r="AD131" s="386"/>
      <c r="AE131" s="386"/>
      <c r="AF131" s="386"/>
      <c r="AG131" s="386"/>
      <c r="AH131" s="386"/>
      <c r="AI131" s="386"/>
      <c r="AJ131" s="386"/>
      <c r="AK131" s="386"/>
      <c r="AL131" s="386"/>
      <c r="AM131" s="386"/>
      <c r="AN131" s="386"/>
      <c r="AO131" s="386"/>
      <c r="AP131" s="386"/>
      <c r="AQ131" s="386"/>
      <c r="AR131" s="386"/>
      <c r="AS131" s="386"/>
      <c r="AT131" s="386"/>
      <c r="AU131" s="386"/>
      <c r="AV131" s="386"/>
      <c r="AW131" s="386"/>
      <c r="AX131" s="386"/>
      <c r="AY131" s="386"/>
      <c r="AZ131" s="386"/>
      <c r="BA131" s="386"/>
      <c r="BB131" s="386"/>
      <c r="BC131" s="386"/>
      <c r="BD131" s="386"/>
      <c r="BE131" s="386"/>
      <c r="BF131" s="386"/>
      <c r="BG131" s="386"/>
      <c r="BH131" s="387"/>
      <c r="BI131" s="367"/>
      <c r="BJ131" s="87"/>
      <c r="BK131" s="86"/>
      <c r="BL131" s="85"/>
      <c r="BM131" s="84"/>
      <c r="BN131" s="84"/>
    </row>
    <row r="132" spans="1:66" s="88" customFormat="1" x14ac:dyDescent="1.4">
      <c r="A132" s="393"/>
      <c r="B132" s="92"/>
      <c r="C132" s="91"/>
      <c r="D132" s="90"/>
      <c r="E132" s="93"/>
      <c r="F132" s="385"/>
      <c r="G132" s="386"/>
      <c r="H132" s="386"/>
      <c r="I132" s="386"/>
      <c r="J132" s="386"/>
      <c r="K132" s="386"/>
      <c r="L132" s="386"/>
      <c r="M132" s="386"/>
      <c r="N132" s="386"/>
      <c r="O132" s="386"/>
      <c r="P132" s="386"/>
      <c r="Q132" s="386"/>
      <c r="R132" s="386"/>
      <c r="S132" s="386"/>
      <c r="T132" s="386"/>
      <c r="U132" s="386"/>
      <c r="V132" s="386"/>
      <c r="W132" s="386"/>
      <c r="X132" s="386"/>
      <c r="Y132" s="386"/>
      <c r="Z132" s="386"/>
      <c r="AA132" s="386"/>
      <c r="AB132" s="386"/>
      <c r="AC132" s="386"/>
      <c r="AD132" s="386"/>
      <c r="AE132" s="386"/>
      <c r="AF132" s="386"/>
      <c r="AG132" s="386"/>
      <c r="AH132" s="386"/>
      <c r="AI132" s="386"/>
      <c r="AJ132" s="386"/>
      <c r="AK132" s="386"/>
      <c r="AL132" s="386"/>
      <c r="AM132" s="386"/>
      <c r="AN132" s="386"/>
      <c r="AO132" s="386"/>
      <c r="AP132" s="386"/>
      <c r="AQ132" s="386"/>
      <c r="AR132" s="386"/>
      <c r="AS132" s="386"/>
      <c r="AT132" s="386"/>
      <c r="AU132" s="386"/>
      <c r="AV132" s="386"/>
      <c r="AW132" s="386"/>
      <c r="AX132" s="386"/>
      <c r="AY132" s="386"/>
      <c r="AZ132" s="386"/>
      <c r="BA132" s="386"/>
      <c r="BB132" s="386"/>
      <c r="BC132" s="386"/>
      <c r="BD132" s="386"/>
      <c r="BE132" s="386"/>
      <c r="BF132" s="386"/>
      <c r="BG132" s="386"/>
      <c r="BH132" s="387"/>
      <c r="BI132" s="367"/>
      <c r="BJ132" s="87"/>
      <c r="BK132" s="86"/>
      <c r="BL132" s="85"/>
      <c r="BM132" s="84"/>
      <c r="BN132" s="84"/>
    </row>
    <row r="133" spans="1:66" s="88" customFormat="1" x14ac:dyDescent="1.4">
      <c r="A133" s="393"/>
      <c r="B133" s="92"/>
      <c r="C133" s="91"/>
      <c r="D133" s="90"/>
      <c r="E133" s="93"/>
      <c r="F133" s="385"/>
      <c r="G133" s="386"/>
      <c r="H133" s="386"/>
      <c r="I133" s="386"/>
      <c r="J133" s="386"/>
      <c r="K133" s="386"/>
      <c r="L133" s="386"/>
      <c r="M133" s="386"/>
      <c r="N133" s="386"/>
      <c r="O133" s="386"/>
      <c r="P133" s="386"/>
      <c r="Q133" s="386"/>
      <c r="R133" s="386"/>
      <c r="S133" s="386"/>
      <c r="T133" s="386"/>
      <c r="U133" s="386"/>
      <c r="V133" s="386"/>
      <c r="W133" s="386"/>
      <c r="X133" s="386"/>
      <c r="Y133" s="386"/>
      <c r="Z133" s="386"/>
      <c r="AA133" s="386"/>
      <c r="AB133" s="386"/>
      <c r="AC133" s="386"/>
      <c r="AD133" s="386"/>
      <c r="AE133" s="386"/>
      <c r="AF133" s="386"/>
      <c r="AG133" s="386"/>
      <c r="AH133" s="386"/>
      <c r="AI133" s="386"/>
      <c r="AJ133" s="386"/>
      <c r="AK133" s="386"/>
      <c r="AL133" s="386"/>
      <c r="AM133" s="386"/>
      <c r="AN133" s="386"/>
      <c r="AO133" s="386"/>
      <c r="AP133" s="386"/>
      <c r="AQ133" s="386"/>
      <c r="AR133" s="386"/>
      <c r="AS133" s="386"/>
      <c r="AT133" s="386"/>
      <c r="AU133" s="386"/>
      <c r="AV133" s="386"/>
      <c r="AW133" s="386"/>
      <c r="AX133" s="386"/>
      <c r="AY133" s="386"/>
      <c r="AZ133" s="386"/>
      <c r="BA133" s="386"/>
      <c r="BB133" s="386"/>
      <c r="BC133" s="386"/>
      <c r="BD133" s="386"/>
      <c r="BE133" s="386"/>
      <c r="BF133" s="386"/>
      <c r="BG133" s="386"/>
      <c r="BH133" s="387"/>
      <c r="BI133" s="367"/>
      <c r="BJ133" s="87"/>
      <c r="BK133" s="86"/>
      <c r="BL133" s="85"/>
      <c r="BM133" s="84"/>
      <c r="BN133" s="84"/>
    </row>
    <row r="134" spans="1:66" s="88" customFormat="1" x14ac:dyDescent="1.4">
      <c r="A134" s="393"/>
      <c r="B134" s="92"/>
      <c r="C134" s="91"/>
      <c r="D134" s="90"/>
      <c r="E134" s="93"/>
      <c r="F134" s="385"/>
      <c r="G134" s="386"/>
      <c r="H134" s="386"/>
      <c r="I134" s="386"/>
      <c r="J134" s="386"/>
      <c r="K134" s="386"/>
      <c r="L134" s="386"/>
      <c r="M134" s="386"/>
      <c r="N134" s="386"/>
      <c r="O134" s="386"/>
      <c r="P134" s="386"/>
      <c r="Q134" s="386"/>
      <c r="R134" s="386"/>
      <c r="S134" s="386"/>
      <c r="T134" s="386"/>
      <c r="U134" s="386"/>
      <c r="V134" s="386"/>
      <c r="W134" s="386"/>
      <c r="X134" s="386"/>
      <c r="Y134" s="386"/>
      <c r="Z134" s="386"/>
      <c r="AA134" s="386"/>
      <c r="AB134" s="386"/>
      <c r="AC134" s="386"/>
      <c r="AD134" s="386"/>
      <c r="AE134" s="386"/>
      <c r="AF134" s="386"/>
      <c r="AG134" s="386"/>
      <c r="AH134" s="386"/>
      <c r="AI134" s="386"/>
      <c r="AJ134" s="386"/>
      <c r="AK134" s="386"/>
      <c r="AL134" s="386"/>
      <c r="AM134" s="386"/>
      <c r="AN134" s="386"/>
      <c r="AO134" s="386"/>
      <c r="AP134" s="386"/>
      <c r="AQ134" s="386"/>
      <c r="AR134" s="386"/>
      <c r="AS134" s="386"/>
      <c r="AT134" s="386"/>
      <c r="AU134" s="386"/>
      <c r="AV134" s="386"/>
      <c r="AW134" s="386"/>
      <c r="AX134" s="386"/>
      <c r="AY134" s="386"/>
      <c r="AZ134" s="386"/>
      <c r="BA134" s="386"/>
      <c r="BB134" s="386"/>
      <c r="BC134" s="386"/>
      <c r="BD134" s="386"/>
      <c r="BE134" s="386"/>
      <c r="BF134" s="386"/>
      <c r="BG134" s="386"/>
      <c r="BH134" s="387"/>
      <c r="BI134" s="367"/>
      <c r="BJ134" s="87"/>
      <c r="BK134" s="86"/>
      <c r="BL134" s="85"/>
      <c r="BM134" s="84"/>
      <c r="BN134" s="84"/>
    </row>
    <row r="135" spans="1:66" s="88" customFormat="1" x14ac:dyDescent="1.4">
      <c r="A135" s="393"/>
      <c r="B135" s="92"/>
      <c r="C135" s="91"/>
      <c r="D135" s="90"/>
      <c r="E135" s="93"/>
      <c r="F135" s="385"/>
      <c r="G135" s="386"/>
      <c r="H135" s="386"/>
      <c r="I135" s="386"/>
      <c r="J135" s="386"/>
      <c r="K135" s="386"/>
      <c r="L135" s="386"/>
      <c r="M135" s="386"/>
      <c r="N135" s="386"/>
      <c r="O135" s="386"/>
      <c r="P135" s="386"/>
      <c r="Q135" s="386"/>
      <c r="R135" s="386"/>
      <c r="S135" s="386"/>
      <c r="T135" s="386"/>
      <c r="U135" s="386"/>
      <c r="V135" s="386"/>
      <c r="W135" s="386"/>
      <c r="X135" s="386"/>
      <c r="Y135" s="386"/>
      <c r="Z135" s="386"/>
      <c r="AA135" s="386"/>
      <c r="AB135" s="386"/>
      <c r="AC135" s="386"/>
      <c r="AD135" s="386"/>
      <c r="AE135" s="386"/>
      <c r="AF135" s="386"/>
      <c r="AG135" s="386"/>
      <c r="AH135" s="386"/>
      <c r="AI135" s="386"/>
      <c r="AJ135" s="386"/>
      <c r="AK135" s="386"/>
      <c r="AL135" s="386"/>
      <c r="AM135" s="386"/>
      <c r="AN135" s="386"/>
      <c r="AO135" s="386"/>
      <c r="AP135" s="386"/>
      <c r="AQ135" s="386"/>
      <c r="AR135" s="386"/>
      <c r="AS135" s="386"/>
      <c r="AT135" s="386"/>
      <c r="AU135" s="386"/>
      <c r="AV135" s="386"/>
      <c r="AW135" s="386"/>
      <c r="AX135" s="386"/>
      <c r="AY135" s="386"/>
      <c r="AZ135" s="386"/>
      <c r="BA135" s="386"/>
      <c r="BB135" s="386"/>
      <c r="BC135" s="386"/>
      <c r="BD135" s="386"/>
      <c r="BE135" s="386"/>
      <c r="BF135" s="386"/>
      <c r="BG135" s="386"/>
      <c r="BH135" s="387"/>
      <c r="BI135" s="367"/>
      <c r="BJ135" s="87"/>
      <c r="BK135" s="86"/>
      <c r="BL135" s="85"/>
      <c r="BM135" s="84"/>
      <c r="BN135" s="84"/>
    </row>
    <row r="136" spans="1:66" s="88" customFormat="1" x14ac:dyDescent="1.4">
      <c r="A136" s="393"/>
      <c r="B136" s="92"/>
      <c r="C136" s="91"/>
      <c r="D136" s="90"/>
      <c r="E136" s="93"/>
      <c r="F136" s="385"/>
      <c r="G136" s="386"/>
      <c r="H136" s="386"/>
      <c r="I136" s="386"/>
      <c r="J136" s="386"/>
      <c r="K136" s="386"/>
      <c r="L136" s="386"/>
      <c r="M136" s="386"/>
      <c r="N136" s="386"/>
      <c r="O136" s="386"/>
      <c r="P136" s="386"/>
      <c r="Q136" s="386"/>
      <c r="R136" s="386"/>
      <c r="S136" s="386"/>
      <c r="T136" s="386"/>
      <c r="U136" s="386"/>
      <c r="V136" s="386"/>
      <c r="W136" s="386"/>
      <c r="X136" s="386"/>
      <c r="Y136" s="386"/>
      <c r="Z136" s="386"/>
      <c r="AA136" s="386"/>
      <c r="AB136" s="386"/>
      <c r="AC136" s="386"/>
      <c r="AD136" s="386"/>
      <c r="AE136" s="386"/>
      <c r="AF136" s="386"/>
      <c r="AG136" s="386"/>
      <c r="AH136" s="386"/>
      <c r="AI136" s="386"/>
      <c r="AJ136" s="386"/>
      <c r="AK136" s="386"/>
      <c r="AL136" s="386"/>
      <c r="AM136" s="386"/>
      <c r="AN136" s="386"/>
      <c r="AO136" s="386"/>
      <c r="AP136" s="386"/>
      <c r="AQ136" s="386"/>
      <c r="AR136" s="386"/>
      <c r="AS136" s="386"/>
      <c r="AT136" s="386"/>
      <c r="AU136" s="386"/>
      <c r="AV136" s="386"/>
      <c r="AW136" s="386"/>
      <c r="AX136" s="386"/>
      <c r="AY136" s="386"/>
      <c r="AZ136" s="386"/>
      <c r="BA136" s="386"/>
      <c r="BB136" s="386"/>
      <c r="BC136" s="386"/>
      <c r="BD136" s="386"/>
      <c r="BE136" s="386"/>
      <c r="BF136" s="386"/>
      <c r="BG136" s="386"/>
      <c r="BH136" s="387"/>
      <c r="BI136" s="367"/>
      <c r="BJ136" s="87"/>
      <c r="BK136" s="86"/>
      <c r="BL136" s="85"/>
      <c r="BM136" s="84"/>
      <c r="BN136" s="84"/>
    </row>
    <row r="137" spans="1:66" s="88" customFormat="1" x14ac:dyDescent="1.4">
      <c r="A137" s="393"/>
      <c r="B137" s="92"/>
      <c r="C137" s="91"/>
      <c r="D137" s="90"/>
      <c r="E137" s="93"/>
      <c r="F137" s="385"/>
      <c r="G137" s="386"/>
      <c r="H137" s="386"/>
      <c r="I137" s="386"/>
      <c r="J137" s="386"/>
      <c r="K137" s="386"/>
      <c r="L137" s="386"/>
      <c r="M137" s="386"/>
      <c r="N137" s="386"/>
      <c r="O137" s="386"/>
      <c r="P137" s="386"/>
      <c r="Q137" s="386"/>
      <c r="R137" s="386"/>
      <c r="S137" s="386"/>
      <c r="T137" s="386"/>
      <c r="U137" s="386"/>
      <c r="V137" s="386"/>
      <c r="W137" s="386"/>
      <c r="X137" s="386"/>
      <c r="Y137" s="386"/>
      <c r="Z137" s="386"/>
      <c r="AA137" s="386"/>
      <c r="AB137" s="386"/>
      <c r="AC137" s="386"/>
      <c r="AD137" s="386"/>
      <c r="AE137" s="386"/>
      <c r="AF137" s="386"/>
      <c r="AG137" s="386"/>
      <c r="AH137" s="386"/>
      <c r="AI137" s="386"/>
      <c r="AJ137" s="386"/>
      <c r="AK137" s="386"/>
      <c r="AL137" s="386"/>
      <c r="AM137" s="386"/>
      <c r="AN137" s="386"/>
      <c r="AO137" s="386"/>
      <c r="AP137" s="386"/>
      <c r="AQ137" s="386"/>
      <c r="AR137" s="386"/>
      <c r="AS137" s="386"/>
      <c r="AT137" s="386"/>
      <c r="AU137" s="386"/>
      <c r="AV137" s="386"/>
      <c r="AW137" s="386"/>
      <c r="AX137" s="386"/>
      <c r="AY137" s="386"/>
      <c r="AZ137" s="386"/>
      <c r="BA137" s="386"/>
      <c r="BB137" s="386"/>
      <c r="BC137" s="386"/>
      <c r="BD137" s="386"/>
      <c r="BE137" s="386"/>
      <c r="BF137" s="386"/>
      <c r="BG137" s="386"/>
      <c r="BH137" s="387"/>
      <c r="BI137" s="367"/>
      <c r="BJ137" s="87"/>
      <c r="BK137" s="86"/>
      <c r="BL137" s="85"/>
      <c r="BM137" s="84"/>
      <c r="BN137" s="84"/>
    </row>
    <row r="138" spans="1:66" s="88" customFormat="1" x14ac:dyDescent="1.4">
      <c r="A138" s="393"/>
      <c r="B138" s="92"/>
      <c r="C138" s="91"/>
      <c r="D138" s="90"/>
      <c r="E138" s="93"/>
      <c r="F138" s="385"/>
      <c r="G138" s="386"/>
      <c r="H138" s="386"/>
      <c r="I138" s="386"/>
      <c r="J138" s="386"/>
      <c r="K138" s="386"/>
      <c r="L138" s="386"/>
      <c r="M138" s="386"/>
      <c r="N138" s="386"/>
      <c r="O138" s="386"/>
      <c r="P138" s="386"/>
      <c r="Q138" s="386"/>
      <c r="R138" s="386"/>
      <c r="S138" s="386"/>
      <c r="T138" s="386"/>
      <c r="U138" s="386"/>
      <c r="V138" s="386"/>
      <c r="W138" s="386"/>
      <c r="X138" s="386"/>
      <c r="Y138" s="386"/>
      <c r="Z138" s="386"/>
      <c r="AA138" s="386"/>
      <c r="AB138" s="386"/>
      <c r="AC138" s="386"/>
      <c r="AD138" s="386"/>
      <c r="AE138" s="386"/>
      <c r="AF138" s="386"/>
      <c r="AG138" s="386"/>
      <c r="AH138" s="386"/>
      <c r="AI138" s="386"/>
      <c r="AJ138" s="386"/>
      <c r="AK138" s="386"/>
      <c r="AL138" s="386"/>
      <c r="AM138" s="386"/>
      <c r="AN138" s="386"/>
      <c r="AO138" s="386"/>
      <c r="AP138" s="386"/>
      <c r="AQ138" s="386"/>
      <c r="AR138" s="386"/>
      <c r="AS138" s="386"/>
      <c r="AT138" s="386"/>
      <c r="AU138" s="386"/>
      <c r="AV138" s="386"/>
      <c r="AW138" s="386"/>
      <c r="AX138" s="386"/>
      <c r="AY138" s="386"/>
      <c r="AZ138" s="386"/>
      <c r="BA138" s="386"/>
      <c r="BB138" s="386"/>
      <c r="BC138" s="386"/>
      <c r="BD138" s="386"/>
      <c r="BE138" s="386"/>
      <c r="BF138" s="386"/>
      <c r="BG138" s="386"/>
      <c r="BH138" s="387"/>
      <c r="BI138" s="367"/>
      <c r="BJ138" s="87"/>
      <c r="BK138" s="86"/>
      <c r="BL138" s="85"/>
      <c r="BM138" s="84"/>
      <c r="BN138" s="84"/>
    </row>
    <row r="139" spans="1:66" s="88" customFormat="1" x14ac:dyDescent="1.4">
      <c r="A139" s="393"/>
      <c r="B139" s="92"/>
      <c r="C139" s="91"/>
      <c r="D139" s="90"/>
      <c r="E139" s="93"/>
      <c r="F139" s="385"/>
      <c r="G139" s="386"/>
      <c r="H139" s="386"/>
      <c r="I139" s="386"/>
      <c r="J139" s="386"/>
      <c r="K139" s="386"/>
      <c r="L139" s="386"/>
      <c r="M139" s="386"/>
      <c r="N139" s="386"/>
      <c r="O139" s="386"/>
      <c r="P139" s="386"/>
      <c r="Q139" s="386"/>
      <c r="R139" s="386"/>
      <c r="S139" s="386"/>
      <c r="T139" s="386"/>
      <c r="U139" s="386"/>
      <c r="V139" s="386"/>
      <c r="W139" s="386"/>
      <c r="X139" s="386"/>
      <c r="Y139" s="386"/>
      <c r="Z139" s="386"/>
      <c r="AA139" s="386"/>
      <c r="AB139" s="386"/>
      <c r="AC139" s="386"/>
      <c r="AD139" s="386"/>
      <c r="AE139" s="386"/>
      <c r="AF139" s="386"/>
      <c r="AG139" s="386"/>
      <c r="AH139" s="386"/>
      <c r="AI139" s="386"/>
      <c r="AJ139" s="386"/>
      <c r="AK139" s="386"/>
      <c r="AL139" s="386"/>
      <c r="AM139" s="386"/>
      <c r="AN139" s="386"/>
      <c r="AO139" s="386"/>
      <c r="AP139" s="386"/>
      <c r="AQ139" s="386"/>
      <c r="AR139" s="386"/>
      <c r="AS139" s="386"/>
      <c r="AT139" s="386"/>
      <c r="AU139" s="386"/>
      <c r="AV139" s="386"/>
      <c r="AW139" s="386"/>
      <c r="AX139" s="386"/>
      <c r="AY139" s="386"/>
      <c r="AZ139" s="386"/>
      <c r="BA139" s="386"/>
      <c r="BB139" s="386"/>
      <c r="BC139" s="386"/>
      <c r="BD139" s="386"/>
      <c r="BE139" s="386"/>
      <c r="BF139" s="386"/>
      <c r="BG139" s="386"/>
      <c r="BH139" s="387"/>
      <c r="BI139" s="367"/>
      <c r="BJ139" s="87"/>
      <c r="BK139" s="86"/>
      <c r="BL139" s="85"/>
      <c r="BM139" s="84"/>
      <c r="BN139" s="84"/>
    </row>
    <row r="140" spans="1:66" s="88" customFormat="1" x14ac:dyDescent="1.4">
      <c r="A140" s="393"/>
      <c r="B140" s="92"/>
      <c r="C140" s="91"/>
      <c r="D140" s="90"/>
      <c r="E140" s="93"/>
      <c r="F140" s="385"/>
      <c r="G140" s="386"/>
      <c r="H140" s="386"/>
      <c r="I140" s="386"/>
      <c r="J140" s="386"/>
      <c r="K140" s="386"/>
      <c r="L140" s="386"/>
      <c r="M140" s="386"/>
      <c r="N140" s="386"/>
      <c r="O140" s="386"/>
      <c r="P140" s="386"/>
      <c r="Q140" s="386"/>
      <c r="R140" s="386"/>
      <c r="S140" s="386"/>
      <c r="T140" s="386"/>
      <c r="U140" s="386"/>
      <c r="V140" s="386"/>
      <c r="W140" s="386"/>
      <c r="X140" s="386"/>
      <c r="Y140" s="386"/>
      <c r="Z140" s="386"/>
      <c r="AA140" s="386"/>
      <c r="AB140" s="386"/>
      <c r="AC140" s="386"/>
      <c r="AD140" s="386"/>
      <c r="AE140" s="386"/>
      <c r="AF140" s="386"/>
      <c r="AG140" s="386"/>
      <c r="AH140" s="386"/>
      <c r="AI140" s="386"/>
      <c r="AJ140" s="386"/>
      <c r="AK140" s="386"/>
      <c r="AL140" s="386"/>
      <c r="AM140" s="386"/>
      <c r="AN140" s="386"/>
      <c r="AO140" s="386"/>
      <c r="AP140" s="386"/>
      <c r="AQ140" s="386"/>
      <c r="AR140" s="386"/>
      <c r="AS140" s="386"/>
      <c r="AT140" s="386"/>
      <c r="AU140" s="386"/>
      <c r="AV140" s="386"/>
      <c r="AW140" s="386"/>
      <c r="AX140" s="386"/>
      <c r="AY140" s="386"/>
      <c r="AZ140" s="386"/>
      <c r="BA140" s="386"/>
      <c r="BB140" s="386"/>
      <c r="BC140" s="386"/>
      <c r="BD140" s="386"/>
      <c r="BE140" s="386"/>
      <c r="BF140" s="386"/>
      <c r="BG140" s="386"/>
      <c r="BH140" s="387"/>
      <c r="BI140" s="367"/>
      <c r="BJ140" s="87"/>
      <c r="BK140" s="86"/>
      <c r="BL140" s="85"/>
      <c r="BM140" s="84"/>
      <c r="BN140" s="84"/>
    </row>
    <row r="141" spans="1:66" s="88" customFormat="1" x14ac:dyDescent="1.4">
      <c r="A141" s="393"/>
      <c r="B141" s="92"/>
      <c r="C141" s="91"/>
      <c r="D141" s="90"/>
      <c r="E141" s="93"/>
      <c r="F141" s="385"/>
      <c r="G141" s="386"/>
      <c r="H141" s="386"/>
      <c r="I141" s="386"/>
      <c r="J141" s="386"/>
      <c r="K141" s="386"/>
      <c r="L141" s="386"/>
      <c r="M141" s="386"/>
      <c r="N141" s="386"/>
      <c r="O141" s="386"/>
      <c r="P141" s="386"/>
      <c r="Q141" s="386"/>
      <c r="R141" s="386"/>
      <c r="S141" s="386"/>
      <c r="T141" s="386"/>
      <c r="U141" s="386"/>
      <c r="V141" s="386"/>
      <c r="W141" s="386"/>
      <c r="X141" s="386"/>
      <c r="Y141" s="386"/>
      <c r="Z141" s="386"/>
      <c r="AA141" s="386"/>
      <c r="AB141" s="386"/>
      <c r="AC141" s="386"/>
      <c r="AD141" s="386"/>
      <c r="AE141" s="386"/>
      <c r="AF141" s="386"/>
      <c r="AG141" s="386"/>
      <c r="AH141" s="386"/>
      <c r="AI141" s="386"/>
      <c r="AJ141" s="386"/>
      <c r="AK141" s="386"/>
      <c r="AL141" s="386"/>
      <c r="AM141" s="386"/>
      <c r="AN141" s="386"/>
      <c r="AO141" s="386"/>
      <c r="AP141" s="386"/>
      <c r="AQ141" s="386"/>
      <c r="AR141" s="386"/>
      <c r="AS141" s="386"/>
      <c r="AT141" s="386"/>
      <c r="AU141" s="386"/>
      <c r="AV141" s="386"/>
      <c r="AW141" s="386"/>
      <c r="AX141" s="386"/>
      <c r="AY141" s="386"/>
      <c r="AZ141" s="386"/>
      <c r="BA141" s="386"/>
      <c r="BB141" s="386"/>
      <c r="BC141" s="386"/>
      <c r="BD141" s="386"/>
      <c r="BE141" s="386"/>
      <c r="BF141" s="386"/>
      <c r="BG141" s="386"/>
      <c r="BH141" s="387"/>
      <c r="BI141" s="367"/>
      <c r="BJ141" s="87"/>
      <c r="BK141" s="86"/>
      <c r="BL141" s="85"/>
      <c r="BM141" s="84"/>
      <c r="BN141" s="84"/>
    </row>
    <row r="142" spans="1:66" s="88" customFormat="1" x14ac:dyDescent="1.4">
      <c r="A142" s="393"/>
      <c r="B142" s="92"/>
      <c r="C142" s="91"/>
      <c r="D142" s="90"/>
      <c r="E142" s="93"/>
      <c r="F142" s="385"/>
      <c r="G142" s="386"/>
      <c r="H142" s="386"/>
      <c r="I142" s="386"/>
      <c r="J142" s="386"/>
      <c r="K142" s="386"/>
      <c r="L142" s="386"/>
      <c r="M142" s="386"/>
      <c r="N142" s="386"/>
      <c r="O142" s="386"/>
      <c r="P142" s="386"/>
      <c r="Q142" s="386"/>
      <c r="R142" s="386"/>
      <c r="S142" s="386"/>
      <c r="T142" s="386"/>
      <c r="U142" s="386"/>
      <c r="V142" s="386"/>
      <c r="W142" s="386"/>
      <c r="X142" s="386"/>
      <c r="Y142" s="386"/>
      <c r="Z142" s="386"/>
      <c r="AA142" s="386"/>
      <c r="AB142" s="386"/>
      <c r="AC142" s="386"/>
      <c r="AD142" s="386"/>
      <c r="AE142" s="386"/>
      <c r="AF142" s="386"/>
      <c r="AG142" s="386"/>
      <c r="AH142" s="386"/>
      <c r="AI142" s="386"/>
      <c r="AJ142" s="386"/>
      <c r="AK142" s="386"/>
      <c r="AL142" s="386"/>
      <c r="AM142" s="386"/>
      <c r="AN142" s="386"/>
      <c r="AO142" s="386"/>
      <c r="AP142" s="386"/>
      <c r="AQ142" s="386"/>
      <c r="AR142" s="386"/>
      <c r="AS142" s="386"/>
      <c r="AT142" s="386"/>
      <c r="AU142" s="386"/>
      <c r="AV142" s="386"/>
      <c r="AW142" s="386"/>
      <c r="AX142" s="386"/>
      <c r="AY142" s="386"/>
      <c r="AZ142" s="386"/>
      <c r="BA142" s="386"/>
      <c r="BB142" s="386"/>
      <c r="BC142" s="386"/>
      <c r="BD142" s="386"/>
      <c r="BE142" s="386"/>
      <c r="BF142" s="386"/>
      <c r="BG142" s="386"/>
      <c r="BH142" s="387"/>
      <c r="BI142" s="367"/>
      <c r="BJ142" s="87"/>
      <c r="BK142" s="86"/>
      <c r="BL142" s="85"/>
      <c r="BM142" s="84"/>
      <c r="BN142" s="84"/>
    </row>
    <row r="143" spans="1:66" s="88" customFormat="1" x14ac:dyDescent="1.4">
      <c r="A143" s="393"/>
      <c r="B143" s="92"/>
      <c r="C143" s="91"/>
      <c r="D143" s="90"/>
      <c r="E143" s="93"/>
      <c r="F143" s="385"/>
      <c r="G143" s="386"/>
      <c r="H143" s="386"/>
      <c r="I143" s="386"/>
      <c r="J143" s="386"/>
      <c r="K143" s="386"/>
      <c r="L143" s="386"/>
      <c r="M143" s="386"/>
      <c r="N143" s="386"/>
      <c r="O143" s="386"/>
      <c r="P143" s="386"/>
      <c r="Q143" s="386"/>
      <c r="R143" s="386"/>
      <c r="S143" s="386"/>
      <c r="T143" s="386"/>
      <c r="U143" s="386"/>
      <c r="V143" s="386"/>
      <c r="W143" s="386"/>
      <c r="X143" s="386"/>
      <c r="Y143" s="386"/>
      <c r="Z143" s="386"/>
      <c r="AA143" s="386"/>
      <c r="AB143" s="386"/>
      <c r="AC143" s="386"/>
      <c r="AD143" s="386"/>
      <c r="AE143" s="386"/>
      <c r="AF143" s="386"/>
      <c r="AG143" s="386"/>
      <c r="AH143" s="386"/>
      <c r="AI143" s="386"/>
      <c r="AJ143" s="386"/>
      <c r="AK143" s="386"/>
      <c r="AL143" s="386"/>
      <c r="AM143" s="386"/>
      <c r="AN143" s="386"/>
      <c r="AO143" s="386"/>
      <c r="AP143" s="386"/>
      <c r="AQ143" s="386"/>
      <c r="AR143" s="386"/>
      <c r="AS143" s="386"/>
      <c r="AT143" s="386"/>
      <c r="AU143" s="386"/>
      <c r="AV143" s="386"/>
      <c r="AW143" s="386"/>
      <c r="AX143" s="386"/>
      <c r="AY143" s="386"/>
      <c r="AZ143" s="386"/>
      <c r="BA143" s="386"/>
      <c r="BB143" s="386"/>
      <c r="BC143" s="386"/>
      <c r="BD143" s="386"/>
      <c r="BE143" s="386"/>
      <c r="BF143" s="386"/>
      <c r="BG143" s="386"/>
      <c r="BH143" s="387"/>
      <c r="BI143" s="367"/>
      <c r="BJ143" s="87"/>
      <c r="BK143" s="86"/>
      <c r="BL143" s="85"/>
      <c r="BM143" s="84"/>
      <c r="BN143" s="84"/>
    </row>
    <row r="144" spans="1:66" s="88" customFormat="1" x14ac:dyDescent="1.4">
      <c r="A144" s="393"/>
      <c r="B144" s="92"/>
      <c r="C144" s="91"/>
      <c r="D144" s="90"/>
      <c r="E144" s="93"/>
      <c r="F144" s="385"/>
      <c r="G144" s="386"/>
      <c r="H144" s="386"/>
      <c r="I144" s="386"/>
      <c r="J144" s="386"/>
      <c r="K144" s="386"/>
      <c r="L144" s="386"/>
      <c r="M144" s="386"/>
      <c r="N144" s="386"/>
      <c r="O144" s="386"/>
      <c r="P144" s="386"/>
      <c r="Q144" s="386"/>
      <c r="R144" s="386"/>
      <c r="S144" s="386"/>
      <c r="T144" s="386"/>
      <c r="U144" s="386"/>
      <c r="V144" s="386"/>
      <c r="W144" s="386"/>
      <c r="X144" s="386"/>
      <c r="Y144" s="386"/>
      <c r="Z144" s="386"/>
      <c r="AA144" s="386"/>
      <c r="AB144" s="386"/>
      <c r="AC144" s="386"/>
      <c r="AD144" s="386"/>
      <c r="AE144" s="386"/>
      <c r="AF144" s="386"/>
      <c r="AG144" s="386"/>
      <c r="AH144" s="386"/>
      <c r="AI144" s="386"/>
      <c r="AJ144" s="386"/>
      <c r="AK144" s="386"/>
      <c r="AL144" s="386"/>
      <c r="AM144" s="386"/>
      <c r="AN144" s="386"/>
      <c r="AO144" s="386"/>
      <c r="AP144" s="386"/>
      <c r="AQ144" s="386"/>
      <c r="AR144" s="386"/>
      <c r="AS144" s="386"/>
      <c r="AT144" s="386"/>
      <c r="AU144" s="386"/>
      <c r="AV144" s="386"/>
      <c r="AW144" s="386"/>
      <c r="AX144" s="386"/>
      <c r="AY144" s="386"/>
      <c r="AZ144" s="386"/>
      <c r="BA144" s="386"/>
      <c r="BB144" s="386"/>
      <c r="BC144" s="386"/>
      <c r="BD144" s="386"/>
      <c r="BE144" s="386"/>
      <c r="BF144" s="386"/>
      <c r="BG144" s="386"/>
      <c r="BH144" s="387"/>
      <c r="BI144" s="367"/>
      <c r="BJ144" s="87"/>
      <c r="BK144" s="86"/>
      <c r="BL144" s="85"/>
      <c r="BM144" s="84"/>
      <c r="BN144" s="84"/>
    </row>
    <row r="145" spans="1:66" s="88" customFormat="1" x14ac:dyDescent="1.4">
      <c r="A145" s="393"/>
      <c r="B145" s="92"/>
      <c r="C145" s="91"/>
      <c r="D145" s="90"/>
      <c r="E145" s="93"/>
      <c r="F145" s="385"/>
      <c r="G145" s="386"/>
      <c r="H145" s="386"/>
      <c r="I145" s="386"/>
      <c r="J145" s="386"/>
      <c r="K145" s="386"/>
      <c r="L145" s="386"/>
      <c r="M145" s="386"/>
      <c r="N145" s="386"/>
      <c r="O145" s="386"/>
      <c r="P145" s="386"/>
      <c r="Q145" s="386"/>
      <c r="R145" s="386"/>
      <c r="S145" s="386"/>
      <c r="T145" s="386"/>
      <c r="U145" s="386"/>
      <c r="V145" s="386"/>
      <c r="W145" s="386"/>
      <c r="X145" s="386"/>
      <c r="Y145" s="386"/>
      <c r="Z145" s="386"/>
      <c r="AA145" s="386"/>
      <c r="AB145" s="386"/>
      <c r="AC145" s="386"/>
      <c r="AD145" s="386"/>
      <c r="AE145" s="386"/>
      <c r="AF145" s="386"/>
      <c r="AG145" s="386"/>
      <c r="AH145" s="386"/>
      <c r="AI145" s="386"/>
      <c r="AJ145" s="386"/>
      <c r="AK145" s="386"/>
      <c r="AL145" s="386"/>
      <c r="AM145" s="386"/>
      <c r="AN145" s="386"/>
      <c r="AO145" s="386"/>
      <c r="AP145" s="386"/>
      <c r="AQ145" s="386"/>
      <c r="AR145" s="386"/>
      <c r="AS145" s="386"/>
      <c r="AT145" s="386"/>
      <c r="AU145" s="386"/>
      <c r="AV145" s="386"/>
      <c r="AW145" s="386"/>
      <c r="AX145" s="386"/>
      <c r="AY145" s="386"/>
      <c r="AZ145" s="386"/>
      <c r="BA145" s="386"/>
      <c r="BB145" s="386"/>
      <c r="BC145" s="386"/>
      <c r="BD145" s="386"/>
      <c r="BE145" s="386"/>
      <c r="BF145" s="386"/>
      <c r="BG145" s="386"/>
      <c r="BH145" s="387"/>
      <c r="BI145" s="367"/>
      <c r="BJ145" s="87"/>
      <c r="BK145" s="86"/>
      <c r="BL145" s="85"/>
      <c r="BM145" s="84"/>
      <c r="BN145" s="84"/>
    </row>
    <row r="146" spans="1:66" s="88" customFormat="1" x14ac:dyDescent="1.4">
      <c r="A146" s="393"/>
      <c r="B146" s="92"/>
      <c r="C146" s="91"/>
      <c r="D146" s="90"/>
      <c r="E146" s="93"/>
      <c r="F146" s="385"/>
      <c r="G146" s="386"/>
      <c r="H146" s="386"/>
      <c r="I146" s="386"/>
      <c r="J146" s="386"/>
      <c r="K146" s="386"/>
      <c r="L146" s="386"/>
      <c r="M146" s="386"/>
      <c r="N146" s="386"/>
      <c r="O146" s="386"/>
      <c r="P146" s="386"/>
      <c r="Q146" s="386"/>
      <c r="R146" s="386"/>
      <c r="S146" s="386"/>
      <c r="T146" s="386"/>
      <c r="U146" s="386"/>
      <c r="V146" s="386"/>
      <c r="W146" s="386"/>
      <c r="X146" s="386"/>
      <c r="Y146" s="386"/>
      <c r="Z146" s="386"/>
      <c r="AA146" s="386"/>
      <c r="AB146" s="386"/>
      <c r="AC146" s="386"/>
      <c r="AD146" s="386"/>
      <c r="AE146" s="386"/>
      <c r="AF146" s="386"/>
      <c r="AG146" s="386"/>
      <c r="AH146" s="386"/>
      <c r="AI146" s="386"/>
      <c r="AJ146" s="386"/>
      <c r="AK146" s="386"/>
      <c r="AL146" s="386"/>
      <c r="AM146" s="386"/>
      <c r="AN146" s="386"/>
      <c r="AO146" s="386"/>
      <c r="AP146" s="386"/>
      <c r="AQ146" s="386"/>
      <c r="AR146" s="386"/>
      <c r="AS146" s="386"/>
      <c r="AT146" s="386"/>
      <c r="AU146" s="386"/>
      <c r="AV146" s="386"/>
      <c r="AW146" s="386"/>
      <c r="AX146" s="386"/>
      <c r="AY146" s="386"/>
      <c r="AZ146" s="386"/>
      <c r="BA146" s="386"/>
      <c r="BB146" s="386"/>
      <c r="BC146" s="386"/>
      <c r="BD146" s="386"/>
      <c r="BE146" s="386"/>
      <c r="BF146" s="386"/>
      <c r="BG146" s="386"/>
      <c r="BH146" s="387"/>
      <c r="BI146" s="367"/>
      <c r="BJ146" s="87"/>
      <c r="BK146" s="86"/>
      <c r="BL146" s="85"/>
      <c r="BM146" s="84"/>
      <c r="BN146" s="84"/>
    </row>
    <row r="147" spans="1:66" s="88" customFormat="1" x14ac:dyDescent="1.4">
      <c r="A147" s="393"/>
      <c r="B147" s="92"/>
      <c r="C147" s="91"/>
      <c r="D147" s="90"/>
      <c r="E147" s="93"/>
      <c r="F147" s="385"/>
      <c r="G147" s="386"/>
      <c r="H147" s="386"/>
      <c r="I147" s="386"/>
      <c r="J147" s="386"/>
      <c r="K147" s="386"/>
      <c r="L147" s="386"/>
      <c r="M147" s="386"/>
      <c r="N147" s="386"/>
      <c r="O147" s="386"/>
      <c r="P147" s="386"/>
      <c r="Q147" s="386"/>
      <c r="R147" s="386"/>
      <c r="S147" s="386"/>
      <c r="T147" s="386"/>
      <c r="U147" s="386"/>
      <c r="V147" s="386"/>
      <c r="W147" s="386"/>
      <c r="X147" s="386"/>
      <c r="Y147" s="386"/>
      <c r="Z147" s="386"/>
      <c r="AA147" s="386"/>
      <c r="AB147" s="386"/>
      <c r="AC147" s="386"/>
      <c r="AD147" s="386"/>
      <c r="AE147" s="386"/>
      <c r="AF147" s="386"/>
      <c r="AG147" s="386"/>
      <c r="AH147" s="386"/>
      <c r="AI147" s="386"/>
      <c r="AJ147" s="386"/>
      <c r="AK147" s="386"/>
      <c r="AL147" s="386"/>
      <c r="AM147" s="386"/>
      <c r="AN147" s="386"/>
      <c r="AO147" s="386"/>
      <c r="AP147" s="386"/>
      <c r="AQ147" s="386"/>
      <c r="AR147" s="386"/>
      <c r="AS147" s="386"/>
      <c r="AT147" s="386"/>
      <c r="AU147" s="386"/>
      <c r="AV147" s="386"/>
      <c r="AW147" s="386"/>
      <c r="AX147" s="386"/>
      <c r="AY147" s="386"/>
      <c r="AZ147" s="386"/>
      <c r="BA147" s="386"/>
      <c r="BB147" s="386"/>
      <c r="BC147" s="386"/>
      <c r="BD147" s="386"/>
      <c r="BE147" s="386"/>
      <c r="BF147" s="386"/>
      <c r="BG147" s="386"/>
      <c r="BH147" s="387"/>
      <c r="BI147" s="367"/>
      <c r="BJ147" s="87"/>
      <c r="BK147" s="86"/>
      <c r="BL147" s="85"/>
      <c r="BM147" s="84"/>
      <c r="BN147" s="84"/>
    </row>
    <row r="148" spans="1:66" s="88" customFormat="1" x14ac:dyDescent="1.4">
      <c r="A148" s="393"/>
      <c r="B148" s="92"/>
      <c r="C148" s="91"/>
      <c r="D148" s="90"/>
      <c r="E148" s="93"/>
      <c r="F148" s="385"/>
      <c r="G148" s="386"/>
      <c r="H148" s="386"/>
      <c r="I148" s="386"/>
      <c r="J148" s="386"/>
      <c r="K148" s="386"/>
      <c r="L148" s="386"/>
      <c r="M148" s="386"/>
      <c r="N148" s="386"/>
      <c r="O148" s="386"/>
      <c r="P148" s="386"/>
      <c r="Q148" s="386"/>
      <c r="R148" s="386"/>
      <c r="S148" s="386"/>
      <c r="T148" s="386"/>
      <c r="U148" s="386"/>
      <c r="V148" s="386"/>
      <c r="W148" s="386"/>
      <c r="X148" s="386"/>
      <c r="Y148" s="386"/>
      <c r="Z148" s="386"/>
      <c r="AA148" s="386"/>
      <c r="AB148" s="386"/>
      <c r="AC148" s="386"/>
      <c r="AD148" s="386"/>
      <c r="AE148" s="386"/>
      <c r="AF148" s="386"/>
      <c r="AG148" s="386"/>
      <c r="AH148" s="386"/>
      <c r="AI148" s="386"/>
      <c r="AJ148" s="386"/>
      <c r="AK148" s="386"/>
      <c r="AL148" s="386"/>
      <c r="AM148" s="386"/>
      <c r="AN148" s="386"/>
      <c r="AO148" s="386"/>
      <c r="AP148" s="386"/>
      <c r="AQ148" s="386"/>
      <c r="AR148" s="386"/>
      <c r="AS148" s="386"/>
      <c r="AT148" s="386"/>
      <c r="AU148" s="386"/>
      <c r="AV148" s="386"/>
      <c r="AW148" s="386"/>
      <c r="AX148" s="386"/>
      <c r="AY148" s="386"/>
      <c r="AZ148" s="386"/>
      <c r="BA148" s="386"/>
      <c r="BB148" s="386"/>
      <c r="BC148" s="386"/>
      <c r="BD148" s="386"/>
      <c r="BE148" s="386"/>
      <c r="BF148" s="386"/>
      <c r="BG148" s="386"/>
      <c r="BH148" s="387"/>
      <c r="BI148" s="367"/>
      <c r="BJ148" s="87"/>
      <c r="BK148" s="86"/>
      <c r="BL148" s="85"/>
      <c r="BM148" s="84"/>
      <c r="BN148" s="84"/>
    </row>
    <row r="149" spans="1:66" s="88" customFormat="1" x14ac:dyDescent="1.4">
      <c r="A149" s="393"/>
      <c r="B149" s="92"/>
      <c r="C149" s="91"/>
      <c r="D149" s="90"/>
      <c r="E149" s="93"/>
      <c r="F149" s="385"/>
      <c r="G149" s="386"/>
      <c r="H149" s="386"/>
      <c r="I149" s="386"/>
      <c r="J149" s="386"/>
      <c r="K149" s="386"/>
      <c r="L149" s="386"/>
      <c r="M149" s="386"/>
      <c r="N149" s="386"/>
      <c r="O149" s="386"/>
      <c r="P149" s="386"/>
      <c r="Q149" s="386"/>
      <c r="R149" s="386"/>
      <c r="S149" s="386"/>
      <c r="T149" s="386"/>
      <c r="U149" s="386"/>
      <c r="V149" s="386"/>
      <c r="W149" s="386"/>
      <c r="X149" s="386"/>
      <c r="Y149" s="386"/>
      <c r="Z149" s="386"/>
      <c r="AA149" s="386"/>
      <c r="AB149" s="386"/>
      <c r="AC149" s="386"/>
      <c r="AD149" s="386"/>
      <c r="AE149" s="386"/>
      <c r="AF149" s="386"/>
      <c r="AG149" s="386"/>
      <c r="AH149" s="386"/>
      <c r="AI149" s="386"/>
      <c r="AJ149" s="386"/>
      <c r="AK149" s="386"/>
      <c r="AL149" s="386"/>
      <c r="AM149" s="386"/>
      <c r="AN149" s="386"/>
      <c r="AO149" s="386"/>
      <c r="AP149" s="386"/>
      <c r="AQ149" s="386"/>
      <c r="AR149" s="386"/>
      <c r="AS149" s="386"/>
      <c r="AT149" s="386"/>
      <c r="AU149" s="386"/>
      <c r="AV149" s="386"/>
      <c r="AW149" s="386"/>
      <c r="AX149" s="386"/>
      <c r="AY149" s="386"/>
      <c r="AZ149" s="386"/>
      <c r="BA149" s="386"/>
      <c r="BB149" s="386"/>
      <c r="BC149" s="386"/>
      <c r="BD149" s="386"/>
      <c r="BE149" s="386"/>
      <c r="BF149" s="386"/>
      <c r="BG149" s="386"/>
      <c r="BH149" s="387"/>
      <c r="BI149" s="367"/>
      <c r="BJ149" s="87"/>
      <c r="BK149" s="86"/>
      <c r="BL149" s="85"/>
      <c r="BM149" s="84"/>
      <c r="BN149" s="84"/>
    </row>
    <row r="150" spans="1:66" s="88" customFormat="1" x14ac:dyDescent="1.4">
      <c r="A150" s="393"/>
      <c r="B150" s="92"/>
      <c r="C150" s="91"/>
      <c r="D150" s="90"/>
      <c r="E150" s="93"/>
      <c r="F150" s="385"/>
      <c r="G150" s="386"/>
      <c r="H150" s="386"/>
      <c r="I150" s="386"/>
      <c r="J150" s="386"/>
      <c r="K150" s="386"/>
      <c r="L150" s="386"/>
      <c r="M150" s="386"/>
      <c r="N150" s="386"/>
      <c r="O150" s="386"/>
      <c r="P150" s="386"/>
      <c r="Q150" s="386"/>
      <c r="R150" s="386"/>
      <c r="S150" s="386"/>
      <c r="T150" s="386"/>
      <c r="U150" s="386"/>
      <c r="V150" s="386"/>
      <c r="W150" s="386"/>
      <c r="X150" s="386"/>
      <c r="Y150" s="386"/>
      <c r="Z150" s="386"/>
      <c r="AA150" s="386"/>
      <c r="AB150" s="386"/>
      <c r="AC150" s="386"/>
      <c r="AD150" s="386"/>
      <c r="AE150" s="386"/>
      <c r="AF150" s="386"/>
      <c r="AG150" s="386"/>
      <c r="AH150" s="386"/>
      <c r="AI150" s="386"/>
      <c r="AJ150" s="386"/>
      <c r="AK150" s="386"/>
      <c r="AL150" s="386"/>
      <c r="AM150" s="386"/>
      <c r="AN150" s="386"/>
      <c r="AO150" s="386"/>
      <c r="AP150" s="386"/>
      <c r="AQ150" s="386"/>
      <c r="AR150" s="386"/>
      <c r="AS150" s="386"/>
      <c r="AT150" s="386"/>
      <c r="AU150" s="386"/>
      <c r="AV150" s="386"/>
      <c r="AW150" s="386"/>
      <c r="AX150" s="386"/>
      <c r="AY150" s="386"/>
      <c r="AZ150" s="386"/>
      <c r="BA150" s="386"/>
      <c r="BB150" s="386"/>
      <c r="BC150" s="386"/>
      <c r="BD150" s="386"/>
      <c r="BE150" s="386"/>
      <c r="BF150" s="386"/>
      <c r="BG150" s="386"/>
      <c r="BH150" s="387"/>
      <c r="BI150" s="367"/>
      <c r="BJ150" s="87"/>
      <c r="BK150" s="86"/>
      <c r="BL150" s="85"/>
      <c r="BM150" s="84"/>
      <c r="BN150" s="84"/>
    </row>
    <row r="151" spans="1:66" s="88" customFormat="1" x14ac:dyDescent="1.4">
      <c r="A151" s="393"/>
      <c r="B151" s="92"/>
      <c r="C151" s="91"/>
      <c r="D151" s="90"/>
      <c r="E151" s="93"/>
      <c r="F151" s="385"/>
      <c r="G151" s="386"/>
      <c r="H151" s="386"/>
      <c r="I151" s="386"/>
      <c r="J151" s="386"/>
      <c r="K151" s="386"/>
      <c r="L151" s="386"/>
      <c r="M151" s="386"/>
      <c r="N151" s="386"/>
      <c r="O151" s="386"/>
      <c r="P151" s="386"/>
      <c r="Q151" s="386"/>
      <c r="R151" s="386"/>
      <c r="S151" s="386"/>
      <c r="T151" s="386"/>
      <c r="U151" s="386"/>
      <c r="V151" s="386"/>
      <c r="W151" s="386"/>
      <c r="X151" s="386"/>
      <c r="Y151" s="386"/>
      <c r="Z151" s="386"/>
      <c r="AA151" s="386"/>
      <c r="AB151" s="386"/>
      <c r="AC151" s="386"/>
      <c r="AD151" s="386"/>
      <c r="AE151" s="386"/>
      <c r="AF151" s="386"/>
      <c r="AG151" s="386"/>
      <c r="AH151" s="386"/>
      <c r="AI151" s="386"/>
      <c r="AJ151" s="386"/>
      <c r="AK151" s="386"/>
      <c r="AL151" s="386"/>
      <c r="AM151" s="386"/>
      <c r="AN151" s="386"/>
      <c r="AO151" s="386"/>
      <c r="AP151" s="386"/>
      <c r="AQ151" s="386"/>
      <c r="AR151" s="386"/>
      <c r="AS151" s="386"/>
      <c r="AT151" s="386"/>
      <c r="AU151" s="386"/>
      <c r="AV151" s="386"/>
      <c r="AW151" s="386"/>
      <c r="AX151" s="386"/>
      <c r="AY151" s="386"/>
      <c r="AZ151" s="386"/>
      <c r="BA151" s="386"/>
      <c r="BB151" s="386"/>
      <c r="BC151" s="386"/>
      <c r="BD151" s="386"/>
      <c r="BE151" s="386"/>
      <c r="BF151" s="386"/>
      <c r="BG151" s="386"/>
      <c r="BH151" s="387"/>
      <c r="BI151" s="367"/>
      <c r="BJ151" s="87"/>
      <c r="BK151" s="86"/>
      <c r="BL151" s="85"/>
      <c r="BM151" s="84"/>
      <c r="BN151" s="84"/>
    </row>
    <row r="152" spans="1:66" s="88" customFormat="1" x14ac:dyDescent="1.4">
      <c r="A152" s="393"/>
      <c r="B152" s="92"/>
      <c r="C152" s="91"/>
      <c r="D152" s="90"/>
      <c r="E152" s="93"/>
      <c r="F152" s="385"/>
      <c r="G152" s="386"/>
      <c r="H152" s="386"/>
      <c r="I152" s="386"/>
      <c r="J152" s="386"/>
      <c r="K152" s="386"/>
      <c r="L152" s="386"/>
      <c r="M152" s="386"/>
      <c r="N152" s="386"/>
      <c r="O152" s="386"/>
      <c r="P152" s="386"/>
      <c r="Q152" s="386"/>
      <c r="R152" s="386"/>
      <c r="S152" s="386"/>
      <c r="T152" s="386"/>
      <c r="U152" s="386"/>
      <c r="V152" s="386"/>
      <c r="W152" s="386"/>
      <c r="X152" s="386"/>
      <c r="Y152" s="386"/>
      <c r="Z152" s="386"/>
      <c r="AA152" s="386"/>
      <c r="AB152" s="386"/>
      <c r="AC152" s="386"/>
      <c r="AD152" s="386"/>
      <c r="AE152" s="386"/>
      <c r="AF152" s="386"/>
      <c r="AG152" s="386"/>
      <c r="AH152" s="386"/>
      <c r="AI152" s="386"/>
      <c r="AJ152" s="386"/>
      <c r="AK152" s="386"/>
      <c r="AL152" s="386"/>
      <c r="AM152" s="386"/>
      <c r="AN152" s="386"/>
      <c r="AO152" s="386"/>
      <c r="AP152" s="386"/>
      <c r="AQ152" s="386"/>
      <c r="AR152" s="386"/>
      <c r="AS152" s="386"/>
      <c r="AT152" s="386"/>
      <c r="AU152" s="386"/>
      <c r="AV152" s="386"/>
      <c r="AW152" s="386"/>
      <c r="AX152" s="386"/>
      <c r="AY152" s="386"/>
      <c r="AZ152" s="386"/>
      <c r="BA152" s="386"/>
      <c r="BB152" s="386"/>
      <c r="BC152" s="386"/>
      <c r="BD152" s="386"/>
      <c r="BE152" s="386"/>
      <c r="BF152" s="386"/>
      <c r="BG152" s="386"/>
      <c r="BH152" s="387"/>
      <c r="BI152" s="367"/>
      <c r="BJ152" s="87"/>
      <c r="BK152" s="86"/>
      <c r="BL152" s="85"/>
      <c r="BM152" s="84"/>
      <c r="BN152" s="84"/>
    </row>
    <row r="153" spans="1:66" s="88" customFormat="1" x14ac:dyDescent="1.4">
      <c r="A153" s="393"/>
      <c r="B153" s="92"/>
      <c r="C153" s="91"/>
      <c r="D153" s="90"/>
      <c r="E153" s="93"/>
      <c r="F153" s="385"/>
      <c r="G153" s="386"/>
      <c r="H153" s="386"/>
      <c r="I153" s="386"/>
      <c r="J153" s="386"/>
      <c r="K153" s="386"/>
      <c r="L153" s="386"/>
      <c r="M153" s="386"/>
      <c r="N153" s="386"/>
      <c r="O153" s="386"/>
      <c r="P153" s="386"/>
      <c r="Q153" s="386"/>
      <c r="R153" s="386"/>
      <c r="S153" s="386"/>
      <c r="T153" s="386"/>
      <c r="U153" s="386"/>
      <c r="V153" s="386"/>
      <c r="W153" s="386"/>
      <c r="X153" s="386"/>
      <c r="Y153" s="386"/>
      <c r="Z153" s="386"/>
      <c r="AA153" s="386"/>
      <c r="AB153" s="386"/>
      <c r="AC153" s="386"/>
      <c r="AD153" s="386"/>
      <c r="AE153" s="386"/>
      <c r="AF153" s="386"/>
      <c r="AG153" s="386"/>
      <c r="AH153" s="386"/>
      <c r="AI153" s="386"/>
      <c r="AJ153" s="386"/>
      <c r="AK153" s="386"/>
      <c r="AL153" s="386"/>
      <c r="AM153" s="386"/>
      <c r="AN153" s="386"/>
      <c r="AO153" s="386"/>
      <c r="AP153" s="386"/>
      <c r="AQ153" s="386"/>
      <c r="AR153" s="386"/>
      <c r="AS153" s="386"/>
      <c r="AT153" s="386"/>
      <c r="AU153" s="386"/>
      <c r="AV153" s="386"/>
      <c r="AW153" s="386"/>
      <c r="AX153" s="386"/>
      <c r="AY153" s="386"/>
      <c r="AZ153" s="386"/>
      <c r="BA153" s="386"/>
      <c r="BB153" s="386"/>
      <c r="BC153" s="386"/>
      <c r="BD153" s="386"/>
      <c r="BE153" s="386"/>
      <c r="BF153" s="386"/>
      <c r="BG153" s="386"/>
      <c r="BH153" s="387"/>
      <c r="BI153" s="367"/>
      <c r="BJ153" s="87"/>
      <c r="BK153" s="86"/>
      <c r="BL153" s="85"/>
      <c r="BM153" s="84"/>
      <c r="BN153" s="84"/>
    </row>
    <row r="154" spans="1:66" s="88" customFormat="1" x14ac:dyDescent="1.4">
      <c r="A154" s="393"/>
      <c r="B154" s="92"/>
      <c r="C154" s="91"/>
      <c r="D154" s="90"/>
      <c r="E154" s="93"/>
      <c r="F154" s="385"/>
      <c r="G154" s="386"/>
      <c r="H154" s="386"/>
      <c r="I154" s="386"/>
      <c r="J154" s="386"/>
      <c r="K154" s="386"/>
      <c r="L154" s="386"/>
      <c r="M154" s="386"/>
      <c r="N154" s="386"/>
      <c r="O154" s="386"/>
      <c r="P154" s="386"/>
      <c r="Q154" s="386"/>
      <c r="R154" s="386"/>
      <c r="S154" s="386"/>
      <c r="T154" s="386"/>
      <c r="U154" s="386"/>
      <c r="V154" s="386"/>
      <c r="W154" s="386"/>
      <c r="X154" s="386"/>
      <c r="Y154" s="386"/>
      <c r="Z154" s="386"/>
      <c r="AA154" s="386"/>
      <c r="AB154" s="386"/>
      <c r="AC154" s="386"/>
      <c r="AD154" s="386"/>
      <c r="AE154" s="386"/>
      <c r="AF154" s="386"/>
      <c r="AG154" s="386"/>
      <c r="AH154" s="386"/>
      <c r="AI154" s="386"/>
      <c r="AJ154" s="386"/>
      <c r="AK154" s="386"/>
      <c r="AL154" s="386"/>
      <c r="AM154" s="386"/>
      <c r="AN154" s="386"/>
      <c r="AO154" s="386"/>
      <c r="AP154" s="386"/>
      <c r="AQ154" s="386"/>
      <c r="AR154" s="386"/>
      <c r="AS154" s="386"/>
      <c r="AT154" s="386"/>
      <c r="AU154" s="386"/>
      <c r="AV154" s="386"/>
      <c r="AW154" s="386"/>
      <c r="AX154" s="386"/>
      <c r="AY154" s="386"/>
      <c r="AZ154" s="386"/>
      <c r="BA154" s="386"/>
      <c r="BB154" s="386"/>
      <c r="BC154" s="386"/>
      <c r="BD154" s="386"/>
      <c r="BE154" s="386"/>
      <c r="BF154" s="386"/>
      <c r="BG154" s="386"/>
      <c r="BH154" s="387"/>
      <c r="BI154" s="367"/>
      <c r="BJ154" s="87"/>
      <c r="BK154" s="86"/>
      <c r="BL154" s="85"/>
      <c r="BM154" s="84"/>
      <c r="BN154" s="84"/>
    </row>
    <row r="155" spans="1:66" s="88" customFormat="1" x14ac:dyDescent="1.4">
      <c r="A155" s="393"/>
      <c r="B155" s="92"/>
      <c r="C155" s="91"/>
      <c r="D155" s="90"/>
      <c r="E155" s="93"/>
      <c r="F155" s="385"/>
      <c r="G155" s="386"/>
      <c r="H155" s="386"/>
      <c r="I155" s="386"/>
      <c r="J155" s="386"/>
      <c r="K155" s="386"/>
      <c r="L155" s="386"/>
      <c r="M155" s="386"/>
      <c r="N155" s="386"/>
      <c r="O155" s="386"/>
      <c r="P155" s="386"/>
      <c r="Q155" s="386"/>
      <c r="R155" s="386"/>
      <c r="S155" s="386"/>
      <c r="T155" s="386"/>
      <c r="U155" s="386"/>
      <c r="V155" s="386"/>
      <c r="W155" s="386"/>
      <c r="X155" s="386"/>
      <c r="Y155" s="386"/>
      <c r="Z155" s="386"/>
      <c r="AA155" s="386"/>
      <c r="AB155" s="386"/>
      <c r="AC155" s="386"/>
      <c r="AD155" s="386"/>
      <c r="AE155" s="386"/>
      <c r="AF155" s="386"/>
      <c r="AG155" s="386"/>
      <c r="AH155" s="386"/>
      <c r="AI155" s="386"/>
      <c r="AJ155" s="386"/>
      <c r="AK155" s="386"/>
      <c r="AL155" s="386"/>
      <c r="AM155" s="386"/>
      <c r="AN155" s="386"/>
      <c r="AO155" s="386"/>
      <c r="AP155" s="386"/>
      <c r="AQ155" s="386"/>
      <c r="AR155" s="386"/>
      <c r="AS155" s="386"/>
      <c r="AT155" s="386"/>
      <c r="AU155" s="386"/>
      <c r="AV155" s="386"/>
      <c r="AW155" s="386"/>
      <c r="AX155" s="386"/>
      <c r="AY155" s="386"/>
      <c r="AZ155" s="386"/>
      <c r="BA155" s="386"/>
      <c r="BB155" s="386"/>
      <c r="BC155" s="386"/>
      <c r="BD155" s="386"/>
      <c r="BE155" s="386"/>
      <c r="BF155" s="386"/>
      <c r="BG155" s="386"/>
      <c r="BH155" s="387"/>
      <c r="BI155" s="367"/>
      <c r="BJ155" s="87"/>
      <c r="BK155" s="86"/>
      <c r="BL155" s="85"/>
      <c r="BM155" s="84"/>
      <c r="BN155" s="84"/>
    </row>
    <row r="156" spans="1:66" s="88" customFormat="1" x14ac:dyDescent="1.4">
      <c r="A156" s="393"/>
      <c r="B156" s="92"/>
      <c r="C156" s="91"/>
      <c r="D156" s="90"/>
      <c r="E156" s="93"/>
      <c r="F156" s="385"/>
      <c r="G156" s="386"/>
      <c r="H156" s="386"/>
      <c r="I156" s="386"/>
      <c r="J156" s="386"/>
      <c r="K156" s="386"/>
      <c r="L156" s="386"/>
      <c r="M156" s="386"/>
      <c r="N156" s="386"/>
      <c r="O156" s="386"/>
      <c r="P156" s="386"/>
      <c r="Q156" s="386"/>
      <c r="R156" s="386"/>
      <c r="S156" s="386"/>
      <c r="T156" s="386"/>
      <c r="U156" s="386"/>
      <c r="V156" s="386"/>
      <c r="W156" s="386"/>
      <c r="X156" s="386"/>
      <c r="Y156" s="386"/>
      <c r="Z156" s="386"/>
      <c r="AA156" s="386"/>
      <c r="AB156" s="386"/>
      <c r="AC156" s="386"/>
      <c r="AD156" s="386"/>
      <c r="AE156" s="386"/>
      <c r="AF156" s="386"/>
      <c r="AG156" s="386"/>
      <c r="AH156" s="386"/>
      <c r="AI156" s="386"/>
      <c r="AJ156" s="386"/>
      <c r="AK156" s="386"/>
      <c r="AL156" s="386"/>
      <c r="AM156" s="386"/>
      <c r="AN156" s="386"/>
      <c r="AO156" s="386"/>
      <c r="AP156" s="386"/>
      <c r="AQ156" s="386"/>
      <c r="AR156" s="386"/>
      <c r="AS156" s="386"/>
      <c r="AT156" s="386"/>
      <c r="AU156" s="386"/>
      <c r="AV156" s="386"/>
      <c r="AW156" s="386"/>
      <c r="AX156" s="386"/>
      <c r="AY156" s="386"/>
      <c r="AZ156" s="386"/>
      <c r="BA156" s="386"/>
      <c r="BB156" s="386"/>
      <c r="BC156" s="386"/>
      <c r="BD156" s="386"/>
      <c r="BE156" s="386"/>
      <c r="BF156" s="386"/>
      <c r="BG156" s="386"/>
      <c r="BH156" s="387"/>
      <c r="BI156" s="367"/>
      <c r="BJ156" s="87"/>
      <c r="BK156" s="86"/>
      <c r="BL156" s="85"/>
      <c r="BM156" s="84"/>
      <c r="BN156" s="84"/>
    </row>
    <row r="157" spans="1:66" s="88" customFormat="1" x14ac:dyDescent="1.4">
      <c r="A157" s="393"/>
      <c r="B157" s="92"/>
      <c r="C157" s="91"/>
      <c r="D157" s="90"/>
      <c r="E157" s="93"/>
      <c r="F157" s="385"/>
      <c r="G157" s="386"/>
      <c r="H157" s="386"/>
      <c r="I157" s="386"/>
      <c r="J157" s="386"/>
      <c r="K157" s="386"/>
      <c r="L157" s="386"/>
      <c r="M157" s="386"/>
      <c r="N157" s="386"/>
      <c r="O157" s="386"/>
      <c r="P157" s="386"/>
      <c r="Q157" s="386"/>
      <c r="R157" s="386"/>
      <c r="S157" s="386"/>
      <c r="T157" s="386"/>
      <c r="U157" s="386"/>
      <c r="V157" s="386"/>
      <c r="W157" s="386"/>
      <c r="X157" s="386"/>
      <c r="Y157" s="386"/>
      <c r="Z157" s="386"/>
      <c r="AA157" s="386"/>
      <c r="AB157" s="386"/>
      <c r="AC157" s="386"/>
      <c r="AD157" s="386"/>
      <c r="AE157" s="386"/>
      <c r="AF157" s="386"/>
      <c r="AG157" s="386"/>
      <c r="AH157" s="386"/>
      <c r="AI157" s="386"/>
      <c r="AJ157" s="386"/>
      <c r="AK157" s="386"/>
      <c r="AL157" s="386"/>
      <c r="AM157" s="386"/>
      <c r="AN157" s="386"/>
      <c r="AO157" s="386"/>
      <c r="AP157" s="386"/>
      <c r="AQ157" s="386"/>
      <c r="AR157" s="386"/>
      <c r="AS157" s="386"/>
      <c r="AT157" s="386"/>
      <c r="AU157" s="386"/>
      <c r="AV157" s="386"/>
      <c r="AW157" s="386"/>
      <c r="AX157" s="386"/>
      <c r="AY157" s="386"/>
      <c r="AZ157" s="386"/>
      <c r="BA157" s="386"/>
      <c r="BB157" s="386"/>
      <c r="BC157" s="386"/>
      <c r="BD157" s="386"/>
      <c r="BE157" s="386"/>
      <c r="BF157" s="386"/>
      <c r="BG157" s="386"/>
      <c r="BH157" s="387"/>
      <c r="BI157" s="367"/>
      <c r="BJ157" s="87"/>
      <c r="BK157" s="86"/>
      <c r="BL157" s="85"/>
      <c r="BM157" s="84"/>
      <c r="BN157" s="84"/>
    </row>
    <row r="158" spans="1:66" s="88" customFormat="1" x14ac:dyDescent="1.4">
      <c r="A158" s="393"/>
      <c r="B158" s="92"/>
      <c r="C158" s="91"/>
      <c r="D158" s="90"/>
      <c r="E158" s="93"/>
      <c r="F158" s="385"/>
      <c r="G158" s="386"/>
      <c r="H158" s="386"/>
      <c r="I158" s="386"/>
      <c r="J158" s="386"/>
      <c r="K158" s="386"/>
      <c r="L158" s="386"/>
      <c r="M158" s="386"/>
      <c r="N158" s="386"/>
      <c r="O158" s="386"/>
      <c r="P158" s="386"/>
      <c r="Q158" s="386"/>
      <c r="R158" s="386"/>
      <c r="S158" s="386"/>
      <c r="T158" s="386"/>
      <c r="U158" s="386"/>
      <c r="V158" s="386"/>
      <c r="W158" s="386"/>
      <c r="X158" s="386"/>
      <c r="Y158" s="386"/>
      <c r="Z158" s="386"/>
      <c r="AA158" s="386"/>
      <c r="AB158" s="386"/>
      <c r="AC158" s="386"/>
      <c r="AD158" s="386"/>
      <c r="AE158" s="386"/>
      <c r="AF158" s="386"/>
      <c r="AG158" s="386"/>
      <c r="AH158" s="386"/>
      <c r="AI158" s="386"/>
      <c r="AJ158" s="386"/>
      <c r="AK158" s="386"/>
      <c r="AL158" s="386"/>
      <c r="AM158" s="386"/>
      <c r="AN158" s="386"/>
      <c r="AO158" s="386"/>
      <c r="AP158" s="386"/>
      <c r="AQ158" s="386"/>
      <c r="AR158" s="386"/>
      <c r="AS158" s="386"/>
      <c r="AT158" s="386"/>
      <c r="AU158" s="386"/>
      <c r="AV158" s="386"/>
      <c r="AW158" s="386"/>
      <c r="AX158" s="386"/>
      <c r="AY158" s="386"/>
      <c r="AZ158" s="386"/>
      <c r="BA158" s="386"/>
      <c r="BB158" s="386"/>
      <c r="BC158" s="386"/>
      <c r="BD158" s="386"/>
      <c r="BE158" s="386"/>
      <c r="BF158" s="386"/>
      <c r="BG158" s="386"/>
      <c r="BH158" s="387"/>
      <c r="BI158" s="367"/>
      <c r="BJ158" s="87"/>
      <c r="BK158" s="86"/>
      <c r="BL158" s="85"/>
      <c r="BM158" s="84"/>
      <c r="BN158" s="84"/>
    </row>
    <row r="159" spans="1:66" s="88" customFormat="1" x14ac:dyDescent="1.4">
      <c r="A159" s="393"/>
      <c r="B159" s="92"/>
      <c r="C159" s="91"/>
      <c r="D159" s="90"/>
      <c r="E159" s="93"/>
      <c r="F159" s="385"/>
      <c r="G159" s="386"/>
      <c r="H159" s="386"/>
      <c r="I159" s="386"/>
      <c r="J159" s="386"/>
      <c r="K159" s="386"/>
      <c r="L159" s="386"/>
      <c r="M159" s="386"/>
      <c r="N159" s="386"/>
      <c r="O159" s="386"/>
      <c r="P159" s="386"/>
      <c r="Q159" s="386"/>
      <c r="R159" s="386"/>
      <c r="S159" s="386"/>
      <c r="T159" s="386"/>
      <c r="U159" s="386"/>
      <c r="V159" s="386"/>
      <c r="W159" s="386"/>
      <c r="X159" s="386"/>
      <c r="Y159" s="386"/>
      <c r="Z159" s="386"/>
      <c r="AA159" s="386"/>
      <c r="AB159" s="386"/>
      <c r="AC159" s="386"/>
      <c r="AD159" s="386"/>
      <c r="AE159" s="386"/>
      <c r="AF159" s="386"/>
      <c r="AG159" s="386"/>
      <c r="AH159" s="386"/>
      <c r="AI159" s="386"/>
      <c r="AJ159" s="386"/>
      <c r="AK159" s="386"/>
      <c r="AL159" s="386"/>
      <c r="AM159" s="386"/>
      <c r="AN159" s="386"/>
      <c r="AO159" s="386"/>
      <c r="AP159" s="386"/>
      <c r="AQ159" s="386"/>
      <c r="AR159" s="386"/>
      <c r="AS159" s="386"/>
      <c r="AT159" s="386"/>
      <c r="AU159" s="386"/>
      <c r="AV159" s="386"/>
      <c r="AW159" s="386"/>
      <c r="AX159" s="386"/>
      <c r="AY159" s="386"/>
      <c r="AZ159" s="386"/>
      <c r="BA159" s="386"/>
      <c r="BB159" s="386"/>
      <c r="BC159" s="386"/>
      <c r="BD159" s="386"/>
      <c r="BE159" s="386"/>
      <c r="BF159" s="386"/>
      <c r="BG159" s="386"/>
      <c r="BH159" s="387"/>
      <c r="BI159" s="367"/>
      <c r="BJ159" s="87"/>
      <c r="BK159" s="86"/>
      <c r="BL159" s="85"/>
      <c r="BM159" s="84"/>
      <c r="BN159" s="84"/>
    </row>
    <row r="160" spans="1:66" s="88" customFormat="1" x14ac:dyDescent="1.4">
      <c r="A160" s="393"/>
      <c r="B160" s="92"/>
      <c r="C160" s="91"/>
      <c r="D160" s="90"/>
      <c r="E160" s="93"/>
      <c r="F160" s="385"/>
      <c r="G160" s="386"/>
      <c r="H160" s="386"/>
      <c r="I160" s="386"/>
      <c r="J160" s="386"/>
      <c r="K160" s="386"/>
      <c r="L160" s="386"/>
      <c r="M160" s="386"/>
      <c r="N160" s="386"/>
      <c r="O160" s="386"/>
      <c r="P160" s="386"/>
      <c r="Q160" s="386"/>
      <c r="R160" s="386"/>
      <c r="S160" s="386"/>
      <c r="T160" s="386"/>
      <c r="U160" s="386"/>
      <c r="V160" s="386"/>
      <c r="W160" s="386"/>
      <c r="X160" s="386"/>
      <c r="Y160" s="386"/>
      <c r="Z160" s="386"/>
      <c r="AA160" s="386"/>
      <c r="AB160" s="386"/>
      <c r="AC160" s="386"/>
      <c r="AD160" s="386"/>
      <c r="AE160" s="386"/>
      <c r="AF160" s="386"/>
      <c r="AG160" s="386"/>
      <c r="AH160" s="386"/>
      <c r="AI160" s="386"/>
      <c r="AJ160" s="386"/>
      <c r="AK160" s="386"/>
      <c r="AL160" s="386"/>
      <c r="AM160" s="386"/>
      <c r="AN160" s="386"/>
      <c r="AO160" s="386"/>
      <c r="AP160" s="386"/>
      <c r="AQ160" s="386"/>
      <c r="AR160" s="386"/>
      <c r="AS160" s="386"/>
      <c r="AT160" s="386"/>
      <c r="AU160" s="386"/>
      <c r="AV160" s="386"/>
      <c r="AW160" s="386"/>
      <c r="AX160" s="386"/>
      <c r="AY160" s="386"/>
      <c r="AZ160" s="386"/>
      <c r="BA160" s="386"/>
      <c r="BB160" s="386"/>
      <c r="BC160" s="386"/>
      <c r="BD160" s="386"/>
      <c r="BE160" s="386"/>
      <c r="BF160" s="386"/>
      <c r="BG160" s="386"/>
      <c r="BH160" s="387"/>
      <c r="BI160" s="367"/>
      <c r="BJ160" s="87"/>
      <c r="BK160" s="86"/>
      <c r="BL160" s="85"/>
      <c r="BM160" s="84"/>
      <c r="BN160" s="84"/>
    </row>
    <row r="161" spans="1:66" s="88" customFormat="1" x14ac:dyDescent="1.4">
      <c r="A161" s="393"/>
      <c r="B161" s="92"/>
      <c r="C161" s="91"/>
      <c r="D161" s="90"/>
      <c r="E161" s="93"/>
      <c r="F161" s="385"/>
      <c r="G161" s="386"/>
      <c r="H161" s="386"/>
      <c r="I161" s="386"/>
      <c r="J161" s="386"/>
      <c r="K161" s="386"/>
      <c r="L161" s="386"/>
      <c r="M161" s="386"/>
      <c r="N161" s="386"/>
      <c r="O161" s="386"/>
      <c r="P161" s="386"/>
      <c r="Q161" s="386"/>
      <c r="R161" s="386"/>
      <c r="S161" s="386"/>
      <c r="T161" s="386"/>
      <c r="U161" s="386"/>
      <c r="V161" s="386"/>
      <c r="W161" s="386"/>
      <c r="X161" s="386"/>
      <c r="Y161" s="386"/>
      <c r="Z161" s="386"/>
      <c r="AA161" s="386"/>
      <c r="AB161" s="386"/>
      <c r="AC161" s="386"/>
      <c r="AD161" s="386"/>
      <c r="AE161" s="386"/>
      <c r="AF161" s="386"/>
      <c r="AG161" s="386"/>
      <c r="AH161" s="386"/>
      <c r="AI161" s="386"/>
      <c r="AJ161" s="386"/>
      <c r="AK161" s="386"/>
      <c r="AL161" s="386"/>
      <c r="AM161" s="386"/>
      <c r="AN161" s="386"/>
      <c r="AO161" s="386"/>
      <c r="AP161" s="386"/>
      <c r="AQ161" s="386"/>
      <c r="AR161" s="386"/>
      <c r="AS161" s="386"/>
      <c r="AT161" s="386"/>
      <c r="AU161" s="386"/>
      <c r="AV161" s="386"/>
      <c r="AW161" s="386"/>
      <c r="AX161" s="386"/>
      <c r="AY161" s="386"/>
      <c r="AZ161" s="386"/>
      <c r="BA161" s="386"/>
      <c r="BB161" s="386"/>
      <c r="BC161" s="386"/>
      <c r="BD161" s="386"/>
      <c r="BE161" s="386"/>
      <c r="BF161" s="386"/>
      <c r="BG161" s="386"/>
      <c r="BH161" s="387"/>
      <c r="BI161" s="367"/>
      <c r="BJ161" s="87"/>
      <c r="BK161" s="86"/>
      <c r="BL161" s="85"/>
      <c r="BM161" s="84"/>
      <c r="BN161" s="84"/>
    </row>
    <row r="162" spans="1:66" s="88" customFormat="1" x14ac:dyDescent="1.4">
      <c r="A162" s="393"/>
      <c r="B162" s="92"/>
      <c r="C162" s="91"/>
      <c r="D162" s="90"/>
      <c r="E162" s="93"/>
      <c r="F162" s="385"/>
      <c r="G162" s="386"/>
      <c r="H162" s="386"/>
      <c r="I162" s="386"/>
      <c r="J162" s="386"/>
      <c r="K162" s="386"/>
      <c r="L162" s="386"/>
      <c r="M162" s="386"/>
      <c r="N162" s="386"/>
      <c r="O162" s="386"/>
      <c r="P162" s="386"/>
      <c r="Q162" s="386"/>
      <c r="R162" s="386"/>
      <c r="S162" s="386"/>
      <c r="T162" s="386"/>
      <c r="U162" s="386"/>
      <c r="V162" s="386"/>
      <c r="W162" s="386"/>
      <c r="X162" s="386"/>
      <c r="Y162" s="386"/>
      <c r="Z162" s="386"/>
      <c r="AA162" s="386"/>
      <c r="AB162" s="386"/>
      <c r="AC162" s="386"/>
      <c r="AD162" s="386"/>
      <c r="AE162" s="386"/>
      <c r="AF162" s="386"/>
      <c r="AG162" s="386"/>
      <c r="AH162" s="386"/>
      <c r="AI162" s="386"/>
      <c r="AJ162" s="386"/>
      <c r="AK162" s="386"/>
      <c r="AL162" s="386"/>
      <c r="AM162" s="386"/>
      <c r="AN162" s="386"/>
      <c r="AO162" s="386"/>
      <c r="AP162" s="386"/>
      <c r="AQ162" s="386"/>
      <c r="AR162" s="386"/>
      <c r="AS162" s="386"/>
      <c r="AT162" s="386"/>
      <c r="AU162" s="386"/>
      <c r="AV162" s="386"/>
      <c r="AW162" s="386"/>
      <c r="AX162" s="386"/>
      <c r="AY162" s="386"/>
      <c r="AZ162" s="386"/>
      <c r="BA162" s="386"/>
      <c r="BB162" s="386"/>
      <c r="BC162" s="386"/>
      <c r="BD162" s="386"/>
      <c r="BE162" s="386"/>
      <c r="BF162" s="386"/>
      <c r="BG162" s="386"/>
      <c r="BH162" s="387"/>
      <c r="BI162" s="367"/>
      <c r="BJ162" s="87"/>
      <c r="BK162" s="86"/>
      <c r="BL162" s="85"/>
      <c r="BM162" s="84"/>
      <c r="BN162" s="84"/>
    </row>
    <row r="163" spans="1:66" s="88" customFormat="1" x14ac:dyDescent="1.4">
      <c r="A163" s="393"/>
      <c r="B163" s="92"/>
      <c r="C163" s="91"/>
      <c r="D163" s="90"/>
      <c r="E163" s="93"/>
      <c r="F163" s="385"/>
      <c r="G163" s="386"/>
      <c r="H163" s="386"/>
      <c r="I163" s="386"/>
      <c r="J163" s="386"/>
      <c r="K163" s="386"/>
      <c r="L163" s="386"/>
      <c r="M163" s="386"/>
      <c r="N163" s="386"/>
      <c r="O163" s="386"/>
      <c r="P163" s="386"/>
      <c r="Q163" s="386"/>
      <c r="R163" s="386"/>
      <c r="S163" s="386"/>
      <c r="T163" s="386"/>
      <c r="U163" s="386"/>
      <c r="V163" s="386"/>
      <c r="W163" s="386"/>
      <c r="X163" s="386"/>
      <c r="Y163" s="386"/>
      <c r="Z163" s="386"/>
      <c r="AA163" s="386"/>
      <c r="AB163" s="386"/>
      <c r="AC163" s="386"/>
      <c r="AD163" s="386"/>
      <c r="AE163" s="386"/>
      <c r="AF163" s="386"/>
      <c r="AG163" s="386"/>
      <c r="AH163" s="386"/>
      <c r="AI163" s="386"/>
      <c r="AJ163" s="386"/>
      <c r="AK163" s="386"/>
      <c r="AL163" s="386"/>
      <c r="AM163" s="386"/>
      <c r="AN163" s="386"/>
      <c r="AO163" s="386"/>
      <c r="AP163" s="386"/>
      <c r="AQ163" s="386"/>
      <c r="AR163" s="386"/>
      <c r="AS163" s="386"/>
      <c r="AT163" s="386"/>
      <c r="AU163" s="386"/>
      <c r="AV163" s="386"/>
      <c r="AW163" s="386"/>
      <c r="AX163" s="386"/>
      <c r="AY163" s="386"/>
      <c r="AZ163" s="386"/>
      <c r="BA163" s="386"/>
      <c r="BB163" s="386"/>
      <c r="BC163" s="386"/>
      <c r="BD163" s="386"/>
      <c r="BE163" s="386"/>
      <c r="BF163" s="386"/>
      <c r="BG163" s="386"/>
      <c r="BH163" s="387"/>
      <c r="BI163" s="367"/>
      <c r="BJ163" s="87"/>
      <c r="BK163" s="86"/>
      <c r="BL163" s="85"/>
      <c r="BM163" s="84"/>
      <c r="BN163" s="84"/>
    </row>
    <row r="164" spans="1:66" s="88" customFormat="1" x14ac:dyDescent="1.4">
      <c r="A164" s="393"/>
      <c r="B164" s="92"/>
      <c r="C164" s="91"/>
      <c r="D164" s="90"/>
      <c r="E164" s="93"/>
      <c r="F164" s="385"/>
      <c r="G164" s="386"/>
      <c r="H164" s="386"/>
      <c r="I164" s="386"/>
      <c r="J164" s="386"/>
      <c r="K164" s="386"/>
      <c r="L164" s="386"/>
      <c r="M164" s="386"/>
      <c r="N164" s="386"/>
      <c r="O164" s="386"/>
      <c r="P164" s="386"/>
      <c r="Q164" s="386"/>
      <c r="R164" s="386"/>
      <c r="S164" s="386"/>
      <c r="T164" s="386"/>
      <c r="U164" s="386"/>
      <c r="V164" s="386"/>
      <c r="W164" s="386"/>
      <c r="X164" s="386"/>
      <c r="Y164" s="386"/>
      <c r="Z164" s="386"/>
      <c r="AA164" s="386"/>
      <c r="AB164" s="386"/>
      <c r="AC164" s="386"/>
      <c r="AD164" s="386"/>
      <c r="AE164" s="386"/>
      <c r="AF164" s="386"/>
      <c r="AG164" s="386"/>
      <c r="AH164" s="386"/>
      <c r="AI164" s="386"/>
      <c r="AJ164" s="386"/>
      <c r="AK164" s="386"/>
      <c r="AL164" s="386"/>
      <c r="AM164" s="386"/>
      <c r="AN164" s="386"/>
      <c r="AO164" s="386"/>
      <c r="AP164" s="386"/>
      <c r="AQ164" s="386"/>
      <c r="AR164" s="386"/>
      <c r="AS164" s="386"/>
      <c r="AT164" s="386"/>
      <c r="AU164" s="386"/>
      <c r="AV164" s="386"/>
      <c r="AW164" s="386"/>
      <c r="AX164" s="386"/>
      <c r="AY164" s="386"/>
      <c r="AZ164" s="386"/>
      <c r="BA164" s="386"/>
      <c r="BB164" s="386"/>
      <c r="BC164" s="386"/>
      <c r="BD164" s="386"/>
      <c r="BE164" s="386"/>
      <c r="BF164" s="386"/>
      <c r="BG164" s="386"/>
      <c r="BH164" s="387"/>
      <c r="BI164" s="367"/>
      <c r="BJ164" s="87"/>
      <c r="BK164" s="86"/>
      <c r="BL164" s="85"/>
      <c r="BM164" s="84"/>
      <c r="BN164" s="84"/>
    </row>
    <row r="165" spans="1:66" s="88" customFormat="1" x14ac:dyDescent="1.4">
      <c r="A165" s="393"/>
      <c r="B165" s="92"/>
      <c r="C165" s="91"/>
      <c r="D165" s="90"/>
      <c r="E165" s="93"/>
      <c r="F165" s="385"/>
      <c r="G165" s="386"/>
      <c r="H165" s="386"/>
      <c r="I165" s="386"/>
      <c r="J165" s="386"/>
      <c r="K165" s="386"/>
      <c r="L165" s="386"/>
      <c r="M165" s="386"/>
      <c r="N165" s="386"/>
      <c r="O165" s="386"/>
      <c r="P165" s="386"/>
      <c r="Q165" s="386"/>
      <c r="R165" s="386"/>
      <c r="S165" s="386"/>
      <c r="T165" s="386"/>
      <c r="U165" s="386"/>
      <c r="V165" s="386"/>
      <c r="W165" s="386"/>
      <c r="X165" s="386"/>
      <c r="Y165" s="386"/>
      <c r="Z165" s="386"/>
      <c r="AA165" s="386"/>
      <c r="AB165" s="386"/>
      <c r="AC165" s="386"/>
      <c r="AD165" s="386"/>
      <c r="AE165" s="386"/>
      <c r="AF165" s="386"/>
      <c r="AG165" s="386"/>
      <c r="AH165" s="386"/>
      <c r="AI165" s="386"/>
      <c r="AJ165" s="386"/>
      <c r="AK165" s="386"/>
      <c r="AL165" s="386"/>
      <c r="AM165" s="386"/>
      <c r="AN165" s="386"/>
      <c r="AO165" s="386"/>
      <c r="AP165" s="386"/>
      <c r="AQ165" s="386"/>
      <c r="AR165" s="386"/>
      <c r="AS165" s="386"/>
      <c r="AT165" s="386"/>
      <c r="AU165" s="386"/>
      <c r="AV165" s="386"/>
      <c r="AW165" s="386"/>
      <c r="AX165" s="386"/>
      <c r="AY165" s="386"/>
      <c r="AZ165" s="386"/>
      <c r="BA165" s="386"/>
      <c r="BB165" s="386"/>
      <c r="BC165" s="386"/>
      <c r="BD165" s="386"/>
      <c r="BE165" s="386"/>
      <c r="BF165" s="386"/>
      <c r="BG165" s="386"/>
      <c r="BH165" s="387"/>
      <c r="BI165" s="367"/>
      <c r="BJ165" s="87"/>
      <c r="BK165" s="86"/>
      <c r="BL165" s="85"/>
      <c r="BM165" s="84"/>
      <c r="BN165" s="84"/>
    </row>
    <row r="166" spans="1:66" s="88" customFormat="1" x14ac:dyDescent="1.4">
      <c r="A166" s="393"/>
      <c r="B166" s="92"/>
      <c r="C166" s="91"/>
      <c r="D166" s="90"/>
      <c r="E166" s="93"/>
      <c r="F166" s="385"/>
      <c r="G166" s="386"/>
      <c r="H166" s="386"/>
      <c r="I166" s="386"/>
      <c r="J166" s="386"/>
      <c r="K166" s="386"/>
      <c r="L166" s="386"/>
      <c r="M166" s="386"/>
      <c r="N166" s="386"/>
      <c r="O166" s="386"/>
      <c r="P166" s="386"/>
      <c r="Q166" s="386"/>
      <c r="R166" s="386"/>
      <c r="S166" s="386"/>
      <c r="T166" s="386"/>
      <c r="U166" s="386"/>
      <c r="V166" s="386"/>
      <c r="W166" s="386"/>
      <c r="X166" s="386"/>
      <c r="Y166" s="386"/>
      <c r="Z166" s="386"/>
      <c r="AA166" s="386"/>
      <c r="AB166" s="386"/>
      <c r="AC166" s="386"/>
      <c r="AD166" s="386"/>
      <c r="AE166" s="386"/>
      <c r="AF166" s="386"/>
      <c r="AG166" s="386"/>
      <c r="AH166" s="386"/>
      <c r="AI166" s="386"/>
      <c r="AJ166" s="386"/>
      <c r="AK166" s="386"/>
      <c r="AL166" s="386"/>
      <c r="AM166" s="386"/>
      <c r="AN166" s="386"/>
      <c r="AO166" s="386"/>
      <c r="AP166" s="386"/>
      <c r="AQ166" s="386"/>
      <c r="AR166" s="386"/>
      <c r="AS166" s="386"/>
      <c r="AT166" s="386"/>
      <c r="AU166" s="386"/>
      <c r="AV166" s="386"/>
      <c r="AW166" s="386"/>
      <c r="AX166" s="386"/>
      <c r="AY166" s="386"/>
      <c r="AZ166" s="386"/>
      <c r="BA166" s="386"/>
      <c r="BB166" s="386"/>
      <c r="BC166" s="386"/>
      <c r="BD166" s="386"/>
      <c r="BE166" s="386"/>
      <c r="BF166" s="386"/>
      <c r="BG166" s="386"/>
      <c r="BH166" s="387"/>
      <c r="BI166" s="367"/>
      <c r="BJ166" s="87"/>
      <c r="BK166" s="86"/>
      <c r="BL166" s="85"/>
      <c r="BM166" s="84"/>
      <c r="BN166" s="84"/>
    </row>
    <row r="167" spans="1:66" s="88" customFormat="1" x14ac:dyDescent="1.4">
      <c r="A167" s="393"/>
      <c r="B167" s="92"/>
      <c r="C167" s="91"/>
      <c r="D167" s="90"/>
      <c r="E167" s="93"/>
      <c r="F167" s="385"/>
      <c r="G167" s="386"/>
      <c r="H167" s="386"/>
      <c r="I167" s="386"/>
      <c r="J167" s="386"/>
      <c r="K167" s="386"/>
      <c r="L167" s="386"/>
      <c r="M167" s="386"/>
      <c r="N167" s="386"/>
      <c r="O167" s="386"/>
      <c r="P167" s="386"/>
      <c r="Q167" s="386"/>
      <c r="R167" s="386"/>
      <c r="S167" s="386"/>
      <c r="T167" s="386"/>
      <c r="U167" s="386"/>
      <c r="V167" s="386"/>
      <c r="W167" s="386"/>
      <c r="X167" s="386"/>
      <c r="Y167" s="386"/>
      <c r="Z167" s="386"/>
      <c r="AA167" s="386"/>
      <c r="AB167" s="386"/>
      <c r="AC167" s="386"/>
      <c r="AD167" s="386"/>
      <c r="AE167" s="386"/>
      <c r="AF167" s="386"/>
      <c r="AG167" s="386"/>
      <c r="AH167" s="386"/>
      <c r="AI167" s="386"/>
      <c r="AJ167" s="386"/>
      <c r="AK167" s="386"/>
      <c r="AL167" s="386"/>
      <c r="AM167" s="386"/>
      <c r="AN167" s="386"/>
      <c r="AO167" s="386"/>
      <c r="AP167" s="386"/>
      <c r="AQ167" s="386"/>
      <c r="AR167" s="386"/>
      <c r="AS167" s="386"/>
      <c r="AT167" s="386"/>
      <c r="AU167" s="386"/>
      <c r="AV167" s="386"/>
      <c r="AW167" s="386"/>
      <c r="AX167" s="386"/>
      <c r="AY167" s="386"/>
      <c r="AZ167" s="386"/>
      <c r="BA167" s="386"/>
      <c r="BB167" s="386"/>
      <c r="BC167" s="386"/>
      <c r="BD167" s="386"/>
      <c r="BE167" s="386"/>
      <c r="BF167" s="386"/>
      <c r="BG167" s="386"/>
      <c r="BH167" s="387"/>
      <c r="BI167" s="367"/>
      <c r="BJ167" s="87"/>
      <c r="BK167" s="86"/>
      <c r="BL167" s="85"/>
      <c r="BM167" s="84"/>
      <c r="BN167" s="84"/>
    </row>
    <row r="168" spans="1:66" s="88" customFormat="1" x14ac:dyDescent="1.4">
      <c r="A168" s="393"/>
      <c r="B168" s="92"/>
      <c r="C168" s="91"/>
      <c r="D168" s="90"/>
      <c r="E168" s="93"/>
      <c r="F168" s="385"/>
      <c r="G168" s="386"/>
      <c r="H168" s="386"/>
      <c r="I168" s="386"/>
      <c r="J168" s="386"/>
      <c r="K168" s="386"/>
      <c r="L168" s="386"/>
      <c r="M168" s="386"/>
      <c r="N168" s="386"/>
      <c r="O168" s="386"/>
      <c r="P168" s="386"/>
      <c r="Q168" s="386"/>
      <c r="R168" s="386"/>
      <c r="S168" s="386"/>
      <c r="T168" s="386"/>
      <c r="U168" s="386"/>
      <c r="V168" s="386"/>
      <c r="W168" s="386"/>
      <c r="X168" s="386"/>
      <c r="Y168" s="386"/>
      <c r="Z168" s="386"/>
      <c r="AA168" s="386"/>
      <c r="AB168" s="386"/>
      <c r="AC168" s="386"/>
      <c r="AD168" s="386"/>
      <c r="AE168" s="386"/>
      <c r="AF168" s="386"/>
      <c r="AG168" s="386"/>
      <c r="AH168" s="386"/>
      <c r="AI168" s="386"/>
      <c r="AJ168" s="386"/>
      <c r="AK168" s="386"/>
      <c r="AL168" s="386"/>
      <c r="AM168" s="386"/>
      <c r="AN168" s="386"/>
      <c r="AO168" s="386"/>
      <c r="AP168" s="386"/>
      <c r="AQ168" s="386"/>
      <c r="AR168" s="386"/>
      <c r="AS168" s="386"/>
      <c r="AT168" s="386"/>
      <c r="AU168" s="386"/>
      <c r="AV168" s="386"/>
      <c r="AW168" s="386"/>
      <c r="AX168" s="386"/>
      <c r="AY168" s="386"/>
      <c r="AZ168" s="386"/>
      <c r="BA168" s="386"/>
      <c r="BB168" s="386"/>
      <c r="BC168" s="386"/>
      <c r="BD168" s="386"/>
      <c r="BE168" s="386"/>
      <c r="BF168" s="386"/>
      <c r="BG168" s="386"/>
      <c r="BH168" s="387"/>
      <c r="BI168" s="367"/>
      <c r="BJ168" s="87"/>
      <c r="BK168" s="86"/>
      <c r="BL168" s="85"/>
      <c r="BM168" s="84"/>
      <c r="BN168" s="84"/>
    </row>
    <row r="169" spans="1:66" s="88" customFormat="1" x14ac:dyDescent="1.4">
      <c r="A169" s="393"/>
      <c r="B169" s="92"/>
      <c r="C169" s="91"/>
      <c r="D169" s="90"/>
      <c r="E169" s="93"/>
      <c r="F169" s="385"/>
      <c r="G169" s="386"/>
      <c r="H169" s="386"/>
      <c r="I169" s="386"/>
      <c r="J169" s="386"/>
      <c r="K169" s="386"/>
      <c r="L169" s="386"/>
      <c r="M169" s="386"/>
      <c r="N169" s="386"/>
      <c r="O169" s="386"/>
      <c r="P169" s="386"/>
      <c r="Q169" s="386"/>
      <c r="R169" s="386"/>
      <c r="S169" s="386"/>
      <c r="T169" s="386"/>
      <c r="U169" s="386"/>
      <c r="V169" s="386"/>
      <c r="W169" s="386"/>
      <c r="X169" s="386"/>
      <c r="Y169" s="386"/>
      <c r="Z169" s="386"/>
      <c r="AA169" s="386"/>
      <c r="AB169" s="386"/>
      <c r="AC169" s="386"/>
      <c r="AD169" s="386"/>
      <c r="AE169" s="386"/>
      <c r="AF169" s="386"/>
      <c r="AG169" s="386"/>
      <c r="AH169" s="386"/>
      <c r="AI169" s="386"/>
      <c r="AJ169" s="386"/>
      <c r="AK169" s="386"/>
      <c r="AL169" s="386"/>
      <c r="AM169" s="386"/>
      <c r="AN169" s="386"/>
      <c r="AO169" s="386"/>
      <c r="AP169" s="386"/>
      <c r="AQ169" s="386"/>
      <c r="AR169" s="386"/>
      <c r="AS169" s="386"/>
      <c r="AT169" s="386"/>
      <c r="AU169" s="386"/>
      <c r="AV169" s="386"/>
      <c r="AW169" s="386"/>
      <c r="AX169" s="386"/>
      <c r="AY169" s="386"/>
      <c r="AZ169" s="386"/>
      <c r="BA169" s="386"/>
      <c r="BB169" s="386"/>
      <c r="BC169" s="386"/>
      <c r="BD169" s="386"/>
      <c r="BE169" s="386"/>
      <c r="BF169" s="386"/>
      <c r="BG169" s="386"/>
      <c r="BH169" s="387"/>
      <c r="BI169" s="367"/>
      <c r="BJ169" s="87"/>
      <c r="BK169" s="86"/>
      <c r="BL169" s="85"/>
      <c r="BM169" s="84"/>
      <c r="BN169" s="84"/>
    </row>
    <row r="170" spans="1:66" s="88" customFormat="1" x14ac:dyDescent="1.4">
      <c r="A170" s="393"/>
      <c r="B170" s="92"/>
      <c r="C170" s="91"/>
      <c r="D170" s="90"/>
      <c r="E170" s="93"/>
      <c r="F170" s="385"/>
      <c r="G170" s="386"/>
      <c r="H170" s="386"/>
      <c r="I170" s="386"/>
      <c r="J170" s="386"/>
      <c r="K170" s="386"/>
      <c r="L170" s="386"/>
      <c r="M170" s="386"/>
      <c r="N170" s="386"/>
      <c r="O170" s="386"/>
      <c r="P170" s="386"/>
      <c r="Q170" s="386"/>
      <c r="R170" s="386"/>
      <c r="S170" s="386"/>
      <c r="T170" s="386"/>
      <c r="U170" s="386"/>
      <c r="V170" s="386"/>
      <c r="W170" s="386"/>
      <c r="X170" s="386"/>
      <c r="Y170" s="386"/>
      <c r="Z170" s="386"/>
      <c r="AA170" s="386"/>
      <c r="AB170" s="386"/>
      <c r="AC170" s="386"/>
      <c r="AD170" s="386"/>
      <c r="AE170" s="386"/>
      <c r="AF170" s="386"/>
      <c r="AG170" s="386"/>
      <c r="AH170" s="386"/>
      <c r="AI170" s="386"/>
      <c r="AJ170" s="386"/>
      <c r="AK170" s="386"/>
      <c r="AL170" s="386"/>
      <c r="AM170" s="386"/>
      <c r="AN170" s="386"/>
      <c r="AO170" s="386"/>
      <c r="AP170" s="386"/>
      <c r="AQ170" s="386"/>
      <c r="AR170" s="386"/>
      <c r="AS170" s="386"/>
      <c r="AT170" s="386"/>
      <c r="AU170" s="386"/>
      <c r="AV170" s="386"/>
      <c r="AW170" s="386"/>
      <c r="AX170" s="386"/>
      <c r="AY170" s="386"/>
      <c r="AZ170" s="386"/>
      <c r="BA170" s="386"/>
      <c r="BB170" s="386"/>
      <c r="BC170" s="386"/>
      <c r="BD170" s="386"/>
      <c r="BE170" s="386"/>
      <c r="BF170" s="386"/>
      <c r="BG170" s="386"/>
      <c r="BH170" s="387"/>
      <c r="BI170" s="367"/>
      <c r="BJ170" s="87"/>
      <c r="BK170" s="86"/>
      <c r="BL170" s="85"/>
      <c r="BM170" s="84"/>
      <c r="BN170" s="84"/>
    </row>
    <row r="171" spans="1:66" s="88" customFormat="1" x14ac:dyDescent="1.4">
      <c r="A171" s="393"/>
      <c r="B171" s="92"/>
      <c r="C171" s="91"/>
      <c r="D171" s="90"/>
      <c r="E171" s="93"/>
      <c r="F171" s="385"/>
      <c r="G171" s="386"/>
      <c r="H171" s="386"/>
      <c r="I171" s="386"/>
      <c r="J171" s="386"/>
      <c r="K171" s="386"/>
      <c r="L171" s="386"/>
      <c r="M171" s="386"/>
      <c r="N171" s="386"/>
      <c r="O171" s="386"/>
      <c r="P171" s="386"/>
      <c r="Q171" s="386"/>
      <c r="R171" s="386"/>
      <c r="S171" s="386"/>
      <c r="T171" s="386"/>
      <c r="U171" s="386"/>
      <c r="V171" s="386"/>
      <c r="W171" s="386"/>
      <c r="X171" s="386"/>
      <c r="Y171" s="386"/>
      <c r="Z171" s="386"/>
      <c r="AA171" s="386"/>
      <c r="AB171" s="386"/>
      <c r="AC171" s="386"/>
      <c r="AD171" s="386"/>
      <c r="AE171" s="386"/>
      <c r="AF171" s="386"/>
      <c r="AG171" s="386"/>
      <c r="AH171" s="386"/>
      <c r="AI171" s="386"/>
      <c r="AJ171" s="386"/>
      <c r="AK171" s="386"/>
      <c r="AL171" s="386"/>
      <c r="AM171" s="386"/>
      <c r="AN171" s="386"/>
      <c r="AO171" s="386"/>
      <c r="AP171" s="386"/>
      <c r="AQ171" s="386"/>
      <c r="AR171" s="386"/>
      <c r="AS171" s="386"/>
      <c r="AT171" s="386"/>
      <c r="AU171" s="386"/>
      <c r="AV171" s="386"/>
      <c r="AW171" s="386"/>
      <c r="AX171" s="386"/>
      <c r="AY171" s="386"/>
      <c r="AZ171" s="386"/>
      <c r="BA171" s="386"/>
      <c r="BB171" s="386"/>
      <c r="BC171" s="386"/>
      <c r="BD171" s="386"/>
      <c r="BE171" s="386"/>
      <c r="BF171" s="386"/>
      <c r="BG171" s="386"/>
      <c r="BH171" s="387"/>
      <c r="BI171" s="367"/>
      <c r="BJ171" s="87"/>
      <c r="BK171" s="86"/>
      <c r="BL171" s="85"/>
      <c r="BM171" s="84"/>
      <c r="BN171" s="84"/>
    </row>
    <row r="172" spans="1:66" s="88" customFormat="1" x14ac:dyDescent="1.4">
      <c r="A172" s="393"/>
      <c r="B172" s="92"/>
      <c r="C172" s="91"/>
      <c r="D172" s="90"/>
      <c r="E172" s="93"/>
      <c r="F172" s="385"/>
      <c r="G172" s="386"/>
      <c r="H172" s="386"/>
      <c r="I172" s="386"/>
      <c r="J172" s="386"/>
      <c r="K172" s="386"/>
      <c r="L172" s="386"/>
      <c r="M172" s="386"/>
      <c r="N172" s="386"/>
      <c r="O172" s="386"/>
      <c r="P172" s="386"/>
      <c r="Q172" s="386"/>
      <c r="R172" s="386"/>
      <c r="S172" s="386"/>
      <c r="T172" s="386"/>
      <c r="U172" s="386"/>
      <c r="V172" s="386"/>
      <c r="W172" s="386"/>
      <c r="X172" s="386"/>
      <c r="Y172" s="386"/>
      <c r="Z172" s="386"/>
      <c r="AA172" s="386"/>
      <c r="AB172" s="386"/>
      <c r="AC172" s="386"/>
      <c r="AD172" s="386"/>
      <c r="AE172" s="386"/>
      <c r="AF172" s="386"/>
      <c r="AG172" s="386"/>
      <c r="AH172" s="386"/>
      <c r="AI172" s="386"/>
      <c r="AJ172" s="386"/>
      <c r="AK172" s="386"/>
      <c r="AL172" s="386"/>
      <c r="AM172" s="386"/>
      <c r="AN172" s="386"/>
      <c r="AO172" s="386"/>
      <c r="AP172" s="386"/>
      <c r="AQ172" s="386"/>
      <c r="AR172" s="386"/>
      <c r="AS172" s="386"/>
      <c r="AT172" s="386"/>
      <c r="AU172" s="386"/>
      <c r="AV172" s="386"/>
      <c r="AW172" s="386"/>
      <c r="AX172" s="386"/>
      <c r="AY172" s="386"/>
      <c r="AZ172" s="386"/>
      <c r="BA172" s="386"/>
      <c r="BB172" s="386"/>
      <c r="BC172" s="386"/>
      <c r="BD172" s="386"/>
      <c r="BE172" s="386"/>
      <c r="BF172" s="386"/>
      <c r="BG172" s="386"/>
      <c r="BH172" s="387"/>
      <c r="BI172" s="367"/>
      <c r="BJ172" s="87"/>
      <c r="BK172" s="86"/>
      <c r="BL172" s="85"/>
      <c r="BM172" s="84"/>
      <c r="BN172" s="84"/>
    </row>
    <row r="173" spans="1:66" s="88" customFormat="1" x14ac:dyDescent="1.4">
      <c r="A173" s="393"/>
      <c r="B173" s="92"/>
      <c r="C173" s="91"/>
      <c r="D173" s="90"/>
      <c r="E173" s="93"/>
      <c r="F173" s="385"/>
      <c r="G173" s="386"/>
      <c r="H173" s="386"/>
      <c r="I173" s="386"/>
      <c r="J173" s="386"/>
      <c r="K173" s="386"/>
      <c r="L173" s="386"/>
      <c r="M173" s="386"/>
      <c r="N173" s="386"/>
      <c r="O173" s="386"/>
      <c r="P173" s="386"/>
      <c r="Q173" s="386"/>
      <c r="R173" s="386"/>
      <c r="S173" s="386"/>
      <c r="T173" s="386"/>
      <c r="U173" s="386"/>
      <c r="V173" s="386"/>
      <c r="W173" s="386"/>
      <c r="X173" s="386"/>
      <c r="Y173" s="386"/>
      <c r="Z173" s="386"/>
      <c r="AA173" s="386"/>
      <c r="AB173" s="386"/>
      <c r="AC173" s="386"/>
      <c r="AD173" s="386"/>
      <c r="AE173" s="386"/>
      <c r="AF173" s="386"/>
      <c r="AG173" s="386"/>
      <c r="AH173" s="386"/>
      <c r="AI173" s="386"/>
      <c r="AJ173" s="386"/>
      <c r="AK173" s="386"/>
      <c r="AL173" s="386"/>
      <c r="AM173" s="386"/>
      <c r="AN173" s="386"/>
      <c r="AO173" s="386"/>
      <c r="AP173" s="386"/>
      <c r="AQ173" s="386"/>
      <c r="AR173" s="386"/>
      <c r="AS173" s="386"/>
      <c r="AT173" s="386"/>
      <c r="AU173" s="386"/>
      <c r="AV173" s="386"/>
      <c r="AW173" s="386"/>
      <c r="AX173" s="386"/>
      <c r="AY173" s="386"/>
      <c r="AZ173" s="386"/>
      <c r="BA173" s="386"/>
      <c r="BB173" s="386"/>
      <c r="BC173" s="386"/>
      <c r="BD173" s="386"/>
      <c r="BE173" s="386"/>
      <c r="BF173" s="386"/>
      <c r="BG173" s="386"/>
      <c r="BH173" s="387"/>
      <c r="BI173" s="367"/>
      <c r="BJ173" s="87"/>
      <c r="BK173" s="86"/>
      <c r="BL173" s="85"/>
      <c r="BM173" s="84"/>
      <c r="BN173" s="84"/>
    </row>
    <row r="174" spans="1:66" s="88" customFormat="1" x14ac:dyDescent="1.4">
      <c r="A174" s="393"/>
      <c r="B174" s="92"/>
      <c r="C174" s="91"/>
      <c r="D174" s="90"/>
      <c r="E174" s="93"/>
      <c r="F174" s="385"/>
      <c r="G174" s="386"/>
      <c r="H174" s="386"/>
      <c r="I174" s="386"/>
      <c r="J174" s="386"/>
      <c r="K174" s="386"/>
      <c r="L174" s="386"/>
      <c r="M174" s="386"/>
      <c r="N174" s="386"/>
      <c r="O174" s="386"/>
      <c r="P174" s="386"/>
      <c r="Q174" s="386"/>
      <c r="R174" s="386"/>
      <c r="S174" s="386"/>
      <c r="T174" s="386"/>
      <c r="U174" s="386"/>
      <c r="V174" s="386"/>
      <c r="W174" s="386"/>
      <c r="X174" s="386"/>
      <c r="Y174" s="386"/>
      <c r="Z174" s="386"/>
      <c r="AA174" s="386"/>
      <c r="AB174" s="386"/>
      <c r="AC174" s="386"/>
      <c r="AD174" s="386"/>
      <c r="AE174" s="386"/>
      <c r="AF174" s="386"/>
      <c r="AG174" s="386"/>
      <c r="AH174" s="386"/>
      <c r="AI174" s="386"/>
      <c r="AJ174" s="386"/>
      <c r="AK174" s="386"/>
      <c r="AL174" s="386"/>
      <c r="AM174" s="386"/>
      <c r="AN174" s="386"/>
      <c r="AO174" s="386"/>
      <c r="AP174" s="386"/>
      <c r="AQ174" s="386"/>
      <c r="AR174" s="386"/>
      <c r="AS174" s="386"/>
      <c r="AT174" s="386"/>
      <c r="AU174" s="386"/>
      <c r="AV174" s="386"/>
      <c r="AW174" s="386"/>
      <c r="AX174" s="386"/>
      <c r="AY174" s="386"/>
      <c r="AZ174" s="386"/>
      <c r="BA174" s="386"/>
      <c r="BB174" s="386"/>
      <c r="BC174" s="386"/>
      <c r="BD174" s="386"/>
      <c r="BE174" s="386"/>
      <c r="BF174" s="386"/>
      <c r="BG174" s="386"/>
      <c r="BH174" s="387"/>
      <c r="BI174" s="367"/>
      <c r="BJ174" s="87"/>
      <c r="BK174" s="86"/>
      <c r="BL174" s="85"/>
      <c r="BM174" s="84"/>
      <c r="BN174" s="84"/>
    </row>
    <row r="175" spans="1:66" s="88" customFormat="1" x14ac:dyDescent="1.4">
      <c r="A175" s="393"/>
      <c r="B175" s="92"/>
      <c r="C175" s="91"/>
      <c r="D175" s="90"/>
      <c r="E175" s="93"/>
      <c r="F175" s="385"/>
      <c r="G175" s="386"/>
      <c r="H175" s="386"/>
      <c r="I175" s="386"/>
      <c r="J175" s="386"/>
      <c r="K175" s="386"/>
      <c r="L175" s="386"/>
      <c r="M175" s="386"/>
      <c r="N175" s="386"/>
      <c r="O175" s="386"/>
      <c r="P175" s="386"/>
      <c r="Q175" s="386"/>
      <c r="R175" s="386"/>
      <c r="S175" s="386"/>
      <c r="T175" s="386"/>
      <c r="U175" s="386"/>
      <c r="V175" s="386"/>
      <c r="W175" s="386"/>
      <c r="X175" s="386"/>
      <c r="Y175" s="386"/>
      <c r="Z175" s="386"/>
      <c r="AA175" s="386"/>
      <c r="AB175" s="386"/>
      <c r="AC175" s="386"/>
      <c r="AD175" s="386"/>
      <c r="AE175" s="386"/>
      <c r="AF175" s="386"/>
      <c r="AG175" s="386"/>
      <c r="AH175" s="386"/>
      <c r="AI175" s="386"/>
      <c r="AJ175" s="386"/>
      <c r="AK175" s="386"/>
      <c r="AL175" s="386"/>
      <c r="AM175" s="386"/>
      <c r="AN175" s="386"/>
      <c r="AO175" s="386"/>
      <c r="AP175" s="386"/>
      <c r="AQ175" s="386"/>
      <c r="AR175" s="386"/>
      <c r="AS175" s="386"/>
      <c r="AT175" s="386"/>
      <c r="AU175" s="386"/>
      <c r="AV175" s="386"/>
      <c r="AW175" s="386"/>
      <c r="AX175" s="386"/>
      <c r="AY175" s="386"/>
      <c r="AZ175" s="386"/>
      <c r="BA175" s="386"/>
      <c r="BB175" s="386"/>
      <c r="BC175" s="386"/>
      <c r="BD175" s="386"/>
      <c r="BE175" s="386"/>
      <c r="BF175" s="386"/>
      <c r="BG175" s="386"/>
      <c r="BH175" s="387"/>
      <c r="BI175" s="367"/>
      <c r="BJ175" s="87"/>
      <c r="BK175" s="86"/>
      <c r="BL175" s="85"/>
      <c r="BM175" s="84"/>
      <c r="BN175" s="84"/>
    </row>
    <row r="176" spans="1:66" s="88" customFormat="1" x14ac:dyDescent="1.4">
      <c r="A176" s="393"/>
      <c r="B176" s="92"/>
      <c r="C176" s="91"/>
      <c r="D176" s="90"/>
      <c r="E176" s="93"/>
      <c r="F176" s="385"/>
      <c r="G176" s="386"/>
      <c r="H176" s="386"/>
      <c r="I176" s="386"/>
      <c r="J176" s="386"/>
      <c r="K176" s="386"/>
      <c r="L176" s="386"/>
      <c r="M176" s="386"/>
      <c r="N176" s="386"/>
      <c r="O176" s="386"/>
      <c r="P176" s="386"/>
      <c r="Q176" s="386"/>
      <c r="R176" s="386"/>
      <c r="S176" s="386"/>
      <c r="T176" s="386"/>
      <c r="U176" s="386"/>
      <c r="V176" s="386"/>
      <c r="W176" s="386"/>
      <c r="X176" s="386"/>
      <c r="Y176" s="386"/>
      <c r="Z176" s="386"/>
      <c r="AA176" s="386"/>
      <c r="AB176" s="386"/>
      <c r="AC176" s="386"/>
      <c r="AD176" s="386"/>
      <c r="AE176" s="386"/>
      <c r="AF176" s="386"/>
      <c r="AG176" s="386"/>
      <c r="AH176" s="386"/>
      <c r="AI176" s="386"/>
      <c r="AJ176" s="386"/>
      <c r="AK176" s="386"/>
      <c r="AL176" s="386"/>
      <c r="AM176" s="386"/>
      <c r="AN176" s="386"/>
      <c r="AO176" s="386"/>
      <c r="AP176" s="386"/>
      <c r="AQ176" s="386"/>
      <c r="AR176" s="386"/>
      <c r="AS176" s="386"/>
      <c r="AT176" s="386"/>
      <c r="AU176" s="386"/>
      <c r="AV176" s="386"/>
      <c r="AW176" s="386"/>
      <c r="AX176" s="386"/>
      <c r="AY176" s="386"/>
      <c r="AZ176" s="386"/>
      <c r="BA176" s="386"/>
      <c r="BB176" s="386"/>
      <c r="BC176" s="386"/>
      <c r="BD176" s="386"/>
      <c r="BE176" s="386"/>
      <c r="BF176" s="386"/>
      <c r="BG176" s="386"/>
      <c r="BH176" s="387"/>
      <c r="BI176" s="367"/>
      <c r="BJ176" s="87"/>
      <c r="BK176" s="86"/>
      <c r="BL176" s="85"/>
      <c r="BM176" s="84"/>
      <c r="BN176" s="84"/>
    </row>
    <row r="177" spans="1:66" s="88" customFormat="1" x14ac:dyDescent="1.4">
      <c r="A177" s="393"/>
      <c r="B177" s="92"/>
      <c r="C177" s="91"/>
      <c r="D177" s="90"/>
      <c r="E177" s="93"/>
      <c r="F177" s="385"/>
      <c r="G177" s="386"/>
      <c r="H177" s="386"/>
      <c r="I177" s="386"/>
      <c r="J177" s="386"/>
      <c r="K177" s="386"/>
      <c r="L177" s="386"/>
      <c r="M177" s="386"/>
      <c r="N177" s="386"/>
      <c r="O177" s="386"/>
      <c r="P177" s="386"/>
      <c r="Q177" s="386"/>
      <c r="R177" s="386"/>
      <c r="S177" s="386"/>
      <c r="T177" s="386"/>
      <c r="U177" s="386"/>
      <c r="V177" s="386"/>
      <c r="W177" s="386"/>
      <c r="X177" s="386"/>
      <c r="Y177" s="386"/>
      <c r="Z177" s="386"/>
      <c r="AA177" s="386"/>
      <c r="AB177" s="386"/>
      <c r="AC177" s="386"/>
      <c r="AD177" s="386"/>
      <c r="AE177" s="386"/>
      <c r="AF177" s="386"/>
      <c r="AG177" s="386"/>
      <c r="AH177" s="386"/>
      <c r="AI177" s="386"/>
      <c r="AJ177" s="386"/>
      <c r="AK177" s="386"/>
      <c r="AL177" s="386"/>
      <c r="AM177" s="386"/>
      <c r="AN177" s="386"/>
      <c r="AO177" s="386"/>
      <c r="AP177" s="386"/>
      <c r="AQ177" s="386"/>
      <c r="AR177" s="386"/>
      <c r="AS177" s="386"/>
      <c r="AT177" s="386"/>
      <c r="AU177" s="386"/>
      <c r="AV177" s="386"/>
      <c r="AW177" s="386"/>
      <c r="AX177" s="386"/>
      <c r="AY177" s="386"/>
      <c r="AZ177" s="386"/>
      <c r="BA177" s="386"/>
      <c r="BB177" s="386"/>
      <c r="BC177" s="386"/>
      <c r="BD177" s="386"/>
      <c r="BE177" s="386"/>
      <c r="BF177" s="386"/>
      <c r="BG177" s="386"/>
      <c r="BH177" s="387"/>
      <c r="BI177" s="367"/>
      <c r="BJ177" s="87"/>
      <c r="BK177" s="86"/>
      <c r="BL177" s="85"/>
      <c r="BM177" s="84"/>
      <c r="BN177" s="84"/>
    </row>
    <row r="178" spans="1:66" s="88" customFormat="1" x14ac:dyDescent="1.4">
      <c r="A178" s="393"/>
      <c r="B178" s="92"/>
      <c r="C178" s="91"/>
      <c r="D178" s="90"/>
      <c r="E178" s="93"/>
      <c r="F178" s="385"/>
      <c r="G178" s="386"/>
      <c r="H178" s="386"/>
      <c r="I178" s="386"/>
      <c r="J178" s="386"/>
      <c r="K178" s="386"/>
      <c r="L178" s="386"/>
      <c r="M178" s="386"/>
      <c r="N178" s="386"/>
      <c r="O178" s="386"/>
      <c r="P178" s="386"/>
      <c r="Q178" s="386"/>
      <c r="R178" s="386"/>
      <c r="S178" s="386"/>
      <c r="T178" s="386"/>
      <c r="U178" s="386"/>
      <c r="V178" s="386"/>
      <c r="W178" s="386"/>
      <c r="X178" s="386"/>
      <c r="Y178" s="386"/>
      <c r="Z178" s="386"/>
      <c r="AA178" s="386"/>
      <c r="AB178" s="386"/>
      <c r="AC178" s="386"/>
      <c r="AD178" s="386"/>
      <c r="AE178" s="386"/>
      <c r="AF178" s="386"/>
      <c r="AG178" s="386"/>
      <c r="AH178" s="386"/>
      <c r="AI178" s="386"/>
      <c r="AJ178" s="386"/>
      <c r="AK178" s="386"/>
      <c r="AL178" s="386"/>
      <c r="AM178" s="386"/>
      <c r="AN178" s="386"/>
      <c r="AO178" s="386"/>
      <c r="AP178" s="386"/>
      <c r="AQ178" s="386"/>
      <c r="AR178" s="386"/>
      <c r="AS178" s="386"/>
      <c r="AT178" s="386"/>
      <c r="AU178" s="386"/>
      <c r="AV178" s="386"/>
      <c r="AW178" s="386"/>
      <c r="AX178" s="386"/>
      <c r="AY178" s="386"/>
      <c r="AZ178" s="386"/>
      <c r="BA178" s="386"/>
      <c r="BB178" s="386"/>
      <c r="BC178" s="386"/>
      <c r="BD178" s="386"/>
      <c r="BE178" s="386"/>
      <c r="BF178" s="386"/>
      <c r="BG178" s="386"/>
      <c r="BH178" s="387"/>
      <c r="BI178" s="367"/>
      <c r="BJ178" s="87"/>
      <c r="BK178" s="86"/>
      <c r="BL178" s="85"/>
      <c r="BM178" s="84"/>
      <c r="BN178" s="84"/>
    </row>
    <row r="179" spans="1:66" s="88" customFormat="1" x14ac:dyDescent="1.4">
      <c r="A179" s="393"/>
      <c r="B179" s="92"/>
      <c r="C179" s="91"/>
      <c r="D179" s="90"/>
      <c r="E179" s="93"/>
      <c r="F179" s="385"/>
      <c r="G179" s="386"/>
      <c r="H179" s="386"/>
      <c r="I179" s="386"/>
      <c r="J179" s="386"/>
      <c r="K179" s="386"/>
      <c r="L179" s="386"/>
      <c r="M179" s="386"/>
      <c r="N179" s="386"/>
      <c r="O179" s="386"/>
      <c r="P179" s="386"/>
      <c r="Q179" s="386"/>
      <c r="R179" s="386"/>
      <c r="S179" s="386"/>
      <c r="T179" s="386"/>
      <c r="U179" s="386"/>
      <c r="V179" s="386"/>
      <c r="W179" s="386"/>
      <c r="X179" s="386"/>
      <c r="Y179" s="386"/>
      <c r="Z179" s="386"/>
      <c r="AA179" s="386"/>
      <c r="AB179" s="386"/>
      <c r="AC179" s="386"/>
      <c r="AD179" s="386"/>
      <c r="AE179" s="386"/>
      <c r="AF179" s="386"/>
      <c r="AG179" s="386"/>
      <c r="AH179" s="386"/>
      <c r="AI179" s="386"/>
      <c r="AJ179" s="386"/>
      <c r="AK179" s="386"/>
      <c r="AL179" s="386"/>
      <c r="AM179" s="386"/>
      <c r="AN179" s="386"/>
      <c r="AO179" s="386"/>
      <c r="AP179" s="386"/>
      <c r="AQ179" s="386"/>
      <c r="AR179" s="386"/>
      <c r="AS179" s="386"/>
      <c r="AT179" s="386"/>
      <c r="AU179" s="386"/>
      <c r="AV179" s="386"/>
      <c r="AW179" s="386"/>
      <c r="AX179" s="386"/>
      <c r="AY179" s="386"/>
      <c r="AZ179" s="386"/>
      <c r="BA179" s="386"/>
      <c r="BB179" s="386"/>
      <c r="BC179" s="386"/>
      <c r="BD179" s="386"/>
      <c r="BE179" s="386"/>
      <c r="BF179" s="386"/>
      <c r="BG179" s="386"/>
      <c r="BH179" s="387"/>
      <c r="BI179" s="367"/>
      <c r="BJ179" s="87"/>
      <c r="BK179" s="86"/>
      <c r="BL179" s="85"/>
      <c r="BM179" s="84"/>
      <c r="BN179" s="84"/>
    </row>
    <row r="180" spans="1:66" s="88" customFormat="1" x14ac:dyDescent="1.4">
      <c r="A180" s="393"/>
      <c r="B180" s="92"/>
      <c r="C180" s="91"/>
      <c r="D180" s="90"/>
      <c r="E180" s="93"/>
      <c r="F180" s="385"/>
      <c r="G180" s="386"/>
      <c r="H180" s="386"/>
      <c r="I180" s="386"/>
      <c r="J180" s="386"/>
      <c r="K180" s="386"/>
      <c r="L180" s="386"/>
      <c r="M180" s="386"/>
      <c r="N180" s="386"/>
      <c r="O180" s="386"/>
      <c r="P180" s="386"/>
      <c r="Q180" s="386"/>
      <c r="R180" s="386"/>
      <c r="S180" s="386"/>
      <c r="T180" s="386"/>
      <c r="U180" s="386"/>
      <c r="V180" s="386"/>
      <c r="W180" s="386"/>
      <c r="X180" s="386"/>
      <c r="Y180" s="386"/>
      <c r="Z180" s="386"/>
      <c r="AA180" s="386"/>
      <c r="AB180" s="386"/>
      <c r="AC180" s="386"/>
      <c r="AD180" s="386"/>
      <c r="AE180" s="386"/>
      <c r="AF180" s="386"/>
      <c r="AG180" s="386"/>
      <c r="AH180" s="386"/>
      <c r="AI180" s="386"/>
      <c r="AJ180" s="386"/>
      <c r="AK180" s="386"/>
      <c r="AL180" s="386"/>
      <c r="AM180" s="386"/>
      <c r="AN180" s="386"/>
      <c r="AO180" s="386"/>
      <c r="AP180" s="386"/>
      <c r="AQ180" s="386"/>
      <c r="AR180" s="386"/>
      <c r="AS180" s="386"/>
      <c r="AT180" s="386"/>
      <c r="AU180" s="386"/>
      <c r="AV180" s="386"/>
      <c r="AW180" s="386"/>
      <c r="AX180" s="386"/>
      <c r="AY180" s="386"/>
      <c r="AZ180" s="386"/>
      <c r="BA180" s="386"/>
      <c r="BB180" s="386"/>
      <c r="BC180" s="386"/>
      <c r="BD180" s="386"/>
      <c r="BE180" s="386"/>
      <c r="BF180" s="386"/>
      <c r="BG180" s="386"/>
      <c r="BH180" s="387"/>
      <c r="BI180" s="367"/>
      <c r="BJ180" s="87"/>
      <c r="BK180" s="86"/>
      <c r="BL180" s="85"/>
      <c r="BM180" s="84"/>
      <c r="BN180" s="84"/>
    </row>
    <row r="181" spans="1:66" s="88" customFormat="1" x14ac:dyDescent="1.4">
      <c r="A181" s="393"/>
      <c r="B181" s="92"/>
      <c r="C181" s="91"/>
      <c r="D181" s="90"/>
      <c r="E181" s="93"/>
      <c r="F181" s="385"/>
      <c r="G181" s="386"/>
      <c r="H181" s="386"/>
      <c r="I181" s="386"/>
      <c r="J181" s="386"/>
      <c r="K181" s="386"/>
      <c r="L181" s="386"/>
      <c r="M181" s="386"/>
      <c r="N181" s="386"/>
      <c r="O181" s="386"/>
      <c r="P181" s="386"/>
      <c r="Q181" s="386"/>
      <c r="R181" s="386"/>
      <c r="S181" s="386"/>
      <c r="T181" s="386"/>
      <c r="U181" s="386"/>
      <c r="V181" s="386"/>
      <c r="W181" s="386"/>
      <c r="X181" s="386"/>
      <c r="Y181" s="386"/>
      <c r="Z181" s="386"/>
      <c r="AA181" s="386"/>
      <c r="AB181" s="386"/>
      <c r="AC181" s="386"/>
      <c r="AD181" s="386"/>
      <c r="AE181" s="386"/>
      <c r="AF181" s="386"/>
      <c r="AG181" s="386"/>
      <c r="AH181" s="386"/>
      <c r="AI181" s="386"/>
      <c r="AJ181" s="386"/>
      <c r="AK181" s="386"/>
      <c r="AL181" s="386"/>
      <c r="AM181" s="386"/>
      <c r="AN181" s="386"/>
      <c r="AO181" s="386"/>
      <c r="AP181" s="386"/>
      <c r="AQ181" s="386"/>
      <c r="AR181" s="386"/>
      <c r="AS181" s="386"/>
      <c r="AT181" s="386"/>
      <c r="AU181" s="386"/>
      <c r="AV181" s="386"/>
      <c r="AW181" s="386"/>
      <c r="AX181" s="386"/>
      <c r="AY181" s="386"/>
      <c r="AZ181" s="386"/>
      <c r="BA181" s="386"/>
      <c r="BB181" s="386"/>
      <c r="BC181" s="386"/>
      <c r="BD181" s="386"/>
      <c r="BE181" s="386"/>
      <c r="BF181" s="386"/>
      <c r="BG181" s="386"/>
      <c r="BH181" s="387"/>
      <c r="BI181" s="367"/>
      <c r="BJ181" s="87"/>
      <c r="BK181" s="86"/>
      <c r="BL181" s="85"/>
      <c r="BM181" s="84"/>
      <c r="BN181" s="84"/>
    </row>
    <row r="182" spans="1:66" s="88" customFormat="1" x14ac:dyDescent="1.4">
      <c r="A182" s="393"/>
      <c r="B182" s="92"/>
      <c r="C182" s="91"/>
      <c r="D182" s="90"/>
      <c r="E182" s="93"/>
      <c r="F182" s="385"/>
      <c r="G182" s="386"/>
      <c r="H182" s="386"/>
      <c r="I182" s="386"/>
      <c r="J182" s="386"/>
      <c r="K182" s="386"/>
      <c r="L182" s="386"/>
      <c r="M182" s="386"/>
      <c r="N182" s="386"/>
      <c r="O182" s="386"/>
      <c r="P182" s="386"/>
      <c r="Q182" s="386"/>
      <c r="R182" s="386"/>
      <c r="S182" s="386"/>
      <c r="T182" s="386"/>
      <c r="U182" s="386"/>
      <c r="V182" s="386"/>
      <c r="W182" s="386"/>
      <c r="X182" s="386"/>
      <c r="Y182" s="386"/>
      <c r="Z182" s="386"/>
      <c r="AA182" s="386"/>
      <c r="AB182" s="386"/>
      <c r="AC182" s="386"/>
      <c r="AD182" s="386"/>
      <c r="AE182" s="386"/>
      <c r="AF182" s="386"/>
      <c r="AG182" s="386"/>
      <c r="AH182" s="386"/>
      <c r="AI182" s="386"/>
      <c r="AJ182" s="386"/>
      <c r="AK182" s="386"/>
      <c r="AL182" s="386"/>
      <c r="AM182" s="386"/>
      <c r="AN182" s="386"/>
      <c r="AO182" s="386"/>
      <c r="AP182" s="386"/>
      <c r="AQ182" s="386"/>
      <c r="AR182" s="386"/>
      <c r="AS182" s="386"/>
      <c r="AT182" s="386"/>
      <c r="AU182" s="386"/>
      <c r="AV182" s="386"/>
      <c r="AW182" s="386"/>
      <c r="AX182" s="386"/>
      <c r="AY182" s="386"/>
      <c r="AZ182" s="386"/>
      <c r="BA182" s="386"/>
      <c r="BB182" s="386"/>
      <c r="BC182" s="386"/>
      <c r="BD182" s="386"/>
      <c r="BE182" s="386"/>
      <c r="BF182" s="386"/>
      <c r="BG182" s="386"/>
      <c r="BH182" s="387"/>
      <c r="BI182" s="367"/>
      <c r="BJ182" s="87"/>
      <c r="BK182" s="86"/>
      <c r="BL182" s="85"/>
      <c r="BM182" s="84"/>
      <c r="BN182" s="84"/>
    </row>
    <row r="183" spans="1:66" s="88" customFormat="1" x14ac:dyDescent="1.4">
      <c r="A183" s="393"/>
      <c r="B183" s="92"/>
      <c r="C183" s="91"/>
      <c r="D183" s="90"/>
      <c r="E183" s="93"/>
      <c r="F183" s="385"/>
      <c r="G183" s="386"/>
      <c r="H183" s="386"/>
      <c r="I183" s="386"/>
      <c r="J183" s="386"/>
      <c r="K183" s="386"/>
      <c r="L183" s="386"/>
      <c r="M183" s="386"/>
      <c r="N183" s="386"/>
      <c r="O183" s="386"/>
      <c r="P183" s="386"/>
      <c r="Q183" s="386"/>
      <c r="R183" s="386"/>
      <c r="S183" s="386"/>
      <c r="T183" s="386"/>
      <c r="U183" s="386"/>
      <c r="V183" s="386"/>
      <c r="W183" s="386"/>
      <c r="X183" s="386"/>
      <c r="Y183" s="386"/>
      <c r="Z183" s="386"/>
      <c r="AA183" s="386"/>
      <c r="AB183" s="386"/>
      <c r="AC183" s="386"/>
      <c r="AD183" s="386"/>
      <c r="AE183" s="386"/>
      <c r="AF183" s="386"/>
      <c r="AG183" s="386"/>
      <c r="AH183" s="386"/>
      <c r="AI183" s="386"/>
      <c r="AJ183" s="386"/>
      <c r="AK183" s="386"/>
      <c r="AL183" s="386"/>
      <c r="AM183" s="386"/>
      <c r="AN183" s="386"/>
      <c r="AO183" s="386"/>
      <c r="AP183" s="386"/>
      <c r="AQ183" s="386"/>
      <c r="AR183" s="386"/>
      <c r="AS183" s="386"/>
      <c r="AT183" s="386"/>
      <c r="AU183" s="386"/>
      <c r="AV183" s="386"/>
      <c r="AW183" s="386"/>
      <c r="AX183" s="386"/>
      <c r="AY183" s="386"/>
      <c r="AZ183" s="386"/>
      <c r="BA183" s="386"/>
      <c r="BB183" s="386"/>
      <c r="BC183" s="386"/>
      <c r="BD183" s="386"/>
      <c r="BE183" s="386"/>
      <c r="BF183" s="386"/>
      <c r="BG183" s="386"/>
      <c r="BH183" s="387"/>
      <c r="BI183" s="367"/>
      <c r="BJ183" s="87"/>
      <c r="BK183" s="86"/>
      <c r="BL183" s="85"/>
      <c r="BM183" s="84"/>
      <c r="BN183" s="84"/>
    </row>
    <row r="184" spans="1:66" s="88" customFormat="1" x14ac:dyDescent="1.4">
      <c r="A184" s="393"/>
      <c r="B184" s="92"/>
      <c r="C184" s="91"/>
      <c r="D184" s="90"/>
      <c r="E184" s="93"/>
      <c r="F184" s="385"/>
      <c r="G184" s="386"/>
      <c r="H184" s="386"/>
      <c r="I184" s="386"/>
      <c r="J184" s="386"/>
      <c r="K184" s="386"/>
      <c r="L184" s="386"/>
      <c r="M184" s="386"/>
      <c r="N184" s="386"/>
      <c r="O184" s="386"/>
      <c r="P184" s="386"/>
      <c r="Q184" s="386"/>
      <c r="R184" s="386"/>
      <c r="S184" s="386"/>
      <c r="T184" s="386"/>
      <c r="U184" s="386"/>
      <c r="V184" s="386"/>
      <c r="W184" s="386"/>
      <c r="X184" s="386"/>
      <c r="Y184" s="386"/>
      <c r="Z184" s="386"/>
      <c r="AA184" s="386"/>
      <c r="AB184" s="386"/>
      <c r="AC184" s="386"/>
      <c r="AD184" s="386"/>
      <c r="AE184" s="386"/>
      <c r="AF184" s="386"/>
      <c r="AG184" s="386"/>
      <c r="AH184" s="386"/>
      <c r="AI184" s="386"/>
      <c r="AJ184" s="386"/>
      <c r="AK184" s="386"/>
      <c r="AL184" s="386"/>
      <c r="AM184" s="386"/>
      <c r="AN184" s="386"/>
      <c r="AO184" s="386"/>
      <c r="AP184" s="386"/>
      <c r="AQ184" s="386"/>
      <c r="AR184" s="386"/>
      <c r="AS184" s="386"/>
      <c r="AT184" s="386"/>
      <c r="AU184" s="386"/>
      <c r="AV184" s="386"/>
      <c r="AW184" s="386"/>
      <c r="AX184" s="386"/>
      <c r="AY184" s="386"/>
      <c r="AZ184" s="386"/>
      <c r="BA184" s="386"/>
      <c r="BB184" s="386"/>
      <c r="BC184" s="386"/>
      <c r="BD184" s="386"/>
      <c r="BE184" s="386"/>
      <c r="BF184" s="386"/>
      <c r="BG184" s="386"/>
      <c r="BH184" s="387"/>
      <c r="BI184" s="367"/>
      <c r="BJ184" s="87"/>
      <c r="BK184" s="86"/>
      <c r="BL184" s="85"/>
      <c r="BM184" s="84"/>
      <c r="BN184" s="84"/>
    </row>
    <row r="185" spans="1:66" s="88" customFormat="1" x14ac:dyDescent="1.4">
      <c r="A185" s="393"/>
      <c r="B185" s="92"/>
      <c r="C185" s="91"/>
      <c r="D185" s="90"/>
      <c r="E185" s="93"/>
      <c r="F185" s="385"/>
      <c r="G185" s="386"/>
      <c r="H185" s="386"/>
      <c r="I185" s="386"/>
      <c r="J185" s="386"/>
      <c r="K185" s="386"/>
      <c r="L185" s="386"/>
      <c r="M185" s="386"/>
      <c r="N185" s="386"/>
      <c r="O185" s="386"/>
      <c r="P185" s="386"/>
      <c r="Q185" s="386"/>
      <c r="R185" s="386"/>
      <c r="S185" s="386"/>
      <c r="T185" s="386"/>
      <c r="U185" s="386"/>
      <c r="V185" s="386"/>
      <c r="W185" s="386"/>
      <c r="X185" s="386"/>
      <c r="Y185" s="386"/>
      <c r="Z185" s="386"/>
      <c r="AA185" s="386"/>
      <c r="AB185" s="386"/>
      <c r="AC185" s="386"/>
      <c r="AD185" s="386"/>
      <c r="AE185" s="386"/>
      <c r="AF185" s="386"/>
      <c r="AG185" s="386"/>
      <c r="AH185" s="386"/>
      <c r="AI185" s="386"/>
      <c r="AJ185" s="386"/>
      <c r="AK185" s="386"/>
      <c r="AL185" s="386"/>
      <c r="AM185" s="386"/>
      <c r="AN185" s="386"/>
      <c r="AO185" s="386"/>
      <c r="AP185" s="386"/>
      <c r="AQ185" s="386"/>
      <c r="AR185" s="386"/>
      <c r="AS185" s="386"/>
      <c r="AT185" s="386"/>
      <c r="AU185" s="386"/>
      <c r="AV185" s="386"/>
      <c r="AW185" s="386"/>
      <c r="AX185" s="386"/>
      <c r="AY185" s="386"/>
      <c r="AZ185" s="386"/>
      <c r="BA185" s="386"/>
      <c r="BB185" s="386"/>
      <c r="BC185" s="386"/>
      <c r="BD185" s="386"/>
      <c r="BE185" s="386"/>
      <c r="BF185" s="386"/>
      <c r="BG185" s="386"/>
      <c r="BH185" s="387"/>
      <c r="BI185" s="367"/>
      <c r="BJ185" s="87"/>
      <c r="BK185" s="86"/>
      <c r="BL185" s="85"/>
      <c r="BM185" s="84"/>
      <c r="BN185" s="84"/>
    </row>
    <row r="186" spans="1:66" s="88" customFormat="1" x14ac:dyDescent="1.4">
      <c r="A186" s="393"/>
      <c r="B186" s="92"/>
      <c r="C186" s="91"/>
      <c r="D186" s="90"/>
      <c r="E186" s="93"/>
      <c r="F186" s="385"/>
      <c r="G186" s="386"/>
      <c r="H186" s="386"/>
      <c r="I186" s="386"/>
      <c r="J186" s="386"/>
      <c r="K186" s="386"/>
      <c r="L186" s="386"/>
      <c r="M186" s="386"/>
      <c r="N186" s="386"/>
      <c r="O186" s="386"/>
      <c r="P186" s="386"/>
      <c r="Q186" s="386"/>
      <c r="R186" s="386"/>
      <c r="S186" s="386"/>
      <c r="T186" s="386"/>
      <c r="U186" s="386"/>
      <c r="V186" s="386"/>
      <c r="W186" s="386"/>
      <c r="X186" s="386"/>
      <c r="Y186" s="386"/>
      <c r="Z186" s="386"/>
      <c r="AA186" s="386"/>
      <c r="AB186" s="386"/>
      <c r="AC186" s="386"/>
      <c r="AD186" s="386"/>
      <c r="AE186" s="386"/>
      <c r="AF186" s="386"/>
      <c r="AG186" s="386"/>
      <c r="AH186" s="386"/>
      <c r="AI186" s="386"/>
      <c r="AJ186" s="386"/>
      <c r="AK186" s="386"/>
      <c r="AL186" s="386"/>
      <c r="AM186" s="386"/>
      <c r="AN186" s="386"/>
      <c r="AO186" s="386"/>
      <c r="AP186" s="386"/>
      <c r="AQ186" s="386"/>
      <c r="AR186" s="386"/>
      <c r="AS186" s="386"/>
      <c r="AT186" s="386"/>
      <c r="AU186" s="386"/>
      <c r="AV186" s="386"/>
      <c r="AW186" s="386"/>
      <c r="AX186" s="386"/>
      <c r="AY186" s="386"/>
      <c r="AZ186" s="386"/>
      <c r="BA186" s="386"/>
      <c r="BB186" s="386"/>
      <c r="BC186" s="386"/>
      <c r="BD186" s="386"/>
      <c r="BE186" s="386"/>
      <c r="BF186" s="386"/>
      <c r="BG186" s="386"/>
      <c r="BH186" s="387"/>
      <c r="BI186" s="367"/>
      <c r="BJ186" s="87"/>
      <c r="BK186" s="86"/>
      <c r="BL186" s="85"/>
      <c r="BM186" s="84"/>
      <c r="BN186" s="84"/>
    </row>
    <row r="187" spans="1:66" s="88" customFormat="1" x14ac:dyDescent="1.4">
      <c r="A187" s="393"/>
      <c r="B187" s="92"/>
      <c r="C187" s="91"/>
      <c r="D187" s="90"/>
      <c r="E187" s="93"/>
      <c r="F187" s="385"/>
      <c r="G187" s="386"/>
      <c r="H187" s="386"/>
      <c r="I187" s="386"/>
      <c r="J187" s="386"/>
      <c r="K187" s="386"/>
      <c r="L187" s="386"/>
      <c r="M187" s="386"/>
      <c r="N187" s="386"/>
      <c r="O187" s="386"/>
      <c r="P187" s="386"/>
      <c r="Q187" s="386"/>
      <c r="R187" s="386"/>
      <c r="S187" s="386"/>
      <c r="T187" s="386"/>
      <c r="U187" s="386"/>
      <c r="V187" s="386"/>
      <c r="W187" s="386"/>
      <c r="X187" s="386"/>
      <c r="Y187" s="386"/>
      <c r="Z187" s="386"/>
      <c r="AA187" s="386"/>
      <c r="AB187" s="386"/>
      <c r="AC187" s="386"/>
      <c r="AD187" s="386"/>
      <c r="AE187" s="386"/>
      <c r="AF187" s="386"/>
      <c r="AG187" s="386"/>
      <c r="AH187" s="386"/>
      <c r="AI187" s="386"/>
      <c r="AJ187" s="386"/>
      <c r="AK187" s="386"/>
      <c r="AL187" s="386"/>
      <c r="AM187" s="386"/>
      <c r="AN187" s="386"/>
      <c r="AO187" s="386"/>
      <c r="AP187" s="386"/>
      <c r="AQ187" s="386"/>
      <c r="AR187" s="386"/>
      <c r="AS187" s="386"/>
      <c r="AT187" s="386"/>
      <c r="AU187" s="386"/>
      <c r="AV187" s="386"/>
      <c r="AW187" s="386"/>
      <c r="AX187" s="386"/>
      <c r="AY187" s="386"/>
      <c r="AZ187" s="386"/>
      <c r="BA187" s="386"/>
      <c r="BB187" s="386"/>
      <c r="BC187" s="386"/>
      <c r="BD187" s="386"/>
      <c r="BE187" s="386"/>
      <c r="BF187" s="386"/>
      <c r="BG187" s="386"/>
      <c r="BH187" s="387"/>
      <c r="BI187" s="367"/>
      <c r="BJ187" s="87"/>
      <c r="BK187" s="86"/>
      <c r="BL187" s="85"/>
      <c r="BM187" s="84"/>
      <c r="BN187" s="84"/>
    </row>
    <row r="188" spans="1:66" s="88" customFormat="1" x14ac:dyDescent="1.4">
      <c r="A188" s="393"/>
      <c r="B188" s="92"/>
      <c r="C188" s="91"/>
      <c r="D188" s="90"/>
      <c r="E188" s="93"/>
      <c r="F188" s="385"/>
      <c r="G188" s="386"/>
      <c r="H188" s="386"/>
      <c r="I188" s="386"/>
      <c r="J188" s="386"/>
      <c r="K188" s="386"/>
      <c r="L188" s="386"/>
      <c r="M188" s="386"/>
      <c r="N188" s="386"/>
      <c r="O188" s="386"/>
      <c r="P188" s="386"/>
      <c r="Q188" s="386"/>
      <c r="R188" s="386"/>
      <c r="S188" s="386"/>
      <c r="T188" s="386"/>
      <c r="U188" s="386"/>
      <c r="V188" s="386"/>
      <c r="W188" s="386"/>
      <c r="X188" s="386"/>
      <c r="Y188" s="386"/>
      <c r="Z188" s="386"/>
      <c r="AA188" s="386"/>
      <c r="AB188" s="386"/>
      <c r="AC188" s="386"/>
      <c r="AD188" s="386"/>
      <c r="AE188" s="386"/>
      <c r="AF188" s="386"/>
      <c r="AG188" s="386"/>
      <c r="AH188" s="386"/>
      <c r="AI188" s="386"/>
      <c r="AJ188" s="386"/>
      <c r="AK188" s="386"/>
      <c r="AL188" s="386"/>
      <c r="AM188" s="386"/>
      <c r="AN188" s="386"/>
      <c r="AO188" s="386"/>
      <c r="AP188" s="386"/>
      <c r="AQ188" s="386"/>
      <c r="AR188" s="386"/>
      <c r="AS188" s="386"/>
      <c r="AT188" s="386"/>
      <c r="AU188" s="386"/>
      <c r="AV188" s="386"/>
      <c r="AW188" s="386"/>
      <c r="AX188" s="386"/>
      <c r="AY188" s="386"/>
      <c r="AZ188" s="386"/>
      <c r="BA188" s="386"/>
      <c r="BB188" s="386"/>
      <c r="BC188" s="386"/>
      <c r="BD188" s="386"/>
      <c r="BE188" s="386"/>
      <c r="BF188" s="386"/>
      <c r="BG188" s="386"/>
      <c r="BH188" s="387"/>
      <c r="BI188" s="367"/>
      <c r="BJ188" s="87"/>
      <c r="BK188" s="86"/>
      <c r="BL188" s="85"/>
      <c r="BM188" s="84"/>
      <c r="BN188" s="84"/>
    </row>
    <row r="189" spans="1:66" s="88" customFormat="1" x14ac:dyDescent="1.4">
      <c r="A189" s="393"/>
      <c r="B189" s="92"/>
      <c r="C189" s="91"/>
      <c r="D189" s="90"/>
      <c r="E189" s="93"/>
      <c r="F189" s="385"/>
      <c r="G189" s="386"/>
      <c r="H189" s="386"/>
      <c r="I189" s="386"/>
      <c r="J189" s="386"/>
      <c r="K189" s="386"/>
      <c r="L189" s="386"/>
      <c r="M189" s="386"/>
      <c r="N189" s="386"/>
      <c r="O189" s="386"/>
      <c r="P189" s="386"/>
      <c r="Q189" s="386"/>
      <c r="R189" s="386"/>
      <c r="S189" s="386"/>
      <c r="T189" s="386"/>
      <c r="U189" s="386"/>
      <c r="V189" s="386"/>
      <c r="W189" s="386"/>
      <c r="X189" s="386"/>
      <c r="Y189" s="386"/>
      <c r="Z189" s="386"/>
      <c r="AA189" s="386"/>
      <c r="AB189" s="386"/>
      <c r="AC189" s="386"/>
      <c r="AD189" s="386"/>
      <c r="AE189" s="386"/>
      <c r="AF189" s="386"/>
      <c r="AG189" s="386"/>
      <c r="AH189" s="386"/>
      <c r="AI189" s="386"/>
      <c r="AJ189" s="386"/>
      <c r="AK189" s="386"/>
      <c r="AL189" s="386"/>
      <c r="AM189" s="386"/>
      <c r="AN189" s="386"/>
      <c r="AO189" s="386"/>
      <c r="AP189" s="386"/>
      <c r="AQ189" s="386"/>
      <c r="AR189" s="386"/>
      <c r="AS189" s="386"/>
      <c r="AT189" s="386"/>
      <c r="AU189" s="386"/>
      <c r="AV189" s="386"/>
      <c r="AW189" s="386"/>
      <c r="AX189" s="386"/>
      <c r="AY189" s="386"/>
      <c r="AZ189" s="386"/>
      <c r="BA189" s="386"/>
      <c r="BB189" s="386"/>
      <c r="BC189" s="386"/>
      <c r="BD189" s="386"/>
      <c r="BE189" s="386"/>
      <c r="BF189" s="386"/>
      <c r="BG189" s="386"/>
      <c r="BH189" s="387"/>
      <c r="BI189" s="367"/>
      <c r="BJ189" s="87"/>
      <c r="BK189" s="86"/>
      <c r="BL189" s="85"/>
      <c r="BM189" s="84"/>
      <c r="BN189" s="84"/>
    </row>
    <row r="190" spans="1:66" s="88" customFormat="1" x14ac:dyDescent="1.4">
      <c r="A190" s="393"/>
      <c r="B190" s="92"/>
      <c r="C190" s="91"/>
      <c r="D190" s="90"/>
      <c r="E190" s="93"/>
      <c r="F190" s="385"/>
      <c r="G190" s="386"/>
      <c r="H190" s="386"/>
      <c r="I190" s="386"/>
      <c r="J190" s="386"/>
      <c r="K190" s="386"/>
      <c r="L190" s="386"/>
      <c r="M190" s="386"/>
      <c r="N190" s="386"/>
      <c r="O190" s="386"/>
      <c r="P190" s="386"/>
      <c r="Q190" s="386"/>
      <c r="R190" s="386"/>
      <c r="S190" s="386"/>
      <c r="T190" s="386"/>
      <c r="U190" s="386"/>
      <c r="V190" s="386"/>
      <c r="W190" s="386"/>
      <c r="X190" s="386"/>
      <c r="Y190" s="386"/>
      <c r="Z190" s="386"/>
      <c r="AA190" s="386"/>
      <c r="AB190" s="386"/>
      <c r="AC190" s="386"/>
      <c r="AD190" s="386"/>
      <c r="AE190" s="386"/>
      <c r="AF190" s="386"/>
      <c r="AG190" s="386"/>
      <c r="AH190" s="386"/>
      <c r="AI190" s="386"/>
      <c r="AJ190" s="386"/>
      <c r="AK190" s="386"/>
      <c r="AL190" s="386"/>
      <c r="AM190" s="386"/>
      <c r="AN190" s="386"/>
      <c r="AO190" s="386"/>
      <c r="AP190" s="386"/>
      <c r="AQ190" s="386"/>
      <c r="AR190" s="386"/>
      <c r="AS190" s="386"/>
      <c r="AT190" s="386"/>
      <c r="AU190" s="386"/>
      <c r="AV190" s="386"/>
      <c r="AW190" s="386"/>
      <c r="AX190" s="386"/>
      <c r="AY190" s="386"/>
      <c r="AZ190" s="386"/>
      <c r="BA190" s="386"/>
      <c r="BB190" s="386"/>
      <c r="BC190" s="386"/>
      <c r="BD190" s="386"/>
      <c r="BE190" s="386"/>
      <c r="BF190" s="386"/>
      <c r="BG190" s="386"/>
      <c r="BH190" s="387"/>
      <c r="BI190" s="367"/>
      <c r="BJ190" s="87"/>
      <c r="BK190" s="86"/>
      <c r="BL190" s="85"/>
      <c r="BM190" s="84"/>
      <c r="BN190" s="84"/>
    </row>
    <row r="191" spans="1:66" s="88" customFormat="1" x14ac:dyDescent="1.4">
      <c r="A191" s="393"/>
      <c r="B191" s="92"/>
      <c r="C191" s="91"/>
      <c r="D191" s="90"/>
      <c r="E191" s="93"/>
      <c r="F191" s="385"/>
      <c r="G191" s="386"/>
      <c r="H191" s="386"/>
      <c r="I191" s="386"/>
      <c r="J191" s="386"/>
      <c r="K191" s="386"/>
      <c r="L191" s="386"/>
      <c r="M191" s="386"/>
      <c r="N191" s="386"/>
      <c r="O191" s="386"/>
      <c r="P191" s="386"/>
      <c r="Q191" s="386"/>
      <c r="R191" s="386"/>
      <c r="S191" s="386"/>
      <c r="T191" s="386"/>
      <c r="U191" s="386"/>
      <c r="V191" s="386"/>
      <c r="W191" s="386"/>
      <c r="X191" s="386"/>
      <c r="Y191" s="386"/>
      <c r="Z191" s="386"/>
      <c r="AA191" s="386"/>
      <c r="AB191" s="386"/>
      <c r="AC191" s="386"/>
      <c r="AD191" s="386"/>
      <c r="AE191" s="386"/>
      <c r="AF191" s="386"/>
      <c r="AG191" s="386"/>
      <c r="AH191" s="386"/>
      <c r="AI191" s="386"/>
      <c r="AJ191" s="386"/>
      <c r="AK191" s="386"/>
      <c r="AL191" s="386"/>
      <c r="AM191" s="386"/>
      <c r="AN191" s="386"/>
      <c r="AO191" s="386"/>
      <c r="AP191" s="386"/>
      <c r="AQ191" s="386"/>
      <c r="AR191" s="386"/>
      <c r="AS191" s="386"/>
      <c r="AT191" s="386"/>
      <c r="AU191" s="386"/>
      <c r="AV191" s="386"/>
      <c r="AW191" s="386"/>
      <c r="AX191" s="386"/>
      <c r="AY191" s="386"/>
      <c r="AZ191" s="386"/>
      <c r="BA191" s="386"/>
      <c r="BB191" s="386"/>
      <c r="BC191" s="386"/>
      <c r="BD191" s="386"/>
      <c r="BE191" s="386"/>
      <c r="BF191" s="386"/>
      <c r="BG191" s="386"/>
      <c r="BH191" s="387"/>
      <c r="BI191" s="367"/>
      <c r="BJ191" s="87"/>
      <c r="BK191" s="86"/>
      <c r="BL191" s="85"/>
      <c r="BM191" s="84"/>
      <c r="BN191" s="84"/>
    </row>
    <row r="192" spans="1:66" s="88" customFormat="1" x14ac:dyDescent="1.4">
      <c r="A192" s="393"/>
      <c r="B192" s="92"/>
      <c r="C192" s="91"/>
      <c r="D192" s="90"/>
      <c r="E192" s="93"/>
      <c r="F192" s="385"/>
      <c r="G192" s="386"/>
      <c r="H192" s="386"/>
      <c r="I192" s="386"/>
      <c r="J192" s="386"/>
      <c r="K192" s="386"/>
      <c r="L192" s="386"/>
      <c r="M192" s="386"/>
      <c r="N192" s="386"/>
      <c r="O192" s="386"/>
      <c r="P192" s="386"/>
      <c r="Q192" s="386"/>
      <c r="R192" s="386"/>
      <c r="S192" s="386"/>
      <c r="T192" s="386"/>
      <c r="U192" s="386"/>
      <c r="V192" s="386"/>
      <c r="W192" s="386"/>
      <c r="X192" s="386"/>
      <c r="Y192" s="386"/>
      <c r="Z192" s="386"/>
      <c r="AA192" s="386"/>
      <c r="AB192" s="386"/>
      <c r="AC192" s="386"/>
      <c r="AD192" s="386"/>
      <c r="AE192" s="386"/>
      <c r="AF192" s="386"/>
      <c r="AG192" s="386"/>
      <c r="AH192" s="386"/>
      <c r="AI192" s="386"/>
      <c r="AJ192" s="386"/>
      <c r="AK192" s="386"/>
      <c r="AL192" s="386"/>
      <c r="AM192" s="386"/>
      <c r="AN192" s="386"/>
      <c r="AO192" s="386"/>
      <c r="AP192" s="386"/>
      <c r="AQ192" s="386"/>
      <c r="AR192" s="386"/>
      <c r="AS192" s="386"/>
      <c r="AT192" s="386"/>
      <c r="AU192" s="386"/>
      <c r="AV192" s="386"/>
      <c r="AW192" s="386"/>
      <c r="AX192" s="386"/>
      <c r="AY192" s="386"/>
      <c r="AZ192" s="386"/>
      <c r="BA192" s="386"/>
      <c r="BB192" s="386"/>
      <c r="BC192" s="386"/>
      <c r="BD192" s="386"/>
      <c r="BE192" s="386"/>
      <c r="BF192" s="386"/>
      <c r="BG192" s="386"/>
      <c r="BH192" s="387"/>
      <c r="BI192" s="367"/>
      <c r="BJ192" s="87"/>
      <c r="BK192" s="86"/>
      <c r="BL192" s="85"/>
      <c r="BM192" s="84"/>
      <c r="BN192" s="84"/>
    </row>
    <row r="193" spans="1:66" s="88" customFormat="1" x14ac:dyDescent="1.4">
      <c r="A193" s="393"/>
      <c r="B193" s="92"/>
      <c r="C193" s="91"/>
      <c r="D193" s="90"/>
      <c r="E193" s="93"/>
      <c r="F193" s="385"/>
      <c r="G193" s="386"/>
      <c r="H193" s="386"/>
      <c r="I193" s="386"/>
      <c r="J193" s="386"/>
      <c r="K193" s="386"/>
      <c r="L193" s="386"/>
      <c r="M193" s="386"/>
      <c r="N193" s="386"/>
      <c r="O193" s="386"/>
      <c r="P193" s="386"/>
      <c r="Q193" s="386"/>
      <c r="R193" s="386"/>
      <c r="S193" s="386"/>
      <c r="T193" s="386"/>
      <c r="U193" s="386"/>
      <c r="V193" s="386"/>
      <c r="W193" s="386"/>
      <c r="X193" s="386"/>
      <c r="Y193" s="386"/>
      <c r="Z193" s="386"/>
      <c r="AA193" s="386"/>
      <c r="AB193" s="386"/>
      <c r="AC193" s="386"/>
      <c r="AD193" s="386"/>
      <c r="AE193" s="386"/>
      <c r="AF193" s="386"/>
      <c r="AG193" s="386"/>
      <c r="AH193" s="386"/>
      <c r="AI193" s="386"/>
      <c r="AJ193" s="386"/>
      <c r="AK193" s="386"/>
      <c r="AL193" s="386"/>
      <c r="AM193" s="386"/>
      <c r="AN193" s="386"/>
      <c r="AO193" s="386"/>
      <c r="AP193" s="386"/>
      <c r="AQ193" s="386"/>
      <c r="AR193" s="386"/>
      <c r="AS193" s="386"/>
      <c r="AT193" s="386"/>
      <c r="AU193" s="386"/>
      <c r="AV193" s="386"/>
      <c r="AW193" s="386"/>
      <c r="AX193" s="386"/>
      <c r="AY193" s="386"/>
      <c r="AZ193" s="386"/>
      <c r="BA193" s="386"/>
      <c r="BB193" s="386"/>
      <c r="BC193" s="386"/>
      <c r="BD193" s="386"/>
      <c r="BE193" s="386"/>
      <c r="BF193" s="386"/>
      <c r="BG193" s="386"/>
      <c r="BH193" s="387"/>
      <c r="BI193" s="367"/>
      <c r="BJ193" s="87"/>
      <c r="BK193" s="86"/>
      <c r="BL193" s="85"/>
      <c r="BM193" s="84"/>
      <c r="BN193" s="84"/>
    </row>
    <row r="194" spans="1:66" s="88" customFormat="1" x14ac:dyDescent="1.4">
      <c r="A194" s="393"/>
      <c r="B194" s="92"/>
      <c r="C194" s="91"/>
      <c r="D194" s="90"/>
      <c r="E194" s="93"/>
      <c r="F194" s="385"/>
      <c r="G194" s="386"/>
      <c r="H194" s="386"/>
      <c r="I194" s="386"/>
      <c r="J194" s="386"/>
      <c r="K194" s="386"/>
      <c r="L194" s="386"/>
      <c r="M194" s="386"/>
      <c r="N194" s="386"/>
      <c r="O194" s="386"/>
      <c r="P194" s="386"/>
      <c r="Q194" s="386"/>
      <c r="R194" s="386"/>
      <c r="S194" s="386"/>
      <c r="T194" s="386"/>
      <c r="U194" s="386"/>
      <c r="V194" s="386"/>
      <c r="W194" s="386"/>
      <c r="X194" s="386"/>
      <c r="Y194" s="386"/>
      <c r="Z194" s="386"/>
      <c r="AA194" s="386"/>
      <c r="AB194" s="386"/>
      <c r="AC194" s="386"/>
      <c r="AD194" s="386"/>
      <c r="AE194" s="386"/>
      <c r="AF194" s="386"/>
      <c r="AG194" s="386"/>
      <c r="AH194" s="386"/>
      <c r="AI194" s="386"/>
      <c r="AJ194" s="386"/>
      <c r="AK194" s="386"/>
      <c r="AL194" s="386"/>
      <c r="AM194" s="386"/>
      <c r="AN194" s="386"/>
      <c r="AO194" s="386"/>
      <c r="AP194" s="386"/>
      <c r="AQ194" s="386"/>
      <c r="AR194" s="386"/>
      <c r="AS194" s="386"/>
      <c r="AT194" s="386"/>
      <c r="AU194" s="386"/>
      <c r="AV194" s="386"/>
      <c r="AW194" s="386"/>
      <c r="AX194" s="386"/>
      <c r="AY194" s="386"/>
      <c r="AZ194" s="386"/>
      <c r="BA194" s="386"/>
      <c r="BB194" s="386"/>
      <c r="BC194" s="386"/>
      <c r="BD194" s="386"/>
      <c r="BE194" s="386"/>
      <c r="BF194" s="386"/>
      <c r="BG194" s="386"/>
      <c r="BH194" s="387"/>
      <c r="BI194" s="367"/>
      <c r="BJ194" s="87"/>
      <c r="BK194" s="86"/>
      <c r="BL194" s="85"/>
      <c r="BM194" s="84"/>
      <c r="BN194" s="84"/>
    </row>
    <row r="195" spans="1:66" s="88" customFormat="1" x14ac:dyDescent="1.4">
      <c r="A195" s="393"/>
      <c r="B195" s="92"/>
      <c r="C195" s="91"/>
      <c r="D195" s="90"/>
      <c r="E195" s="93"/>
      <c r="F195" s="385"/>
      <c r="G195" s="386"/>
      <c r="H195" s="386"/>
      <c r="I195" s="386"/>
      <c r="J195" s="386"/>
      <c r="K195" s="386"/>
      <c r="L195" s="386"/>
      <c r="M195" s="386"/>
      <c r="N195" s="386"/>
      <c r="O195" s="386"/>
      <c r="P195" s="386"/>
      <c r="Q195" s="386"/>
      <c r="R195" s="386"/>
      <c r="S195" s="386"/>
      <c r="T195" s="386"/>
      <c r="U195" s="386"/>
      <c r="V195" s="386"/>
      <c r="W195" s="386"/>
      <c r="X195" s="386"/>
      <c r="Y195" s="386"/>
      <c r="Z195" s="386"/>
      <c r="AA195" s="386"/>
      <c r="AB195" s="386"/>
      <c r="AC195" s="386"/>
      <c r="AD195" s="386"/>
      <c r="AE195" s="386"/>
      <c r="AF195" s="386"/>
      <c r="AG195" s="386"/>
      <c r="AH195" s="386"/>
      <c r="AI195" s="386"/>
      <c r="AJ195" s="386"/>
      <c r="AK195" s="386"/>
      <c r="AL195" s="386"/>
      <c r="AM195" s="386"/>
      <c r="AN195" s="386"/>
      <c r="AO195" s="386"/>
      <c r="AP195" s="386"/>
      <c r="AQ195" s="386"/>
      <c r="AR195" s="386"/>
      <c r="AS195" s="386"/>
      <c r="AT195" s="386"/>
      <c r="AU195" s="386"/>
      <c r="AV195" s="386"/>
      <c r="AW195" s="386"/>
      <c r="AX195" s="386"/>
      <c r="AY195" s="386"/>
      <c r="AZ195" s="386"/>
      <c r="BA195" s="386"/>
      <c r="BB195" s="386"/>
      <c r="BC195" s="386"/>
      <c r="BD195" s="386"/>
      <c r="BE195" s="386"/>
      <c r="BF195" s="386"/>
      <c r="BG195" s="386"/>
      <c r="BH195" s="387"/>
      <c r="BI195" s="367"/>
      <c r="BJ195" s="87"/>
      <c r="BK195" s="86"/>
      <c r="BL195" s="85"/>
      <c r="BM195" s="84"/>
      <c r="BN195" s="84"/>
    </row>
    <row r="196" spans="1:66" s="88" customFormat="1" x14ac:dyDescent="1.4">
      <c r="A196" s="393"/>
      <c r="B196" s="92"/>
      <c r="C196" s="91"/>
      <c r="D196" s="90"/>
      <c r="E196" s="93"/>
      <c r="F196" s="385"/>
      <c r="G196" s="386"/>
      <c r="H196" s="386"/>
      <c r="I196" s="386"/>
      <c r="J196" s="386"/>
      <c r="K196" s="386"/>
      <c r="L196" s="386"/>
      <c r="M196" s="386"/>
      <c r="N196" s="386"/>
      <c r="O196" s="386"/>
      <c r="P196" s="386"/>
      <c r="Q196" s="386"/>
      <c r="R196" s="386"/>
      <c r="S196" s="386"/>
      <c r="T196" s="386"/>
      <c r="U196" s="386"/>
      <c r="V196" s="386"/>
      <c r="W196" s="386"/>
      <c r="X196" s="386"/>
      <c r="Y196" s="386"/>
      <c r="Z196" s="386"/>
      <c r="AA196" s="386"/>
      <c r="AB196" s="386"/>
      <c r="AC196" s="386"/>
      <c r="AD196" s="386"/>
      <c r="AE196" s="386"/>
      <c r="AF196" s="386"/>
      <c r="AG196" s="386"/>
      <c r="AH196" s="386"/>
      <c r="AI196" s="386"/>
      <c r="AJ196" s="386"/>
      <c r="AK196" s="386"/>
      <c r="AL196" s="386"/>
      <c r="AM196" s="386"/>
      <c r="AN196" s="386"/>
      <c r="AO196" s="386"/>
      <c r="AP196" s="386"/>
      <c r="AQ196" s="386"/>
      <c r="AR196" s="386"/>
      <c r="AS196" s="386"/>
      <c r="AT196" s="386"/>
      <c r="AU196" s="386"/>
      <c r="AV196" s="386"/>
      <c r="AW196" s="386"/>
      <c r="AX196" s="386"/>
      <c r="AY196" s="386"/>
      <c r="AZ196" s="386"/>
      <c r="BA196" s="386"/>
      <c r="BB196" s="386"/>
      <c r="BC196" s="386"/>
      <c r="BD196" s="386"/>
      <c r="BE196" s="386"/>
      <c r="BF196" s="386"/>
      <c r="BG196" s="386"/>
      <c r="BH196" s="387"/>
      <c r="BI196" s="367"/>
      <c r="BJ196" s="87"/>
      <c r="BK196" s="86"/>
      <c r="BL196" s="85"/>
      <c r="BM196" s="84"/>
      <c r="BN196" s="84"/>
    </row>
    <row r="197" spans="1:66" s="88" customFormat="1" x14ac:dyDescent="1.4">
      <c r="A197" s="393"/>
      <c r="B197" s="92"/>
      <c r="C197" s="91"/>
      <c r="D197" s="90"/>
      <c r="E197" s="93"/>
      <c r="F197" s="385"/>
      <c r="G197" s="386"/>
      <c r="H197" s="386"/>
      <c r="I197" s="386"/>
      <c r="J197" s="386"/>
      <c r="K197" s="386"/>
      <c r="L197" s="386"/>
      <c r="M197" s="386"/>
      <c r="N197" s="386"/>
      <c r="O197" s="386"/>
      <c r="P197" s="386"/>
      <c r="Q197" s="386"/>
      <c r="R197" s="386"/>
      <c r="S197" s="386"/>
      <c r="T197" s="386"/>
      <c r="U197" s="386"/>
      <c r="V197" s="386"/>
      <c r="W197" s="386"/>
      <c r="X197" s="386"/>
      <c r="Y197" s="386"/>
      <c r="Z197" s="386"/>
      <c r="AA197" s="386"/>
      <c r="AB197" s="386"/>
      <c r="AC197" s="386"/>
      <c r="AD197" s="386"/>
      <c r="AE197" s="386"/>
      <c r="AF197" s="386"/>
      <c r="AG197" s="386"/>
      <c r="AH197" s="386"/>
      <c r="AI197" s="386"/>
      <c r="AJ197" s="386"/>
      <c r="AK197" s="386"/>
      <c r="AL197" s="386"/>
      <c r="AM197" s="386"/>
      <c r="AN197" s="386"/>
      <c r="AO197" s="386"/>
      <c r="AP197" s="386"/>
      <c r="AQ197" s="386"/>
      <c r="AR197" s="386"/>
      <c r="AS197" s="386"/>
      <c r="AT197" s="386"/>
      <c r="AU197" s="386"/>
      <c r="AV197" s="386"/>
      <c r="AW197" s="386"/>
      <c r="AX197" s="386"/>
      <c r="AY197" s="386"/>
      <c r="AZ197" s="386"/>
      <c r="BA197" s="386"/>
      <c r="BB197" s="386"/>
      <c r="BC197" s="386"/>
      <c r="BD197" s="386"/>
      <c r="BE197" s="386"/>
      <c r="BF197" s="386"/>
      <c r="BG197" s="386"/>
      <c r="BH197" s="387"/>
      <c r="BI197" s="367"/>
      <c r="BJ197" s="87"/>
      <c r="BK197" s="86"/>
      <c r="BL197" s="85"/>
      <c r="BM197" s="84"/>
      <c r="BN197" s="84"/>
    </row>
    <row r="198" spans="1:66" s="88" customFormat="1" x14ac:dyDescent="1.4">
      <c r="A198" s="393"/>
      <c r="B198" s="92"/>
      <c r="C198" s="91"/>
      <c r="D198" s="90"/>
      <c r="E198" s="93"/>
      <c r="F198" s="385"/>
      <c r="G198" s="386"/>
      <c r="H198" s="386"/>
      <c r="I198" s="386"/>
      <c r="J198" s="386"/>
      <c r="K198" s="386"/>
      <c r="L198" s="386"/>
      <c r="M198" s="386"/>
      <c r="N198" s="386"/>
      <c r="O198" s="386"/>
      <c r="P198" s="386"/>
      <c r="Q198" s="386"/>
      <c r="R198" s="386"/>
      <c r="S198" s="386"/>
      <c r="T198" s="386"/>
      <c r="U198" s="386"/>
      <c r="V198" s="386"/>
      <c r="W198" s="386"/>
      <c r="X198" s="386"/>
      <c r="Y198" s="386"/>
      <c r="Z198" s="386"/>
      <c r="AA198" s="386"/>
      <c r="AB198" s="386"/>
      <c r="AC198" s="386"/>
      <c r="AD198" s="386"/>
      <c r="AE198" s="386"/>
      <c r="AF198" s="386"/>
      <c r="AG198" s="386"/>
      <c r="AH198" s="386"/>
      <c r="AI198" s="386"/>
      <c r="AJ198" s="386"/>
      <c r="AK198" s="386"/>
      <c r="AL198" s="386"/>
      <c r="AM198" s="386"/>
      <c r="AN198" s="386"/>
      <c r="AO198" s="386"/>
      <c r="AP198" s="386"/>
      <c r="AQ198" s="386"/>
      <c r="AR198" s="386"/>
      <c r="AS198" s="386"/>
      <c r="AT198" s="386"/>
      <c r="AU198" s="386"/>
      <c r="AV198" s="386"/>
      <c r="AW198" s="386"/>
      <c r="AX198" s="386"/>
      <c r="AY198" s="386"/>
      <c r="AZ198" s="386"/>
      <c r="BA198" s="386"/>
      <c r="BB198" s="386"/>
      <c r="BC198" s="386"/>
      <c r="BD198" s="386"/>
      <c r="BE198" s="386"/>
      <c r="BF198" s="386"/>
      <c r="BG198" s="386"/>
      <c r="BH198" s="387"/>
      <c r="BI198" s="367"/>
      <c r="BJ198" s="87"/>
      <c r="BK198" s="86"/>
      <c r="BL198" s="85"/>
      <c r="BM198" s="84"/>
      <c r="BN198" s="84"/>
    </row>
    <row r="199" spans="1:66" s="88" customFormat="1" x14ac:dyDescent="1.4">
      <c r="A199" s="393"/>
      <c r="B199" s="92"/>
      <c r="C199" s="91"/>
      <c r="D199" s="90"/>
      <c r="E199" s="93"/>
      <c r="F199" s="385"/>
      <c r="G199" s="386"/>
      <c r="H199" s="386"/>
      <c r="I199" s="386"/>
      <c r="J199" s="386"/>
      <c r="K199" s="386"/>
      <c r="L199" s="386"/>
      <c r="M199" s="386"/>
      <c r="N199" s="386"/>
      <c r="O199" s="386"/>
      <c r="P199" s="386"/>
      <c r="Q199" s="386"/>
      <c r="R199" s="386"/>
      <c r="S199" s="386"/>
      <c r="T199" s="386"/>
      <c r="U199" s="386"/>
      <c r="V199" s="386"/>
      <c r="W199" s="386"/>
      <c r="X199" s="386"/>
      <c r="Y199" s="386"/>
      <c r="Z199" s="386"/>
      <c r="AA199" s="386"/>
      <c r="AB199" s="386"/>
      <c r="AC199" s="386"/>
      <c r="AD199" s="386"/>
      <c r="AE199" s="386"/>
      <c r="AF199" s="386"/>
      <c r="AG199" s="386"/>
      <c r="AH199" s="386"/>
      <c r="AI199" s="386"/>
      <c r="AJ199" s="386"/>
      <c r="AK199" s="386"/>
      <c r="AL199" s="386"/>
      <c r="AM199" s="386"/>
      <c r="AN199" s="386"/>
      <c r="AO199" s="386"/>
      <c r="AP199" s="386"/>
      <c r="AQ199" s="386"/>
      <c r="AR199" s="386"/>
      <c r="AS199" s="386"/>
      <c r="AT199" s="386"/>
      <c r="AU199" s="386"/>
      <c r="AV199" s="386"/>
      <c r="AW199" s="386"/>
      <c r="AX199" s="386"/>
      <c r="AY199" s="386"/>
      <c r="AZ199" s="386"/>
      <c r="BA199" s="386"/>
      <c r="BB199" s="386"/>
      <c r="BC199" s="386"/>
      <c r="BD199" s="386"/>
      <c r="BE199" s="386"/>
      <c r="BF199" s="386"/>
      <c r="BG199" s="386"/>
      <c r="BH199" s="387"/>
      <c r="BI199" s="367"/>
      <c r="BJ199" s="87"/>
      <c r="BK199" s="86"/>
      <c r="BL199" s="85"/>
      <c r="BM199" s="84"/>
      <c r="BN199" s="84"/>
    </row>
    <row r="200" spans="1:66" s="88" customFormat="1" x14ac:dyDescent="1.4">
      <c r="A200" s="393"/>
      <c r="B200" s="92"/>
      <c r="C200" s="91"/>
      <c r="D200" s="90"/>
      <c r="E200" s="93"/>
      <c r="F200" s="385"/>
      <c r="G200" s="386"/>
      <c r="H200" s="386"/>
      <c r="I200" s="386"/>
      <c r="J200" s="386"/>
      <c r="K200" s="386"/>
      <c r="L200" s="386"/>
      <c r="M200" s="386"/>
      <c r="N200" s="386"/>
      <c r="O200" s="386"/>
      <c r="P200" s="386"/>
      <c r="Q200" s="386"/>
      <c r="R200" s="386"/>
      <c r="S200" s="386"/>
      <c r="T200" s="386"/>
      <c r="U200" s="386"/>
      <c r="V200" s="386"/>
      <c r="W200" s="386"/>
      <c r="X200" s="386"/>
      <c r="Y200" s="386"/>
      <c r="Z200" s="386"/>
      <c r="AA200" s="386"/>
      <c r="AB200" s="386"/>
      <c r="AC200" s="386"/>
      <c r="AD200" s="386"/>
      <c r="AE200" s="386"/>
      <c r="AF200" s="386"/>
      <c r="AG200" s="386"/>
      <c r="AH200" s="386"/>
      <c r="AI200" s="386"/>
      <c r="AJ200" s="386"/>
      <c r="AK200" s="386"/>
      <c r="AL200" s="386"/>
      <c r="AM200" s="386"/>
      <c r="AN200" s="386"/>
      <c r="AO200" s="386"/>
      <c r="AP200" s="386"/>
      <c r="AQ200" s="386"/>
      <c r="AR200" s="386"/>
      <c r="AS200" s="386"/>
      <c r="AT200" s="386"/>
      <c r="AU200" s="386"/>
      <c r="AV200" s="386"/>
      <c r="AW200" s="386"/>
      <c r="AX200" s="386"/>
      <c r="AY200" s="386"/>
      <c r="AZ200" s="386"/>
      <c r="BA200" s="386"/>
      <c r="BB200" s="386"/>
      <c r="BC200" s="386"/>
      <c r="BD200" s="386"/>
      <c r="BE200" s="386"/>
      <c r="BF200" s="386"/>
      <c r="BG200" s="386"/>
      <c r="BH200" s="387"/>
      <c r="BI200" s="367"/>
      <c r="BJ200" s="87"/>
      <c r="BK200" s="86"/>
      <c r="BL200" s="85"/>
      <c r="BM200" s="84"/>
      <c r="BN200" s="84"/>
    </row>
    <row r="201" spans="1:66" s="88" customFormat="1" x14ac:dyDescent="1.4">
      <c r="A201" s="393"/>
      <c r="B201" s="92"/>
      <c r="C201" s="91"/>
      <c r="D201" s="90"/>
      <c r="E201" s="93"/>
      <c r="F201" s="385"/>
      <c r="G201" s="386"/>
      <c r="H201" s="386"/>
      <c r="I201" s="386"/>
      <c r="J201" s="386"/>
      <c r="K201" s="386"/>
      <c r="L201" s="386"/>
      <c r="M201" s="386"/>
      <c r="N201" s="386"/>
      <c r="O201" s="386"/>
      <c r="P201" s="386"/>
      <c r="Q201" s="386"/>
      <c r="R201" s="386"/>
      <c r="S201" s="386"/>
      <c r="T201" s="386"/>
      <c r="U201" s="386"/>
      <c r="V201" s="386"/>
      <c r="W201" s="386"/>
      <c r="X201" s="386"/>
      <c r="Y201" s="386"/>
      <c r="Z201" s="386"/>
      <c r="AA201" s="386"/>
      <c r="AB201" s="386"/>
      <c r="AC201" s="386"/>
      <c r="AD201" s="386"/>
      <c r="AE201" s="386"/>
      <c r="AF201" s="386"/>
      <c r="AG201" s="386"/>
      <c r="AH201" s="386"/>
      <c r="AI201" s="386"/>
      <c r="AJ201" s="386"/>
      <c r="AK201" s="386"/>
      <c r="AL201" s="386"/>
      <c r="AM201" s="386"/>
      <c r="AN201" s="386"/>
      <c r="AO201" s="386"/>
      <c r="AP201" s="386"/>
      <c r="AQ201" s="386"/>
      <c r="AR201" s="386"/>
      <c r="AS201" s="386"/>
      <c r="AT201" s="386"/>
      <c r="AU201" s="386"/>
      <c r="AV201" s="386"/>
      <c r="AW201" s="386"/>
      <c r="AX201" s="386"/>
      <c r="AY201" s="386"/>
      <c r="AZ201" s="386"/>
      <c r="BA201" s="386"/>
      <c r="BB201" s="386"/>
      <c r="BC201" s="386"/>
      <c r="BD201" s="386"/>
      <c r="BE201" s="386"/>
      <c r="BF201" s="386"/>
      <c r="BG201" s="386"/>
      <c r="BH201" s="387"/>
      <c r="BI201" s="367"/>
      <c r="BJ201" s="87"/>
      <c r="BK201" s="86"/>
      <c r="BL201" s="85"/>
      <c r="BM201" s="84"/>
      <c r="BN201" s="84"/>
    </row>
    <row r="202" spans="1:66" s="88" customFormat="1" x14ac:dyDescent="1.4">
      <c r="A202" s="393"/>
      <c r="B202" s="92"/>
      <c r="C202" s="91"/>
      <c r="D202" s="90"/>
      <c r="E202" s="93"/>
      <c r="F202" s="385"/>
      <c r="G202" s="386"/>
      <c r="H202" s="386"/>
      <c r="I202" s="386"/>
      <c r="J202" s="386"/>
      <c r="K202" s="386"/>
      <c r="L202" s="386"/>
      <c r="M202" s="386"/>
      <c r="N202" s="386"/>
      <c r="O202" s="386"/>
      <c r="P202" s="386"/>
      <c r="Q202" s="386"/>
      <c r="R202" s="386"/>
      <c r="S202" s="386"/>
      <c r="T202" s="386"/>
      <c r="U202" s="386"/>
      <c r="V202" s="386"/>
      <c r="W202" s="386"/>
      <c r="X202" s="386"/>
      <c r="Y202" s="386"/>
      <c r="Z202" s="386"/>
      <c r="AA202" s="386"/>
      <c r="AB202" s="386"/>
      <c r="AC202" s="386"/>
      <c r="AD202" s="386"/>
      <c r="AE202" s="386"/>
      <c r="AF202" s="386"/>
      <c r="AG202" s="386"/>
      <c r="AH202" s="386"/>
      <c r="AI202" s="386"/>
      <c r="AJ202" s="386"/>
      <c r="AK202" s="386"/>
      <c r="AL202" s="386"/>
      <c r="AM202" s="386"/>
      <c r="AN202" s="386"/>
      <c r="AO202" s="386"/>
      <c r="AP202" s="386"/>
      <c r="AQ202" s="386"/>
      <c r="AR202" s="386"/>
      <c r="AS202" s="386"/>
      <c r="AT202" s="386"/>
      <c r="AU202" s="386"/>
      <c r="AV202" s="386"/>
      <c r="AW202" s="386"/>
      <c r="AX202" s="386"/>
      <c r="AY202" s="386"/>
      <c r="AZ202" s="386"/>
      <c r="BA202" s="386"/>
      <c r="BB202" s="386"/>
      <c r="BC202" s="386"/>
      <c r="BD202" s="386"/>
      <c r="BE202" s="386"/>
      <c r="BF202" s="386"/>
      <c r="BG202" s="386"/>
      <c r="BH202" s="387"/>
      <c r="BI202" s="367"/>
      <c r="BJ202" s="87"/>
      <c r="BK202" s="86"/>
      <c r="BL202" s="85"/>
      <c r="BM202" s="84"/>
      <c r="BN202" s="84"/>
    </row>
    <row r="203" spans="1:66" s="88" customFormat="1" x14ac:dyDescent="1.4">
      <c r="A203" s="393"/>
      <c r="B203" s="92"/>
      <c r="C203" s="91"/>
      <c r="D203" s="90"/>
      <c r="E203" s="93"/>
      <c r="F203" s="385"/>
      <c r="G203" s="386"/>
      <c r="H203" s="386"/>
      <c r="I203" s="386"/>
      <c r="J203" s="386"/>
      <c r="K203" s="386"/>
      <c r="L203" s="386"/>
      <c r="M203" s="386"/>
      <c r="N203" s="386"/>
      <c r="O203" s="386"/>
      <c r="P203" s="386"/>
      <c r="Q203" s="386"/>
      <c r="R203" s="386"/>
      <c r="S203" s="386"/>
      <c r="T203" s="386"/>
      <c r="U203" s="386"/>
      <c r="V203" s="386"/>
      <c r="W203" s="386"/>
      <c r="X203" s="386"/>
      <c r="Y203" s="386"/>
      <c r="Z203" s="386"/>
      <c r="AA203" s="386"/>
      <c r="AB203" s="386"/>
      <c r="AC203" s="386"/>
      <c r="AD203" s="386"/>
      <c r="AE203" s="386"/>
      <c r="AF203" s="386"/>
      <c r="AG203" s="386"/>
      <c r="AH203" s="386"/>
      <c r="AI203" s="386"/>
      <c r="AJ203" s="386"/>
      <c r="AK203" s="386"/>
      <c r="AL203" s="386"/>
      <c r="AM203" s="386"/>
      <c r="AN203" s="386"/>
      <c r="AO203" s="386"/>
      <c r="AP203" s="386"/>
      <c r="AQ203" s="386"/>
      <c r="AR203" s="386"/>
      <c r="AS203" s="386"/>
      <c r="AT203" s="386"/>
      <c r="AU203" s="386"/>
      <c r="AV203" s="386"/>
      <c r="AW203" s="386"/>
      <c r="AX203" s="386"/>
      <c r="AY203" s="386"/>
      <c r="AZ203" s="386"/>
      <c r="BA203" s="386"/>
      <c r="BB203" s="386"/>
      <c r="BC203" s="386"/>
      <c r="BD203" s="386"/>
      <c r="BE203" s="386"/>
      <c r="BF203" s="386"/>
      <c r="BG203" s="386"/>
      <c r="BH203" s="387"/>
      <c r="BI203" s="367"/>
      <c r="BJ203" s="87"/>
      <c r="BK203" s="86"/>
      <c r="BL203" s="85"/>
      <c r="BM203" s="84"/>
      <c r="BN203" s="84"/>
    </row>
    <row r="204" spans="1:66" s="88" customFormat="1" x14ac:dyDescent="1.4">
      <c r="A204" s="393"/>
      <c r="B204" s="92"/>
      <c r="C204" s="91"/>
      <c r="D204" s="90"/>
      <c r="E204" s="93"/>
      <c r="F204" s="385"/>
      <c r="G204" s="386"/>
      <c r="H204" s="386"/>
      <c r="I204" s="386"/>
      <c r="J204" s="386"/>
      <c r="K204" s="386"/>
      <c r="L204" s="386"/>
      <c r="M204" s="386"/>
      <c r="N204" s="386"/>
      <c r="O204" s="386"/>
      <c r="P204" s="386"/>
      <c r="Q204" s="386"/>
      <c r="R204" s="386"/>
      <c r="S204" s="386"/>
      <c r="T204" s="386"/>
      <c r="U204" s="386"/>
      <c r="V204" s="386"/>
      <c r="W204" s="386"/>
      <c r="X204" s="386"/>
      <c r="Y204" s="386"/>
      <c r="Z204" s="386"/>
      <c r="AA204" s="386"/>
      <c r="AB204" s="386"/>
      <c r="AC204" s="386"/>
      <c r="AD204" s="386"/>
      <c r="AE204" s="386"/>
      <c r="AF204" s="386"/>
      <c r="AG204" s="386"/>
      <c r="AH204" s="386"/>
      <c r="AI204" s="386"/>
      <c r="AJ204" s="386"/>
      <c r="AK204" s="386"/>
      <c r="AL204" s="386"/>
      <c r="AM204" s="386"/>
      <c r="AN204" s="386"/>
      <c r="AO204" s="386"/>
      <c r="AP204" s="386"/>
      <c r="AQ204" s="386"/>
      <c r="AR204" s="386"/>
      <c r="AS204" s="386"/>
      <c r="AT204" s="386"/>
      <c r="AU204" s="386"/>
      <c r="AV204" s="386"/>
      <c r="AW204" s="386"/>
      <c r="AX204" s="386"/>
      <c r="AY204" s="386"/>
      <c r="AZ204" s="386"/>
      <c r="BA204" s="386"/>
      <c r="BB204" s="386"/>
      <c r="BC204" s="386"/>
      <c r="BD204" s="386"/>
      <c r="BE204" s="386"/>
      <c r="BF204" s="386"/>
      <c r="BG204" s="386"/>
      <c r="BH204" s="387"/>
      <c r="BI204" s="367"/>
      <c r="BJ204" s="87"/>
      <c r="BK204" s="86"/>
      <c r="BL204" s="85"/>
      <c r="BM204" s="84"/>
      <c r="BN204" s="84"/>
    </row>
    <row r="205" spans="1:66" s="88" customFormat="1" x14ac:dyDescent="1.4">
      <c r="A205" s="393"/>
      <c r="B205" s="92"/>
      <c r="C205" s="91"/>
      <c r="D205" s="90"/>
      <c r="E205" s="93"/>
      <c r="F205" s="385"/>
      <c r="G205" s="386"/>
      <c r="H205" s="386"/>
      <c r="I205" s="386"/>
      <c r="J205" s="386"/>
      <c r="K205" s="386"/>
      <c r="L205" s="386"/>
      <c r="M205" s="386"/>
      <c r="N205" s="386"/>
      <c r="O205" s="386"/>
      <c r="P205" s="386"/>
      <c r="Q205" s="386"/>
      <c r="R205" s="386"/>
      <c r="S205" s="386"/>
      <c r="T205" s="386"/>
      <c r="U205" s="386"/>
      <c r="V205" s="386"/>
      <c r="W205" s="386"/>
      <c r="X205" s="386"/>
      <c r="Y205" s="386"/>
      <c r="Z205" s="386"/>
      <c r="AA205" s="386"/>
      <c r="AB205" s="386"/>
      <c r="AC205" s="386"/>
      <c r="AD205" s="386"/>
      <c r="AE205" s="386"/>
      <c r="AF205" s="386"/>
      <c r="AG205" s="386"/>
      <c r="AH205" s="386"/>
      <c r="AI205" s="386"/>
      <c r="AJ205" s="386"/>
      <c r="AK205" s="386"/>
      <c r="AL205" s="386"/>
      <c r="AM205" s="386"/>
      <c r="AN205" s="386"/>
      <c r="AO205" s="386"/>
      <c r="AP205" s="386"/>
      <c r="AQ205" s="386"/>
      <c r="AR205" s="386"/>
      <c r="AS205" s="386"/>
      <c r="AT205" s="386"/>
      <c r="AU205" s="386"/>
      <c r="AV205" s="386"/>
      <c r="AW205" s="386"/>
      <c r="AX205" s="386"/>
      <c r="AY205" s="386"/>
      <c r="AZ205" s="386"/>
      <c r="BA205" s="386"/>
      <c r="BB205" s="386"/>
      <c r="BC205" s="386"/>
      <c r="BD205" s="386"/>
      <c r="BE205" s="386"/>
      <c r="BF205" s="386"/>
      <c r="BG205" s="386"/>
      <c r="BH205" s="387"/>
      <c r="BI205" s="367"/>
      <c r="BJ205" s="87"/>
      <c r="BK205" s="86"/>
      <c r="BL205" s="85"/>
      <c r="BM205" s="84"/>
      <c r="BN205" s="84"/>
    </row>
    <row r="206" spans="1:66" s="88" customFormat="1" x14ac:dyDescent="1.4">
      <c r="A206" s="393"/>
      <c r="B206" s="92"/>
      <c r="C206" s="91"/>
      <c r="D206" s="90"/>
      <c r="E206" s="93"/>
      <c r="F206" s="385"/>
      <c r="G206" s="386"/>
      <c r="H206" s="386"/>
      <c r="I206" s="386"/>
      <c r="J206" s="386"/>
      <c r="K206" s="386"/>
      <c r="L206" s="386"/>
      <c r="M206" s="386"/>
      <c r="N206" s="386"/>
      <c r="O206" s="386"/>
      <c r="P206" s="386"/>
      <c r="Q206" s="386"/>
      <c r="R206" s="386"/>
      <c r="S206" s="386"/>
      <c r="T206" s="386"/>
      <c r="U206" s="386"/>
      <c r="V206" s="386"/>
      <c r="W206" s="386"/>
      <c r="X206" s="386"/>
      <c r="Y206" s="386"/>
      <c r="Z206" s="386"/>
      <c r="AA206" s="386"/>
      <c r="AB206" s="386"/>
      <c r="AC206" s="386"/>
      <c r="AD206" s="386"/>
      <c r="AE206" s="386"/>
      <c r="AF206" s="386"/>
      <c r="AG206" s="386"/>
      <c r="AH206" s="386"/>
      <c r="AI206" s="386"/>
      <c r="AJ206" s="386"/>
      <c r="AK206" s="386"/>
      <c r="AL206" s="386"/>
      <c r="AM206" s="386"/>
      <c r="AN206" s="386"/>
      <c r="AO206" s="386"/>
      <c r="AP206" s="386"/>
      <c r="AQ206" s="386"/>
      <c r="AR206" s="386"/>
      <c r="AS206" s="386"/>
      <c r="AT206" s="386"/>
      <c r="AU206" s="386"/>
      <c r="AV206" s="386"/>
      <c r="AW206" s="386"/>
      <c r="AX206" s="386"/>
      <c r="AY206" s="386"/>
      <c r="AZ206" s="386"/>
      <c r="BA206" s="386"/>
      <c r="BB206" s="386"/>
      <c r="BC206" s="386"/>
      <c r="BD206" s="386"/>
      <c r="BE206" s="386"/>
      <c r="BF206" s="386"/>
      <c r="BG206" s="386"/>
      <c r="BH206" s="387"/>
      <c r="BI206" s="367"/>
      <c r="BJ206" s="87"/>
      <c r="BK206" s="86"/>
      <c r="BL206" s="85"/>
      <c r="BM206" s="84"/>
      <c r="BN206" s="84"/>
    </row>
    <row r="207" spans="1:66" s="88" customFormat="1" x14ac:dyDescent="1.4">
      <c r="A207" s="393"/>
      <c r="B207" s="92"/>
      <c r="C207" s="91"/>
      <c r="D207" s="90"/>
      <c r="E207" s="93"/>
      <c r="F207" s="385"/>
      <c r="G207" s="386"/>
      <c r="H207" s="386"/>
      <c r="I207" s="386"/>
      <c r="J207" s="386"/>
      <c r="K207" s="386"/>
      <c r="L207" s="386"/>
      <c r="M207" s="386"/>
      <c r="N207" s="386"/>
      <c r="O207" s="386"/>
      <c r="P207" s="386"/>
      <c r="Q207" s="386"/>
      <c r="R207" s="386"/>
      <c r="S207" s="386"/>
      <c r="T207" s="386"/>
      <c r="U207" s="386"/>
      <c r="V207" s="386"/>
      <c r="W207" s="386"/>
      <c r="X207" s="386"/>
      <c r="Y207" s="386"/>
      <c r="Z207" s="386"/>
      <c r="AA207" s="386"/>
      <c r="AB207" s="386"/>
      <c r="AC207" s="386"/>
      <c r="AD207" s="386"/>
      <c r="AE207" s="386"/>
      <c r="AF207" s="386"/>
      <c r="AG207" s="386"/>
      <c r="AH207" s="386"/>
      <c r="AI207" s="386"/>
      <c r="AJ207" s="386"/>
      <c r="AK207" s="386"/>
      <c r="AL207" s="386"/>
      <c r="AM207" s="386"/>
      <c r="AN207" s="386"/>
      <c r="AO207" s="386"/>
      <c r="AP207" s="386"/>
      <c r="AQ207" s="386"/>
      <c r="AR207" s="386"/>
      <c r="AS207" s="386"/>
      <c r="AT207" s="386"/>
      <c r="AU207" s="386"/>
      <c r="AV207" s="386"/>
      <c r="AW207" s="386"/>
      <c r="AX207" s="386"/>
      <c r="AY207" s="386"/>
      <c r="AZ207" s="386"/>
      <c r="BA207" s="386"/>
      <c r="BB207" s="386"/>
      <c r="BC207" s="386"/>
      <c r="BD207" s="386"/>
      <c r="BE207" s="386"/>
      <c r="BF207" s="386"/>
      <c r="BG207" s="386"/>
      <c r="BH207" s="387"/>
      <c r="BI207" s="367"/>
      <c r="BJ207" s="87"/>
      <c r="BK207" s="86"/>
      <c r="BL207" s="85"/>
      <c r="BM207" s="84"/>
      <c r="BN207" s="84"/>
    </row>
    <row r="208" spans="1:66" s="88" customFormat="1" x14ac:dyDescent="1.4">
      <c r="A208" s="393"/>
      <c r="B208" s="92"/>
      <c r="C208" s="91"/>
      <c r="D208" s="90"/>
      <c r="E208" s="93"/>
      <c r="F208" s="385"/>
      <c r="G208" s="386"/>
      <c r="H208" s="386"/>
      <c r="I208" s="386"/>
      <c r="J208" s="386"/>
      <c r="K208" s="386"/>
      <c r="L208" s="386"/>
      <c r="M208" s="386"/>
      <c r="N208" s="386"/>
      <c r="O208" s="386"/>
      <c r="P208" s="386"/>
      <c r="Q208" s="386"/>
      <c r="R208" s="386"/>
      <c r="S208" s="386"/>
      <c r="T208" s="386"/>
      <c r="U208" s="386"/>
      <c r="V208" s="386"/>
      <c r="W208" s="386"/>
      <c r="X208" s="386"/>
      <c r="Y208" s="386"/>
      <c r="Z208" s="386"/>
      <c r="AA208" s="386"/>
      <c r="AB208" s="386"/>
      <c r="AC208" s="386"/>
      <c r="AD208" s="386"/>
      <c r="AE208" s="386"/>
      <c r="AF208" s="386"/>
      <c r="AG208" s="386"/>
      <c r="AH208" s="386"/>
      <c r="AI208" s="386"/>
      <c r="AJ208" s="386"/>
      <c r="AK208" s="386"/>
      <c r="AL208" s="386"/>
      <c r="AM208" s="386"/>
      <c r="AN208" s="386"/>
      <c r="AO208" s="386"/>
      <c r="AP208" s="386"/>
      <c r="AQ208" s="386"/>
      <c r="AR208" s="386"/>
      <c r="AS208" s="386"/>
      <c r="AT208" s="386"/>
      <c r="AU208" s="386"/>
      <c r="AV208" s="386"/>
      <c r="AW208" s="386"/>
      <c r="AX208" s="386"/>
      <c r="AY208" s="386"/>
      <c r="AZ208" s="386"/>
      <c r="BA208" s="386"/>
      <c r="BB208" s="386"/>
      <c r="BC208" s="386"/>
      <c r="BD208" s="386"/>
      <c r="BE208" s="386"/>
      <c r="BF208" s="386"/>
      <c r="BG208" s="386"/>
      <c r="BH208" s="387"/>
      <c r="BI208" s="367"/>
      <c r="BJ208" s="87"/>
      <c r="BK208" s="86"/>
      <c r="BL208" s="85"/>
      <c r="BM208" s="84"/>
      <c r="BN208" s="84"/>
    </row>
    <row r="209" spans="1:66" s="88" customFormat="1" x14ac:dyDescent="1.4">
      <c r="A209" s="393"/>
      <c r="B209" s="92"/>
      <c r="C209" s="91"/>
      <c r="D209" s="90"/>
      <c r="E209" s="93"/>
      <c r="F209" s="385"/>
      <c r="G209" s="386"/>
      <c r="H209" s="386"/>
      <c r="I209" s="386"/>
      <c r="J209" s="386"/>
      <c r="K209" s="386"/>
      <c r="L209" s="386"/>
      <c r="M209" s="386"/>
      <c r="N209" s="386"/>
      <c r="O209" s="386"/>
      <c r="P209" s="386"/>
      <c r="Q209" s="386"/>
      <c r="R209" s="386"/>
      <c r="S209" s="386"/>
      <c r="T209" s="386"/>
      <c r="U209" s="386"/>
      <c r="V209" s="386"/>
      <c r="W209" s="386"/>
      <c r="X209" s="386"/>
      <c r="Y209" s="386"/>
      <c r="Z209" s="386"/>
      <c r="AA209" s="386"/>
      <c r="AB209" s="386"/>
      <c r="AC209" s="386"/>
      <c r="AD209" s="386"/>
      <c r="AE209" s="386"/>
      <c r="AF209" s="386"/>
      <c r="AG209" s="386"/>
      <c r="AH209" s="386"/>
      <c r="AI209" s="386"/>
      <c r="AJ209" s="386"/>
      <c r="AK209" s="386"/>
      <c r="AL209" s="386"/>
      <c r="AM209" s="386"/>
      <c r="AN209" s="386"/>
      <c r="AO209" s="386"/>
      <c r="AP209" s="386"/>
      <c r="AQ209" s="386"/>
      <c r="AR209" s="386"/>
      <c r="AS209" s="386"/>
      <c r="AT209" s="386"/>
      <c r="AU209" s="386"/>
      <c r="AV209" s="386"/>
      <c r="AW209" s="386"/>
      <c r="AX209" s="386"/>
      <c r="AY209" s="386"/>
      <c r="AZ209" s="386"/>
      <c r="BA209" s="386"/>
      <c r="BB209" s="386"/>
      <c r="BC209" s="386"/>
      <c r="BD209" s="386"/>
      <c r="BE209" s="386"/>
      <c r="BF209" s="386"/>
      <c r="BG209" s="386"/>
      <c r="BH209" s="387"/>
      <c r="BI209" s="367"/>
      <c r="BJ209" s="87"/>
      <c r="BK209" s="86"/>
      <c r="BL209" s="85"/>
      <c r="BM209" s="84"/>
      <c r="BN209" s="84"/>
    </row>
    <row r="210" spans="1:66" s="88" customFormat="1" x14ac:dyDescent="1.4">
      <c r="A210" s="393"/>
      <c r="B210" s="92"/>
      <c r="C210" s="91"/>
      <c r="D210" s="90"/>
      <c r="E210" s="93"/>
      <c r="F210" s="385"/>
      <c r="G210" s="386"/>
      <c r="H210" s="386"/>
      <c r="I210" s="386"/>
      <c r="J210" s="386"/>
      <c r="K210" s="386"/>
      <c r="L210" s="386"/>
      <c r="M210" s="386"/>
      <c r="N210" s="386"/>
      <c r="O210" s="386"/>
      <c r="P210" s="386"/>
      <c r="Q210" s="386"/>
      <c r="R210" s="386"/>
      <c r="S210" s="386"/>
      <c r="T210" s="386"/>
      <c r="U210" s="386"/>
      <c r="V210" s="386"/>
      <c r="W210" s="386"/>
      <c r="X210" s="386"/>
      <c r="Y210" s="386"/>
      <c r="Z210" s="386"/>
      <c r="AA210" s="386"/>
      <c r="AB210" s="386"/>
      <c r="AC210" s="386"/>
      <c r="AD210" s="386"/>
      <c r="AE210" s="386"/>
      <c r="AF210" s="386"/>
      <c r="AG210" s="386"/>
      <c r="AH210" s="386"/>
      <c r="AI210" s="386"/>
      <c r="AJ210" s="386"/>
      <c r="AK210" s="386"/>
      <c r="AL210" s="386"/>
      <c r="AM210" s="386"/>
      <c r="AN210" s="386"/>
      <c r="AO210" s="386"/>
      <c r="AP210" s="386"/>
      <c r="AQ210" s="386"/>
      <c r="AR210" s="386"/>
      <c r="AS210" s="386"/>
      <c r="AT210" s="386"/>
      <c r="AU210" s="386"/>
      <c r="AV210" s="386"/>
      <c r="AW210" s="386"/>
      <c r="AX210" s="386"/>
      <c r="AY210" s="386"/>
      <c r="AZ210" s="386"/>
      <c r="BA210" s="386"/>
      <c r="BB210" s="386"/>
      <c r="BC210" s="386"/>
      <c r="BD210" s="386"/>
      <c r="BE210" s="386"/>
      <c r="BF210" s="386"/>
      <c r="BG210" s="386"/>
      <c r="BH210" s="387"/>
      <c r="BI210" s="367"/>
      <c r="BJ210" s="87"/>
      <c r="BK210" s="86"/>
      <c r="BL210" s="85"/>
      <c r="BM210" s="84"/>
      <c r="BN210" s="84"/>
    </row>
    <row r="211" spans="1:66" s="88" customFormat="1" x14ac:dyDescent="1.4">
      <c r="A211" s="393"/>
      <c r="B211" s="92"/>
      <c r="C211" s="91"/>
      <c r="D211" s="90"/>
      <c r="E211" s="93"/>
      <c r="F211" s="385"/>
      <c r="G211" s="386"/>
      <c r="H211" s="386"/>
      <c r="I211" s="386"/>
      <c r="J211" s="386"/>
      <c r="K211" s="386"/>
      <c r="L211" s="386"/>
      <c r="M211" s="386"/>
      <c r="N211" s="386"/>
      <c r="O211" s="386"/>
      <c r="P211" s="386"/>
      <c r="Q211" s="386"/>
      <c r="R211" s="386"/>
      <c r="S211" s="386"/>
      <c r="T211" s="386"/>
      <c r="U211" s="386"/>
      <c r="V211" s="386"/>
      <c r="W211" s="386"/>
      <c r="X211" s="386"/>
      <c r="Y211" s="386"/>
      <c r="Z211" s="386"/>
      <c r="AA211" s="386"/>
      <c r="AB211" s="386"/>
      <c r="AC211" s="386"/>
      <c r="AD211" s="386"/>
      <c r="AE211" s="386"/>
      <c r="AF211" s="386"/>
      <c r="AG211" s="386"/>
      <c r="AH211" s="386"/>
      <c r="AI211" s="386"/>
      <c r="AJ211" s="386"/>
      <c r="AK211" s="386"/>
      <c r="AL211" s="386"/>
      <c r="AM211" s="386"/>
      <c r="AN211" s="386"/>
      <c r="AO211" s="386"/>
      <c r="AP211" s="386"/>
      <c r="AQ211" s="386"/>
      <c r="AR211" s="386"/>
      <c r="AS211" s="386"/>
      <c r="AT211" s="386"/>
      <c r="AU211" s="386"/>
      <c r="AV211" s="386"/>
      <c r="AW211" s="386"/>
      <c r="AX211" s="386"/>
      <c r="AY211" s="386"/>
      <c r="AZ211" s="386"/>
      <c r="BA211" s="386"/>
      <c r="BB211" s="386"/>
      <c r="BC211" s="386"/>
      <c r="BD211" s="386"/>
      <c r="BE211" s="386"/>
      <c r="BF211" s="386"/>
      <c r="BG211" s="386"/>
      <c r="BH211" s="387"/>
      <c r="BI211" s="367"/>
      <c r="BJ211" s="87"/>
      <c r="BK211" s="86"/>
      <c r="BL211" s="85"/>
      <c r="BM211" s="84"/>
      <c r="BN211" s="84"/>
    </row>
    <row r="212" spans="1:66" s="88" customFormat="1" x14ac:dyDescent="1.4">
      <c r="A212" s="393"/>
      <c r="B212" s="92"/>
      <c r="C212" s="91"/>
      <c r="D212" s="90"/>
      <c r="E212" s="93"/>
      <c r="F212" s="385"/>
      <c r="G212" s="386"/>
      <c r="H212" s="386"/>
      <c r="I212" s="386"/>
      <c r="J212" s="386"/>
      <c r="K212" s="386"/>
      <c r="L212" s="386"/>
      <c r="M212" s="386"/>
      <c r="N212" s="386"/>
      <c r="O212" s="386"/>
      <c r="P212" s="386"/>
      <c r="Q212" s="386"/>
      <c r="R212" s="386"/>
      <c r="S212" s="386"/>
      <c r="T212" s="386"/>
      <c r="U212" s="386"/>
      <c r="V212" s="386"/>
      <c r="W212" s="386"/>
      <c r="X212" s="386"/>
      <c r="Y212" s="386"/>
      <c r="Z212" s="386"/>
      <c r="AA212" s="386"/>
      <c r="AB212" s="386"/>
      <c r="AC212" s="386"/>
      <c r="AD212" s="386"/>
      <c r="AE212" s="386"/>
      <c r="AF212" s="386"/>
      <c r="AG212" s="386"/>
      <c r="AH212" s="386"/>
      <c r="AI212" s="386"/>
      <c r="AJ212" s="386"/>
      <c r="AK212" s="386"/>
      <c r="AL212" s="386"/>
      <c r="AM212" s="386"/>
      <c r="AN212" s="386"/>
      <c r="AO212" s="386"/>
      <c r="AP212" s="386"/>
      <c r="AQ212" s="386"/>
      <c r="AR212" s="386"/>
      <c r="AS212" s="386"/>
      <c r="AT212" s="386"/>
      <c r="AU212" s="386"/>
      <c r="AV212" s="386"/>
      <c r="AW212" s="386"/>
      <c r="AX212" s="386"/>
      <c r="AY212" s="386"/>
      <c r="AZ212" s="386"/>
      <c r="BA212" s="386"/>
      <c r="BB212" s="386"/>
      <c r="BC212" s="386"/>
      <c r="BD212" s="386"/>
      <c r="BE212" s="386"/>
      <c r="BF212" s="386"/>
      <c r="BG212" s="386"/>
      <c r="BH212" s="387"/>
      <c r="BI212" s="367"/>
      <c r="BJ212" s="87"/>
      <c r="BK212" s="86"/>
      <c r="BL212" s="85"/>
      <c r="BM212" s="84"/>
      <c r="BN212" s="84"/>
    </row>
    <row r="213" spans="1:66" s="88" customFormat="1" x14ac:dyDescent="1.4">
      <c r="A213" s="393"/>
      <c r="B213" s="92"/>
      <c r="C213" s="91"/>
      <c r="D213" s="90"/>
      <c r="E213" s="93"/>
      <c r="F213" s="385"/>
      <c r="G213" s="386"/>
      <c r="H213" s="386"/>
      <c r="I213" s="386"/>
      <c r="J213" s="386"/>
      <c r="K213" s="386"/>
      <c r="L213" s="386"/>
      <c r="M213" s="386"/>
      <c r="N213" s="386"/>
      <c r="O213" s="386"/>
      <c r="P213" s="386"/>
      <c r="Q213" s="386"/>
      <c r="R213" s="386"/>
      <c r="S213" s="386"/>
      <c r="T213" s="386"/>
      <c r="U213" s="386"/>
      <c r="V213" s="386"/>
      <c r="W213" s="386"/>
      <c r="X213" s="386"/>
      <c r="Y213" s="386"/>
      <c r="Z213" s="386"/>
      <c r="AA213" s="386"/>
      <c r="AB213" s="386"/>
      <c r="AC213" s="386"/>
      <c r="AD213" s="386"/>
      <c r="AE213" s="386"/>
      <c r="AF213" s="386"/>
      <c r="AG213" s="386"/>
      <c r="AH213" s="386"/>
      <c r="AI213" s="386"/>
      <c r="AJ213" s="386"/>
      <c r="AK213" s="386"/>
      <c r="AL213" s="386"/>
      <c r="AM213" s="386"/>
      <c r="AN213" s="386"/>
      <c r="AO213" s="386"/>
      <c r="AP213" s="386"/>
      <c r="AQ213" s="386"/>
      <c r="AR213" s="386"/>
      <c r="AS213" s="386"/>
      <c r="AT213" s="386"/>
      <c r="AU213" s="386"/>
      <c r="AV213" s="386"/>
      <c r="AW213" s="386"/>
      <c r="AX213" s="386"/>
      <c r="AY213" s="386"/>
      <c r="AZ213" s="386"/>
      <c r="BA213" s="386"/>
      <c r="BB213" s="386"/>
      <c r="BC213" s="386"/>
      <c r="BD213" s="386"/>
      <c r="BE213" s="386"/>
      <c r="BF213" s="386"/>
      <c r="BG213" s="386"/>
      <c r="BH213" s="387"/>
      <c r="BI213" s="367"/>
      <c r="BJ213" s="87"/>
      <c r="BK213" s="86"/>
      <c r="BL213" s="85"/>
      <c r="BM213" s="84"/>
      <c r="BN213" s="84"/>
    </row>
    <row r="214" spans="1:66" s="88" customFormat="1" x14ac:dyDescent="1.4">
      <c r="A214" s="393"/>
      <c r="B214" s="92"/>
      <c r="C214" s="91"/>
      <c r="D214" s="90"/>
      <c r="E214" s="93"/>
      <c r="F214" s="385"/>
      <c r="G214" s="386"/>
      <c r="H214" s="386"/>
      <c r="I214" s="386"/>
      <c r="J214" s="386"/>
      <c r="K214" s="386"/>
      <c r="L214" s="386"/>
      <c r="M214" s="386"/>
      <c r="N214" s="386"/>
      <c r="O214" s="386"/>
      <c r="P214" s="386"/>
      <c r="Q214" s="386"/>
      <c r="R214" s="386"/>
      <c r="S214" s="386"/>
      <c r="T214" s="386"/>
      <c r="U214" s="386"/>
      <c r="V214" s="386"/>
      <c r="W214" s="386"/>
      <c r="X214" s="386"/>
      <c r="Y214" s="386"/>
      <c r="Z214" s="386"/>
      <c r="AA214" s="386"/>
      <c r="AB214" s="386"/>
      <c r="AC214" s="386"/>
      <c r="AD214" s="386"/>
      <c r="AE214" s="386"/>
      <c r="AF214" s="386"/>
      <c r="AG214" s="386"/>
      <c r="AH214" s="386"/>
      <c r="AI214" s="386"/>
      <c r="AJ214" s="386"/>
      <c r="AK214" s="386"/>
      <c r="AL214" s="386"/>
      <c r="AM214" s="386"/>
      <c r="AN214" s="386"/>
      <c r="AO214" s="386"/>
      <c r="AP214" s="386"/>
      <c r="AQ214" s="386"/>
      <c r="AR214" s="386"/>
      <c r="AS214" s="386"/>
      <c r="AT214" s="386"/>
      <c r="AU214" s="386"/>
      <c r="AV214" s="386"/>
      <c r="AW214" s="386"/>
      <c r="AX214" s="386"/>
      <c r="AY214" s="386"/>
      <c r="AZ214" s="386"/>
      <c r="BA214" s="386"/>
      <c r="BB214" s="386"/>
      <c r="BC214" s="386"/>
      <c r="BD214" s="386"/>
      <c r="BE214" s="386"/>
      <c r="BF214" s="386"/>
      <c r="BG214" s="386"/>
      <c r="BH214" s="387"/>
      <c r="BI214" s="367"/>
      <c r="BJ214" s="87"/>
      <c r="BK214" s="86"/>
      <c r="BL214" s="85"/>
      <c r="BM214" s="84"/>
      <c r="BN214" s="84"/>
    </row>
    <row r="215" spans="1:66" s="88" customFormat="1" x14ac:dyDescent="1.4">
      <c r="A215" s="393"/>
      <c r="B215" s="92"/>
      <c r="C215" s="91"/>
      <c r="D215" s="90"/>
      <c r="E215" s="93"/>
      <c r="F215" s="385"/>
      <c r="G215" s="386"/>
      <c r="H215" s="386"/>
      <c r="I215" s="386"/>
      <c r="J215" s="386"/>
      <c r="K215" s="386"/>
      <c r="L215" s="386"/>
      <c r="M215" s="386"/>
      <c r="N215" s="386"/>
      <c r="O215" s="386"/>
      <c r="P215" s="386"/>
      <c r="Q215" s="386"/>
      <c r="R215" s="386"/>
      <c r="S215" s="386"/>
      <c r="T215" s="386"/>
      <c r="U215" s="386"/>
      <c r="V215" s="386"/>
      <c r="W215" s="386"/>
      <c r="X215" s="386"/>
      <c r="Y215" s="386"/>
      <c r="Z215" s="386"/>
      <c r="AA215" s="386"/>
      <c r="AB215" s="386"/>
      <c r="AC215" s="386"/>
      <c r="AD215" s="386"/>
      <c r="AE215" s="386"/>
      <c r="AF215" s="386"/>
      <c r="AG215" s="386"/>
      <c r="AH215" s="386"/>
      <c r="AI215" s="386"/>
      <c r="AJ215" s="386"/>
      <c r="AK215" s="386"/>
      <c r="AL215" s="386"/>
      <c r="AM215" s="386"/>
      <c r="AN215" s="386"/>
      <c r="AO215" s="386"/>
      <c r="AP215" s="386"/>
      <c r="AQ215" s="386"/>
      <c r="AR215" s="386"/>
      <c r="AS215" s="386"/>
      <c r="AT215" s="386"/>
      <c r="AU215" s="386"/>
      <c r="AV215" s="386"/>
      <c r="AW215" s="386"/>
      <c r="AX215" s="386"/>
      <c r="AY215" s="386"/>
      <c r="AZ215" s="386"/>
      <c r="BA215" s="386"/>
      <c r="BB215" s="386"/>
      <c r="BC215" s="386"/>
      <c r="BD215" s="386"/>
      <c r="BE215" s="386"/>
      <c r="BF215" s="386"/>
      <c r="BG215" s="386"/>
      <c r="BH215" s="387"/>
      <c r="BI215" s="367"/>
      <c r="BJ215" s="87"/>
      <c r="BK215" s="86"/>
      <c r="BL215" s="85"/>
      <c r="BM215" s="84"/>
      <c r="BN215" s="84"/>
    </row>
    <row r="216" spans="1:66" s="88" customFormat="1" x14ac:dyDescent="1.4">
      <c r="A216" s="393"/>
      <c r="B216" s="92"/>
      <c r="C216" s="91"/>
      <c r="D216" s="90"/>
      <c r="E216" s="93"/>
      <c r="F216" s="385"/>
      <c r="G216" s="386"/>
      <c r="H216" s="386"/>
      <c r="I216" s="386"/>
      <c r="J216" s="386"/>
      <c r="K216" s="386"/>
      <c r="L216" s="386"/>
      <c r="M216" s="386"/>
      <c r="N216" s="386"/>
      <c r="O216" s="386"/>
      <c r="P216" s="386"/>
      <c r="Q216" s="386"/>
      <c r="R216" s="386"/>
      <c r="S216" s="386"/>
      <c r="T216" s="386"/>
      <c r="U216" s="386"/>
      <c r="V216" s="386"/>
      <c r="W216" s="386"/>
      <c r="X216" s="386"/>
      <c r="Y216" s="386"/>
      <c r="Z216" s="386"/>
      <c r="AA216" s="386"/>
      <c r="AB216" s="386"/>
      <c r="AC216" s="386"/>
      <c r="AD216" s="386"/>
      <c r="AE216" s="386"/>
      <c r="AF216" s="386"/>
      <c r="AG216" s="386"/>
      <c r="AH216" s="386"/>
      <c r="AI216" s="386"/>
      <c r="AJ216" s="386"/>
      <c r="AK216" s="386"/>
      <c r="AL216" s="386"/>
      <c r="AM216" s="386"/>
      <c r="AN216" s="386"/>
      <c r="AO216" s="386"/>
      <c r="AP216" s="386"/>
      <c r="AQ216" s="386"/>
      <c r="AR216" s="386"/>
      <c r="AS216" s="386"/>
      <c r="AT216" s="386"/>
      <c r="AU216" s="386"/>
      <c r="AV216" s="386"/>
      <c r="AW216" s="386"/>
      <c r="AX216" s="386"/>
      <c r="AY216" s="386"/>
      <c r="AZ216" s="386"/>
      <c r="BA216" s="386"/>
      <c r="BB216" s="386"/>
      <c r="BC216" s="386"/>
      <c r="BD216" s="386"/>
      <c r="BE216" s="386"/>
      <c r="BF216" s="386"/>
      <c r="BG216" s="386"/>
      <c r="BH216" s="387"/>
      <c r="BI216" s="367"/>
      <c r="BJ216" s="87"/>
      <c r="BK216" s="86"/>
      <c r="BL216" s="85"/>
      <c r="BM216" s="84"/>
      <c r="BN216" s="84"/>
    </row>
    <row r="217" spans="1:66" s="88" customFormat="1" x14ac:dyDescent="1.4">
      <c r="A217" s="393"/>
      <c r="B217" s="92"/>
      <c r="C217" s="91"/>
      <c r="D217" s="90"/>
      <c r="E217" s="93"/>
      <c r="F217" s="385"/>
      <c r="G217" s="386"/>
      <c r="H217" s="386"/>
      <c r="I217" s="386"/>
      <c r="J217" s="386"/>
      <c r="K217" s="386"/>
      <c r="L217" s="386"/>
      <c r="M217" s="386"/>
      <c r="N217" s="386"/>
      <c r="O217" s="386"/>
      <c r="P217" s="386"/>
      <c r="Q217" s="386"/>
      <c r="R217" s="386"/>
      <c r="S217" s="386"/>
      <c r="T217" s="386"/>
      <c r="U217" s="386"/>
      <c r="V217" s="386"/>
      <c r="W217" s="386"/>
      <c r="X217" s="386"/>
      <c r="Y217" s="386"/>
      <c r="Z217" s="386"/>
      <c r="AA217" s="386"/>
      <c r="AB217" s="386"/>
      <c r="AC217" s="386"/>
      <c r="AD217" s="386"/>
      <c r="AE217" s="386"/>
      <c r="AF217" s="386"/>
      <c r="AG217" s="386"/>
      <c r="AH217" s="386"/>
      <c r="AI217" s="386"/>
      <c r="AJ217" s="386"/>
      <c r="AK217" s="386"/>
      <c r="AL217" s="386"/>
      <c r="AM217" s="386"/>
      <c r="AN217" s="386"/>
      <c r="AO217" s="386"/>
      <c r="AP217" s="386"/>
      <c r="AQ217" s="386"/>
      <c r="AR217" s="386"/>
      <c r="AS217" s="386"/>
      <c r="AT217" s="386"/>
      <c r="AU217" s="386"/>
      <c r="AV217" s="386"/>
      <c r="AW217" s="386"/>
      <c r="AX217" s="386"/>
      <c r="AY217" s="386"/>
      <c r="AZ217" s="386"/>
      <c r="BA217" s="386"/>
      <c r="BB217" s="386"/>
      <c r="BC217" s="386"/>
      <c r="BD217" s="386"/>
      <c r="BE217" s="386"/>
      <c r="BF217" s="386"/>
      <c r="BG217" s="386"/>
      <c r="BH217" s="387"/>
      <c r="BI217" s="367"/>
      <c r="BJ217" s="87"/>
      <c r="BK217" s="86"/>
      <c r="BL217" s="85"/>
      <c r="BM217" s="84"/>
      <c r="BN217" s="84"/>
    </row>
    <row r="218" spans="1:66" s="88" customFormat="1" x14ac:dyDescent="1.4">
      <c r="A218" s="393"/>
      <c r="B218" s="92"/>
      <c r="C218" s="91"/>
      <c r="D218" s="90"/>
      <c r="E218" s="93"/>
      <c r="F218" s="385"/>
      <c r="G218" s="386"/>
      <c r="H218" s="386"/>
      <c r="I218" s="386"/>
      <c r="J218" s="386"/>
      <c r="K218" s="386"/>
      <c r="L218" s="386"/>
      <c r="M218" s="386"/>
      <c r="N218" s="386"/>
      <c r="O218" s="386"/>
      <c r="P218" s="386"/>
      <c r="Q218" s="386"/>
      <c r="R218" s="386"/>
      <c r="S218" s="386"/>
      <c r="T218" s="386"/>
      <c r="U218" s="386"/>
      <c r="V218" s="386"/>
      <c r="W218" s="386"/>
      <c r="X218" s="386"/>
      <c r="Y218" s="386"/>
      <c r="Z218" s="386"/>
      <c r="AA218" s="386"/>
      <c r="AB218" s="386"/>
      <c r="AC218" s="386"/>
      <c r="AD218" s="386"/>
      <c r="AE218" s="386"/>
      <c r="AF218" s="386"/>
      <c r="AG218" s="386"/>
      <c r="AH218" s="386"/>
      <c r="AI218" s="386"/>
      <c r="AJ218" s="386"/>
      <c r="AK218" s="386"/>
      <c r="AL218" s="386"/>
      <c r="AM218" s="386"/>
      <c r="AN218" s="386"/>
      <c r="AO218" s="386"/>
      <c r="AP218" s="386"/>
      <c r="AQ218" s="386"/>
      <c r="AR218" s="386"/>
      <c r="AS218" s="386"/>
      <c r="AT218" s="386"/>
      <c r="AU218" s="386"/>
      <c r="AV218" s="386"/>
      <c r="AW218" s="386"/>
      <c r="AX218" s="386"/>
      <c r="AY218" s="386"/>
      <c r="AZ218" s="386"/>
      <c r="BA218" s="386"/>
      <c r="BB218" s="386"/>
      <c r="BC218" s="386"/>
      <c r="BD218" s="386"/>
      <c r="BE218" s="386"/>
      <c r="BF218" s="386"/>
      <c r="BG218" s="386"/>
      <c r="BH218" s="387"/>
      <c r="BI218" s="367"/>
      <c r="BJ218" s="87"/>
      <c r="BK218" s="86"/>
      <c r="BL218" s="85"/>
      <c r="BM218" s="84"/>
      <c r="BN218" s="84"/>
    </row>
    <row r="219" spans="1:66" s="88" customFormat="1" x14ac:dyDescent="1.4">
      <c r="A219" s="393"/>
      <c r="B219" s="92"/>
      <c r="C219" s="91"/>
      <c r="D219" s="90"/>
      <c r="E219" s="93"/>
      <c r="F219" s="385"/>
      <c r="G219" s="386"/>
      <c r="H219" s="386"/>
      <c r="I219" s="386"/>
      <c r="J219" s="386"/>
      <c r="K219" s="386"/>
      <c r="L219" s="386"/>
      <c r="M219" s="386"/>
      <c r="N219" s="386"/>
      <c r="O219" s="386"/>
      <c r="P219" s="386"/>
      <c r="Q219" s="386"/>
      <c r="R219" s="386"/>
      <c r="S219" s="386"/>
      <c r="T219" s="386"/>
      <c r="U219" s="386"/>
      <c r="V219" s="386"/>
      <c r="W219" s="386"/>
      <c r="X219" s="386"/>
      <c r="Y219" s="386"/>
      <c r="Z219" s="386"/>
      <c r="AA219" s="386"/>
      <c r="AB219" s="386"/>
      <c r="AC219" s="386"/>
      <c r="AD219" s="386"/>
      <c r="AE219" s="386"/>
      <c r="AF219" s="386"/>
      <c r="AG219" s="386"/>
      <c r="AH219" s="386"/>
      <c r="AI219" s="386"/>
      <c r="AJ219" s="386"/>
      <c r="AK219" s="386"/>
      <c r="AL219" s="386"/>
      <c r="AM219" s="386"/>
      <c r="AN219" s="386"/>
      <c r="AO219" s="386"/>
      <c r="AP219" s="386"/>
      <c r="AQ219" s="386"/>
      <c r="AR219" s="386"/>
      <c r="AS219" s="386"/>
      <c r="AT219" s="386"/>
      <c r="AU219" s="386"/>
      <c r="AV219" s="386"/>
      <c r="AW219" s="386"/>
      <c r="AX219" s="386"/>
      <c r="AY219" s="386"/>
      <c r="AZ219" s="386"/>
      <c r="BA219" s="386"/>
      <c r="BB219" s="386"/>
      <c r="BC219" s="386"/>
      <c r="BD219" s="386"/>
      <c r="BE219" s="386"/>
      <c r="BF219" s="386"/>
      <c r="BG219" s="386"/>
      <c r="BH219" s="387"/>
      <c r="BI219" s="367"/>
      <c r="BJ219" s="87"/>
      <c r="BK219" s="86"/>
      <c r="BL219" s="85"/>
      <c r="BM219" s="84"/>
      <c r="BN219" s="84"/>
    </row>
    <row r="220" spans="1:66" s="88" customFormat="1" x14ac:dyDescent="1.4">
      <c r="A220" s="393"/>
      <c r="B220" s="92"/>
      <c r="C220" s="91"/>
      <c r="D220" s="90"/>
      <c r="E220" s="93"/>
      <c r="F220" s="385"/>
      <c r="G220" s="386"/>
      <c r="H220" s="386"/>
      <c r="I220" s="386"/>
      <c r="J220" s="386"/>
      <c r="K220" s="386"/>
      <c r="L220" s="386"/>
      <c r="M220" s="386"/>
      <c r="N220" s="386"/>
      <c r="O220" s="386"/>
      <c r="P220" s="386"/>
      <c r="Q220" s="386"/>
      <c r="R220" s="386"/>
      <c r="S220" s="386"/>
      <c r="T220" s="386"/>
      <c r="U220" s="386"/>
      <c r="V220" s="386"/>
      <c r="W220" s="386"/>
      <c r="X220" s="386"/>
      <c r="Y220" s="386"/>
      <c r="Z220" s="386"/>
      <c r="AA220" s="386"/>
      <c r="AB220" s="386"/>
      <c r="AC220" s="386"/>
      <c r="AD220" s="386"/>
      <c r="AE220" s="386"/>
      <c r="AF220" s="386"/>
      <c r="AG220" s="386"/>
      <c r="AH220" s="386"/>
      <c r="AI220" s="386"/>
      <c r="AJ220" s="386"/>
      <c r="AK220" s="386"/>
      <c r="AL220" s="386"/>
      <c r="AM220" s="386"/>
      <c r="AN220" s="386"/>
      <c r="AO220" s="386"/>
      <c r="AP220" s="386"/>
      <c r="AQ220" s="386"/>
      <c r="AR220" s="386"/>
      <c r="AS220" s="386"/>
      <c r="AT220" s="386"/>
      <c r="AU220" s="386"/>
      <c r="AV220" s="386"/>
      <c r="AW220" s="386"/>
      <c r="AX220" s="386"/>
      <c r="AY220" s="386"/>
      <c r="AZ220" s="386"/>
      <c r="BA220" s="386"/>
      <c r="BB220" s="386"/>
      <c r="BC220" s="386"/>
      <c r="BD220" s="386"/>
      <c r="BE220" s="386"/>
      <c r="BF220" s="386"/>
      <c r="BG220" s="386"/>
      <c r="BH220" s="387"/>
      <c r="BI220" s="367"/>
      <c r="BJ220" s="87"/>
      <c r="BK220" s="86"/>
      <c r="BL220" s="85"/>
      <c r="BM220" s="84"/>
      <c r="BN220" s="84"/>
    </row>
    <row r="221" spans="1:66" s="88" customFormat="1" x14ac:dyDescent="1.4">
      <c r="A221" s="393"/>
      <c r="B221" s="92"/>
      <c r="C221" s="91"/>
      <c r="D221" s="90"/>
      <c r="E221" s="93"/>
      <c r="F221" s="385"/>
      <c r="G221" s="386"/>
      <c r="H221" s="386"/>
      <c r="I221" s="386"/>
      <c r="J221" s="386"/>
      <c r="K221" s="386"/>
      <c r="L221" s="386"/>
      <c r="M221" s="386"/>
      <c r="N221" s="386"/>
      <c r="O221" s="386"/>
      <c r="P221" s="386"/>
      <c r="Q221" s="386"/>
      <c r="R221" s="386"/>
      <c r="S221" s="386"/>
      <c r="T221" s="386"/>
      <c r="U221" s="386"/>
      <c r="V221" s="386"/>
      <c r="W221" s="386"/>
      <c r="X221" s="386"/>
      <c r="Y221" s="386"/>
      <c r="Z221" s="386"/>
      <c r="AA221" s="386"/>
      <c r="AB221" s="386"/>
      <c r="AC221" s="386"/>
      <c r="AD221" s="386"/>
      <c r="AE221" s="386"/>
      <c r="AF221" s="386"/>
      <c r="AG221" s="386"/>
      <c r="AH221" s="386"/>
      <c r="AI221" s="386"/>
      <c r="AJ221" s="386"/>
      <c r="AK221" s="386"/>
      <c r="AL221" s="386"/>
      <c r="AM221" s="386"/>
      <c r="AN221" s="386"/>
      <c r="AO221" s="386"/>
      <c r="AP221" s="386"/>
      <c r="AQ221" s="386"/>
      <c r="AR221" s="386"/>
      <c r="AS221" s="386"/>
      <c r="AT221" s="386"/>
      <c r="AU221" s="386"/>
      <c r="AV221" s="386"/>
      <c r="AW221" s="386"/>
      <c r="AX221" s="386"/>
      <c r="AY221" s="386"/>
      <c r="AZ221" s="386"/>
      <c r="BA221" s="386"/>
      <c r="BB221" s="386"/>
      <c r="BC221" s="386"/>
      <c r="BD221" s="386"/>
      <c r="BE221" s="386"/>
      <c r="BF221" s="386"/>
      <c r="BG221" s="386"/>
      <c r="BH221" s="387"/>
      <c r="BI221" s="367"/>
      <c r="BJ221" s="87"/>
      <c r="BK221" s="86"/>
      <c r="BL221" s="85"/>
      <c r="BM221" s="84"/>
      <c r="BN221" s="84"/>
    </row>
    <row r="222" spans="1:66" s="88" customFormat="1" x14ac:dyDescent="1.4">
      <c r="A222" s="393"/>
      <c r="B222" s="92"/>
      <c r="C222" s="91"/>
      <c r="D222" s="90"/>
      <c r="E222" s="93"/>
      <c r="F222" s="385"/>
      <c r="G222" s="386"/>
      <c r="H222" s="386"/>
      <c r="I222" s="386"/>
      <c r="J222" s="386"/>
      <c r="K222" s="386"/>
      <c r="L222" s="386"/>
      <c r="M222" s="386"/>
      <c r="N222" s="386"/>
      <c r="O222" s="386"/>
      <c r="P222" s="386"/>
      <c r="Q222" s="386"/>
      <c r="R222" s="386"/>
      <c r="S222" s="386"/>
      <c r="T222" s="386"/>
      <c r="U222" s="386"/>
      <c r="V222" s="386"/>
      <c r="W222" s="386"/>
      <c r="X222" s="386"/>
      <c r="Y222" s="386"/>
      <c r="Z222" s="386"/>
      <c r="AA222" s="386"/>
      <c r="AB222" s="386"/>
      <c r="AC222" s="386"/>
      <c r="AD222" s="386"/>
      <c r="AE222" s="386"/>
      <c r="AF222" s="386"/>
      <c r="AG222" s="386"/>
      <c r="AH222" s="386"/>
      <c r="AI222" s="386"/>
      <c r="AJ222" s="386"/>
      <c r="AK222" s="386"/>
      <c r="AL222" s="386"/>
      <c r="AM222" s="386"/>
      <c r="AN222" s="386"/>
      <c r="AO222" s="386"/>
      <c r="AP222" s="386"/>
      <c r="AQ222" s="386"/>
      <c r="AR222" s="386"/>
      <c r="AS222" s="386"/>
      <c r="AT222" s="386"/>
      <c r="AU222" s="386"/>
      <c r="AV222" s="386"/>
      <c r="AW222" s="386"/>
      <c r="AX222" s="386"/>
      <c r="AY222" s="386"/>
      <c r="AZ222" s="386"/>
      <c r="BA222" s="386"/>
      <c r="BB222" s="386"/>
      <c r="BC222" s="386"/>
      <c r="BD222" s="386"/>
      <c r="BE222" s="386"/>
      <c r="BF222" s="386"/>
      <c r="BG222" s="386"/>
      <c r="BH222" s="387"/>
      <c r="BI222" s="367"/>
      <c r="BJ222" s="87"/>
      <c r="BK222" s="86"/>
      <c r="BL222" s="85"/>
      <c r="BM222" s="84"/>
      <c r="BN222" s="84"/>
    </row>
    <row r="223" spans="1:66" s="88" customFormat="1" x14ac:dyDescent="1.4">
      <c r="A223" s="393"/>
      <c r="B223" s="92"/>
      <c r="C223" s="91"/>
      <c r="D223" s="90"/>
      <c r="E223" s="93"/>
      <c r="F223" s="385"/>
      <c r="G223" s="386"/>
      <c r="H223" s="386"/>
      <c r="I223" s="386"/>
      <c r="J223" s="386"/>
      <c r="K223" s="386"/>
      <c r="L223" s="386"/>
      <c r="M223" s="386"/>
      <c r="N223" s="386"/>
      <c r="O223" s="386"/>
      <c r="P223" s="386"/>
      <c r="Q223" s="386"/>
      <c r="R223" s="386"/>
      <c r="S223" s="386"/>
      <c r="T223" s="386"/>
      <c r="U223" s="386"/>
      <c r="V223" s="386"/>
      <c r="W223" s="386"/>
      <c r="X223" s="386"/>
      <c r="Y223" s="386"/>
      <c r="Z223" s="386"/>
      <c r="AA223" s="386"/>
      <c r="AB223" s="386"/>
      <c r="AC223" s="386"/>
      <c r="AD223" s="386"/>
      <c r="AE223" s="386"/>
      <c r="AF223" s="386"/>
      <c r="AG223" s="386"/>
      <c r="AH223" s="386"/>
      <c r="AI223" s="386"/>
      <c r="AJ223" s="386"/>
      <c r="AK223" s="386"/>
      <c r="AL223" s="386"/>
      <c r="AM223" s="386"/>
      <c r="AN223" s="386"/>
      <c r="AO223" s="386"/>
      <c r="AP223" s="386"/>
      <c r="AQ223" s="386"/>
      <c r="AR223" s="386"/>
      <c r="AS223" s="386"/>
      <c r="AT223" s="386"/>
      <c r="AU223" s="386"/>
      <c r="AV223" s="386"/>
      <c r="AW223" s="386"/>
      <c r="AX223" s="386"/>
      <c r="AY223" s="386"/>
      <c r="AZ223" s="386"/>
      <c r="BA223" s="386"/>
      <c r="BB223" s="386"/>
      <c r="BC223" s="386"/>
      <c r="BD223" s="386"/>
      <c r="BE223" s="386"/>
      <c r="BF223" s="386"/>
      <c r="BG223" s="386"/>
      <c r="BH223" s="387"/>
      <c r="BI223" s="367"/>
      <c r="BJ223" s="87"/>
      <c r="BK223" s="86"/>
      <c r="BL223" s="85"/>
      <c r="BM223" s="84"/>
      <c r="BN223" s="84"/>
    </row>
    <row r="224" spans="1:66" s="88" customFormat="1" x14ac:dyDescent="1.4">
      <c r="A224" s="393"/>
      <c r="B224" s="92"/>
      <c r="C224" s="91"/>
      <c r="D224" s="90"/>
      <c r="E224" s="93"/>
      <c r="F224" s="385"/>
      <c r="G224" s="386"/>
      <c r="H224" s="386"/>
      <c r="I224" s="386"/>
      <c r="J224" s="386"/>
      <c r="K224" s="386"/>
      <c r="L224" s="386"/>
      <c r="M224" s="386"/>
      <c r="N224" s="386"/>
      <c r="O224" s="386"/>
      <c r="P224" s="386"/>
      <c r="Q224" s="386"/>
      <c r="R224" s="386"/>
      <c r="S224" s="386"/>
      <c r="T224" s="386"/>
      <c r="U224" s="386"/>
      <c r="V224" s="386"/>
      <c r="W224" s="386"/>
      <c r="X224" s="386"/>
      <c r="Y224" s="386"/>
      <c r="Z224" s="386"/>
      <c r="AA224" s="386"/>
      <c r="AB224" s="386"/>
      <c r="AC224" s="386"/>
      <c r="AD224" s="386"/>
      <c r="AE224" s="386"/>
      <c r="AF224" s="386"/>
      <c r="AG224" s="386"/>
      <c r="AH224" s="386"/>
      <c r="AI224" s="386"/>
      <c r="AJ224" s="386"/>
      <c r="AK224" s="386"/>
      <c r="AL224" s="386"/>
      <c r="AM224" s="386"/>
      <c r="AN224" s="386"/>
      <c r="AO224" s="386"/>
      <c r="AP224" s="386"/>
      <c r="AQ224" s="386"/>
      <c r="AR224" s="386"/>
      <c r="AS224" s="386"/>
      <c r="AT224" s="386"/>
      <c r="AU224" s="386"/>
      <c r="AV224" s="386"/>
      <c r="AW224" s="386"/>
      <c r="AX224" s="386"/>
      <c r="AY224" s="386"/>
      <c r="AZ224" s="386"/>
      <c r="BA224" s="386"/>
      <c r="BB224" s="386"/>
      <c r="BC224" s="386"/>
      <c r="BD224" s="386"/>
      <c r="BE224" s="386"/>
      <c r="BF224" s="386"/>
      <c r="BG224" s="386"/>
      <c r="BH224" s="387"/>
      <c r="BI224" s="367"/>
      <c r="BJ224" s="87"/>
      <c r="BK224" s="86"/>
      <c r="BL224" s="85"/>
      <c r="BM224" s="84"/>
      <c r="BN224" s="84"/>
    </row>
    <row r="225" spans="1:66" s="88" customFormat="1" x14ac:dyDescent="1.4">
      <c r="A225" s="393"/>
      <c r="B225" s="92"/>
      <c r="C225" s="91"/>
      <c r="D225" s="90"/>
      <c r="E225" s="93"/>
      <c r="F225" s="385"/>
      <c r="G225" s="386"/>
      <c r="H225" s="386"/>
      <c r="I225" s="386"/>
      <c r="J225" s="386"/>
      <c r="K225" s="386"/>
      <c r="L225" s="386"/>
      <c r="M225" s="386"/>
      <c r="N225" s="386"/>
      <c r="O225" s="386"/>
      <c r="P225" s="386"/>
      <c r="Q225" s="386"/>
      <c r="R225" s="386"/>
      <c r="S225" s="386"/>
      <c r="T225" s="386"/>
      <c r="U225" s="386"/>
      <c r="V225" s="386"/>
      <c r="W225" s="386"/>
      <c r="X225" s="386"/>
      <c r="Y225" s="386"/>
      <c r="Z225" s="386"/>
      <c r="AA225" s="386"/>
      <c r="AB225" s="386"/>
      <c r="AC225" s="386"/>
      <c r="AD225" s="386"/>
      <c r="AE225" s="386"/>
      <c r="AF225" s="386"/>
      <c r="AG225" s="386"/>
      <c r="AH225" s="386"/>
      <c r="AI225" s="386"/>
      <c r="AJ225" s="386"/>
      <c r="AK225" s="386"/>
      <c r="AL225" s="386"/>
      <c r="AM225" s="386"/>
      <c r="AN225" s="386"/>
      <c r="AO225" s="386"/>
      <c r="AP225" s="386"/>
      <c r="AQ225" s="386"/>
      <c r="AR225" s="386"/>
      <c r="AS225" s="386"/>
      <c r="AT225" s="386"/>
      <c r="AU225" s="386"/>
      <c r="AV225" s="386"/>
      <c r="AW225" s="386"/>
      <c r="AX225" s="386"/>
      <c r="AY225" s="386"/>
      <c r="AZ225" s="386"/>
      <c r="BA225" s="386"/>
      <c r="BB225" s="386"/>
      <c r="BC225" s="386"/>
      <c r="BD225" s="386"/>
      <c r="BE225" s="386"/>
      <c r="BF225" s="386"/>
      <c r="BG225" s="386"/>
      <c r="BH225" s="387"/>
      <c r="BI225" s="367"/>
      <c r="BJ225" s="87"/>
      <c r="BK225" s="86"/>
      <c r="BL225" s="85"/>
      <c r="BM225" s="84"/>
      <c r="BN225" s="84"/>
    </row>
    <row r="226" spans="1:66" s="88" customFormat="1" x14ac:dyDescent="1.4">
      <c r="A226" s="393"/>
      <c r="B226" s="92"/>
      <c r="C226" s="91"/>
      <c r="D226" s="90"/>
      <c r="E226" s="93"/>
      <c r="F226" s="385"/>
      <c r="G226" s="386"/>
      <c r="H226" s="386"/>
      <c r="I226" s="386"/>
      <c r="J226" s="386"/>
      <c r="K226" s="386"/>
      <c r="L226" s="386"/>
      <c r="M226" s="386"/>
      <c r="N226" s="386"/>
      <c r="O226" s="386"/>
      <c r="P226" s="386"/>
      <c r="Q226" s="386"/>
      <c r="R226" s="386"/>
      <c r="S226" s="386"/>
      <c r="T226" s="386"/>
      <c r="U226" s="386"/>
      <c r="V226" s="386"/>
      <c r="W226" s="386"/>
      <c r="X226" s="386"/>
      <c r="Y226" s="386"/>
      <c r="Z226" s="386"/>
      <c r="AA226" s="386"/>
      <c r="AB226" s="386"/>
      <c r="AC226" s="386"/>
      <c r="AD226" s="386"/>
      <c r="AE226" s="386"/>
      <c r="AF226" s="386"/>
      <c r="AG226" s="386"/>
      <c r="AH226" s="386"/>
      <c r="AI226" s="386"/>
      <c r="AJ226" s="386"/>
      <c r="AK226" s="386"/>
      <c r="AL226" s="386"/>
      <c r="AM226" s="386"/>
      <c r="AN226" s="386"/>
      <c r="AO226" s="386"/>
      <c r="AP226" s="386"/>
      <c r="AQ226" s="386"/>
      <c r="AR226" s="386"/>
      <c r="AS226" s="386"/>
      <c r="AT226" s="386"/>
      <c r="AU226" s="386"/>
      <c r="AV226" s="386"/>
      <c r="AW226" s="386"/>
      <c r="AX226" s="386"/>
      <c r="AY226" s="386"/>
      <c r="AZ226" s="386"/>
      <c r="BA226" s="386"/>
      <c r="BB226" s="386"/>
      <c r="BC226" s="386"/>
      <c r="BD226" s="386"/>
      <c r="BE226" s="386"/>
      <c r="BF226" s="386"/>
      <c r="BG226" s="386"/>
      <c r="BH226" s="387"/>
      <c r="BI226" s="367"/>
      <c r="BJ226" s="87"/>
      <c r="BK226" s="86"/>
      <c r="BL226" s="85"/>
      <c r="BM226" s="84"/>
      <c r="BN226" s="84"/>
    </row>
    <row r="227" spans="1:66" s="88" customFormat="1" x14ac:dyDescent="1.4">
      <c r="A227" s="393"/>
      <c r="B227" s="92"/>
      <c r="C227" s="91"/>
      <c r="D227" s="90"/>
      <c r="E227" s="93"/>
      <c r="F227" s="385"/>
      <c r="G227" s="386"/>
      <c r="H227" s="386"/>
      <c r="I227" s="386"/>
      <c r="J227" s="386"/>
      <c r="K227" s="386"/>
      <c r="L227" s="386"/>
      <c r="M227" s="386"/>
      <c r="N227" s="386"/>
      <c r="O227" s="386"/>
      <c r="P227" s="386"/>
      <c r="Q227" s="386"/>
      <c r="R227" s="386"/>
      <c r="S227" s="386"/>
      <c r="T227" s="386"/>
      <c r="U227" s="386"/>
      <c r="V227" s="386"/>
      <c r="W227" s="386"/>
      <c r="X227" s="386"/>
      <c r="Y227" s="386"/>
      <c r="Z227" s="386"/>
      <c r="AA227" s="386"/>
      <c r="AB227" s="386"/>
      <c r="AC227" s="386"/>
      <c r="AD227" s="386"/>
      <c r="AE227" s="386"/>
      <c r="AF227" s="386"/>
      <c r="AG227" s="386"/>
      <c r="AH227" s="386"/>
      <c r="AI227" s="386"/>
      <c r="AJ227" s="386"/>
      <c r="AK227" s="386"/>
      <c r="AL227" s="386"/>
      <c r="AM227" s="386"/>
      <c r="AN227" s="386"/>
      <c r="AO227" s="386"/>
      <c r="AP227" s="386"/>
      <c r="AQ227" s="386"/>
      <c r="AR227" s="386"/>
      <c r="AS227" s="386"/>
      <c r="AT227" s="386"/>
      <c r="AU227" s="386"/>
      <c r="AV227" s="386"/>
      <c r="AW227" s="386"/>
      <c r="AX227" s="386"/>
      <c r="AY227" s="386"/>
      <c r="AZ227" s="386"/>
      <c r="BA227" s="386"/>
      <c r="BB227" s="386"/>
      <c r="BC227" s="386"/>
      <c r="BD227" s="386"/>
      <c r="BE227" s="386"/>
      <c r="BF227" s="386"/>
      <c r="BG227" s="386"/>
      <c r="BH227" s="387"/>
      <c r="BI227" s="367"/>
      <c r="BJ227" s="87"/>
      <c r="BK227" s="86"/>
      <c r="BL227" s="85"/>
      <c r="BM227" s="84"/>
      <c r="BN227" s="84"/>
    </row>
    <row r="228" spans="1:66" s="88" customFormat="1" x14ac:dyDescent="1.4">
      <c r="A228" s="393"/>
      <c r="B228" s="92"/>
      <c r="C228" s="91"/>
      <c r="D228" s="90"/>
      <c r="E228" s="93"/>
      <c r="F228" s="385"/>
      <c r="G228" s="386"/>
      <c r="H228" s="386"/>
      <c r="I228" s="386"/>
      <c r="J228" s="386"/>
      <c r="K228" s="386"/>
      <c r="L228" s="386"/>
      <c r="M228" s="386"/>
      <c r="N228" s="386"/>
      <c r="O228" s="386"/>
      <c r="P228" s="386"/>
      <c r="Q228" s="386"/>
      <c r="R228" s="386"/>
      <c r="S228" s="386"/>
      <c r="T228" s="386"/>
      <c r="U228" s="386"/>
      <c r="V228" s="386"/>
      <c r="W228" s="386"/>
      <c r="X228" s="386"/>
      <c r="Y228" s="386"/>
      <c r="Z228" s="386"/>
      <c r="AA228" s="386"/>
      <c r="AB228" s="386"/>
      <c r="AC228" s="386"/>
      <c r="AD228" s="386"/>
      <c r="AE228" s="386"/>
      <c r="AF228" s="386"/>
      <c r="AG228" s="386"/>
      <c r="AH228" s="386"/>
      <c r="AI228" s="386"/>
      <c r="AJ228" s="386"/>
      <c r="AK228" s="386"/>
      <c r="AL228" s="386"/>
      <c r="AM228" s="386"/>
      <c r="AN228" s="386"/>
      <c r="AO228" s="386"/>
      <c r="AP228" s="386"/>
      <c r="AQ228" s="386"/>
      <c r="AR228" s="386"/>
      <c r="AS228" s="386"/>
      <c r="AT228" s="386"/>
      <c r="AU228" s="386"/>
      <c r="AV228" s="386"/>
      <c r="AW228" s="386"/>
      <c r="AX228" s="386"/>
      <c r="AY228" s="386"/>
      <c r="AZ228" s="386"/>
      <c r="BA228" s="386"/>
      <c r="BB228" s="386"/>
      <c r="BC228" s="386"/>
      <c r="BD228" s="386"/>
      <c r="BE228" s="386"/>
      <c r="BF228" s="386"/>
      <c r="BG228" s="386"/>
      <c r="BH228" s="387"/>
      <c r="BI228" s="367"/>
      <c r="BJ228" s="87"/>
      <c r="BK228" s="86"/>
      <c r="BL228" s="85"/>
      <c r="BM228" s="84"/>
      <c r="BN228" s="84"/>
    </row>
    <row r="229" spans="1:66" s="88" customFormat="1" x14ac:dyDescent="1.4">
      <c r="A229" s="393"/>
      <c r="B229" s="92"/>
      <c r="C229" s="91"/>
      <c r="D229" s="90"/>
      <c r="E229" s="93"/>
      <c r="F229" s="385"/>
      <c r="G229" s="386"/>
      <c r="H229" s="386"/>
      <c r="I229" s="386"/>
      <c r="J229" s="386"/>
      <c r="K229" s="386"/>
      <c r="L229" s="386"/>
      <c r="M229" s="386"/>
      <c r="N229" s="386"/>
      <c r="O229" s="386"/>
      <c r="P229" s="386"/>
      <c r="Q229" s="386"/>
      <c r="R229" s="386"/>
      <c r="S229" s="386"/>
      <c r="T229" s="386"/>
      <c r="U229" s="386"/>
      <c r="V229" s="386"/>
      <c r="W229" s="386"/>
      <c r="X229" s="386"/>
      <c r="Y229" s="386"/>
      <c r="Z229" s="386"/>
      <c r="AA229" s="386"/>
      <c r="AB229" s="386"/>
      <c r="AC229" s="386"/>
      <c r="AD229" s="386"/>
      <c r="AE229" s="386"/>
      <c r="AF229" s="386"/>
      <c r="AG229" s="386"/>
      <c r="AH229" s="386"/>
      <c r="AI229" s="386"/>
      <c r="AJ229" s="386"/>
      <c r="AK229" s="386"/>
      <c r="AL229" s="386"/>
      <c r="AM229" s="386"/>
      <c r="AN229" s="386"/>
      <c r="AO229" s="386"/>
      <c r="AP229" s="386"/>
      <c r="AQ229" s="386"/>
      <c r="AR229" s="386"/>
      <c r="AS229" s="386"/>
      <c r="AT229" s="386"/>
      <c r="AU229" s="386"/>
      <c r="AV229" s="386"/>
      <c r="AW229" s="386"/>
      <c r="AX229" s="386"/>
      <c r="AY229" s="386"/>
      <c r="AZ229" s="386"/>
      <c r="BA229" s="386"/>
      <c r="BB229" s="386"/>
      <c r="BC229" s="386"/>
      <c r="BD229" s="386"/>
      <c r="BE229" s="386"/>
      <c r="BF229" s="386"/>
      <c r="BG229" s="386"/>
      <c r="BH229" s="387"/>
      <c r="BI229" s="367"/>
      <c r="BJ229" s="87"/>
      <c r="BK229" s="86"/>
      <c r="BL229" s="85"/>
      <c r="BM229" s="84"/>
      <c r="BN229" s="84"/>
    </row>
    <row r="230" spans="1:66" s="88" customFormat="1" x14ac:dyDescent="1.4">
      <c r="A230" s="393"/>
      <c r="B230" s="92"/>
      <c r="C230" s="91"/>
      <c r="D230" s="90"/>
      <c r="E230" s="93"/>
      <c r="F230" s="385"/>
      <c r="G230" s="386"/>
      <c r="H230" s="386"/>
      <c r="I230" s="386"/>
      <c r="J230" s="386"/>
      <c r="K230" s="386"/>
      <c r="L230" s="386"/>
      <c r="M230" s="386"/>
      <c r="N230" s="386"/>
      <c r="O230" s="386"/>
      <c r="P230" s="386"/>
      <c r="Q230" s="386"/>
      <c r="R230" s="386"/>
      <c r="S230" s="386"/>
      <c r="T230" s="386"/>
      <c r="U230" s="386"/>
      <c r="V230" s="386"/>
      <c r="W230" s="386"/>
      <c r="X230" s="386"/>
      <c r="Y230" s="386"/>
      <c r="Z230" s="386"/>
      <c r="AA230" s="386"/>
      <c r="AB230" s="386"/>
      <c r="AC230" s="386"/>
      <c r="AD230" s="386"/>
      <c r="AE230" s="386"/>
      <c r="AF230" s="386"/>
      <c r="AG230" s="386"/>
      <c r="AH230" s="386"/>
      <c r="AI230" s="386"/>
      <c r="AJ230" s="386"/>
      <c r="AK230" s="386"/>
      <c r="AL230" s="386"/>
      <c r="AM230" s="386"/>
      <c r="AN230" s="386"/>
      <c r="AO230" s="386"/>
      <c r="AP230" s="386"/>
      <c r="AQ230" s="386"/>
      <c r="AR230" s="386"/>
      <c r="AS230" s="386"/>
      <c r="AT230" s="386"/>
      <c r="AU230" s="386"/>
      <c r="AV230" s="386"/>
      <c r="AW230" s="386"/>
      <c r="AX230" s="386"/>
      <c r="AY230" s="386"/>
      <c r="AZ230" s="386"/>
      <c r="BA230" s="386"/>
      <c r="BB230" s="386"/>
      <c r="BC230" s="386"/>
      <c r="BD230" s="386"/>
      <c r="BE230" s="386"/>
      <c r="BF230" s="386"/>
      <c r="BG230" s="386"/>
      <c r="BH230" s="387"/>
      <c r="BI230" s="367"/>
      <c r="BJ230" s="87"/>
      <c r="BK230" s="86"/>
      <c r="BL230" s="85"/>
      <c r="BM230" s="84"/>
      <c r="BN230" s="84"/>
    </row>
    <row r="231" spans="1:66" s="88" customFormat="1" x14ac:dyDescent="1.4">
      <c r="A231" s="393"/>
      <c r="B231" s="92"/>
      <c r="C231" s="91"/>
      <c r="D231" s="90"/>
      <c r="E231" s="93"/>
      <c r="F231" s="385"/>
      <c r="G231" s="386"/>
      <c r="H231" s="386"/>
      <c r="I231" s="386"/>
      <c r="J231" s="386"/>
      <c r="K231" s="386"/>
      <c r="L231" s="386"/>
      <c r="M231" s="386"/>
      <c r="N231" s="386"/>
      <c r="O231" s="386"/>
      <c r="P231" s="386"/>
      <c r="Q231" s="386"/>
      <c r="R231" s="386"/>
      <c r="S231" s="386"/>
      <c r="T231" s="386"/>
      <c r="U231" s="386"/>
      <c r="V231" s="386"/>
      <c r="W231" s="386"/>
      <c r="X231" s="386"/>
      <c r="Y231" s="386"/>
      <c r="Z231" s="386"/>
      <c r="AA231" s="386"/>
      <c r="AB231" s="386"/>
      <c r="AC231" s="386"/>
      <c r="AD231" s="386"/>
      <c r="AE231" s="386"/>
      <c r="AF231" s="386"/>
      <c r="AG231" s="386"/>
      <c r="AH231" s="386"/>
      <c r="AI231" s="386"/>
      <c r="AJ231" s="386"/>
      <c r="AK231" s="386"/>
      <c r="AL231" s="386"/>
      <c r="AM231" s="386"/>
      <c r="AN231" s="386"/>
      <c r="AO231" s="386"/>
      <c r="AP231" s="386"/>
      <c r="AQ231" s="386"/>
      <c r="AR231" s="386"/>
      <c r="AS231" s="386"/>
      <c r="AT231" s="386"/>
      <c r="AU231" s="386"/>
      <c r="AV231" s="386"/>
      <c r="AW231" s="386"/>
      <c r="AX231" s="386"/>
      <c r="AY231" s="386"/>
      <c r="AZ231" s="386"/>
      <c r="BA231" s="386"/>
      <c r="BB231" s="386"/>
      <c r="BC231" s="386"/>
      <c r="BD231" s="386"/>
      <c r="BE231" s="386"/>
      <c r="BF231" s="386"/>
      <c r="BG231" s="386"/>
      <c r="BH231" s="387"/>
      <c r="BI231" s="367"/>
      <c r="BJ231" s="87"/>
      <c r="BK231" s="86"/>
      <c r="BL231" s="85"/>
      <c r="BM231" s="84"/>
      <c r="BN231" s="84"/>
    </row>
    <row r="232" spans="1:66" s="88" customFormat="1" x14ac:dyDescent="1.4">
      <c r="A232" s="393"/>
      <c r="B232" s="92"/>
      <c r="C232" s="91"/>
      <c r="D232" s="90"/>
      <c r="E232" s="93"/>
      <c r="F232" s="385"/>
      <c r="G232" s="386"/>
      <c r="H232" s="386"/>
      <c r="I232" s="386"/>
      <c r="J232" s="386"/>
      <c r="K232" s="386"/>
      <c r="L232" s="386"/>
      <c r="M232" s="386"/>
      <c r="N232" s="386"/>
      <c r="O232" s="386"/>
      <c r="P232" s="386"/>
      <c r="Q232" s="386"/>
      <c r="R232" s="386"/>
      <c r="S232" s="386"/>
      <c r="T232" s="386"/>
      <c r="U232" s="386"/>
      <c r="V232" s="386"/>
      <c r="W232" s="386"/>
      <c r="X232" s="386"/>
      <c r="Y232" s="386"/>
      <c r="Z232" s="386"/>
      <c r="AA232" s="386"/>
      <c r="AB232" s="386"/>
      <c r="AC232" s="386"/>
      <c r="AD232" s="386"/>
      <c r="AE232" s="386"/>
      <c r="AF232" s="386"/>
      <c r="AG232" s="386"/>
      <c r="AH232" s="386"/>
      <c r="AI232" s="386"/>
      <c r="AJ232" s="386"/>
      <c r="AK232" s="386"/>
      <c r="AL232" s="386"/>
      <c r="AM232" s="386"/>
      <c r="AN232" s="386"/>
      <c r="AO232" s="386"/>
      <c r="AP232" s="386"/>
      <c r="AQ232" s="386"/>
      <c r="AR232" s="386"/>
      <c r="AS232" s="386"/>
      <c r="AT232" s="386"/>
      <c r="AU232" s="386"/>
      <c r="AV232" s="386"/>
      <c r="AW232" s="386"/>
      <c r="AX232" s="386"/>
      <c r="AY232" s="386"/>
      <c r="AZ232" s="386"/>
      <c r="BA232" s="386"/>
      <c r="BB232" s="386"/>
      <c r="BC232" s="386"/>
      <c r="BD232" s="386"/>
      <c r="BE232" s="386"/>
      <c r="BF232" s="386"/>
      <c r="BG232" s="386"/>
      <c r="BH232" s="387"/>
      <c r="BI232" s="367"/>
      <c r="BJ232" s="87"/>
      <c r="BK232" s="86"/>
      <c r="BL232" s="85"/>
      <c r="BM232" s="84"/>
      <c r="BN232" s="84"/>
    </row>
    <row r="233" spans="1:66" s="88" customFormat="1" x14ac:dyDescent="1.4">
      <c r="A233" s="393"/>
      <c r="B233" s="92"/>
      <c r="C233" s="91"/>
      <c r="D233" s="90"/>
      <c r="E233" s="93"/>
      <c r="F233" s="385"/>
      <c r="G233" s="386"/>
      <c r="H233" s="386"/>
      <c r="I233" s="386"/>
      <c r="J233" s="386"/>
      <c r="K233" s="386"/>
      <c r="L233" s="386"/>
      <c r="M233" s="386"/>
      <c r="N233" s="386"/>
      <c r="O233" s="386"/>
      <c r="P233" s="386"/>
      <c r="Q233" s="386"/>
      <c r="R233" s="386"/>
      <c r="S233" s="386"/>
      <c r="T233" s="386"/>
      <c r="U233" s="386"/>
      <c r="V233" s="386"/>
      <c r="W233" s="386"/>
      <c r="X233" s="386"/>
      <c r="Y233" s="386"/>
      <c r="Z233" s="386"/>
      <c r="AA233" s="386"/>
      <c r="AB233" s="386"/>
      <c r="AC233" s="386"/>
      <c r="AD233" s="386"/>
      <c r="AE233" s="386"/>
      <c r="AF233" s="386"/>
      <c r="AG233" s="386"/>
      <c r="AH233" s="386"/>
      <c r="AI233" s="386"/>
      <c r="AJ233" s="386"/>
      <c r="AK233" s="386"/>
      <c r="AL233" s="386"/>
      <c r="AM233" s="386"/>
      <c r="AN233" s="386"/>
      <c r="AO233" s="386"/>
      <c r="AP233" s="386"/>
      <c r="AQ233" s="386"/>
      <c r="AR233" s="386"/>
      <c r="AS233" s="386"/>
      <c r="AT233" s="386"/>
      <c r="AU233" s="386"/>
      <c r="AV233" s="386"/>
      <c r="AW233" s="386"/>
      <c r="AX233" s="386"/>
      <c r="AY233" s="386"/>
      <c r="AZ233" s="386"/>
      <c r="BA233" s="386"/>
      <c r="BB233" s="386"/>
      <c r="BC233" s="386"/>
      <c r="BD233" s="386"/>
      <c r="BE233" s="386"/>
      <c r="BF233" s="386"/>
      <c r="BG233" s="386"/>
      <c r="BH233" s="387"/>
      <c r="BI233" s="367"/>
      <c r="BJ233" s="87"/>
      <c r="BK233" s="86"/>
      <c r="BL233" s="85"/>
      <c r="BM233" s="84"/>
      <c r="BN233" s="84"/>
    </row>
    <row r="234" spans="1:66" s="88" customFormat="1" x14ac:dyDescent="1.4">
      <c r="A234" s="393"/>
      <c r="B234" s="92"/>
      <c r="C234" s="91"/>
      <c r="D234" s="90"/>
      <c r="E234" s="93"/>
      <c r="F234" s="385"/>
      <c r="G234" s="386"/>
      <c r="H234" s="386"/>
      <c r="I234" s="386"/>
      <c r="J234" s="386"/>
      <c r="K234" s="386"/>
      <c r="L234" s="386"/>
      <c r="M234" s="386"/>
      <c r="N234" s="386"/>
      <c r="O234" s="386"/>
      <c r="P234" s="386"/>
      <c r="Q234" s="386"/>
      <c r="R234" s="386"/>
      <c r="S234" s="386"/>
      <c r="T234" s="386"/>
      <c r="U234" s="386"/>
      <c r="V234" s="386"/>
      <c r="W234" s="386"/>
      <c r="X234" s="386"/>
      <c r="Y234" s="386"/>
      <c r="Z234" s="386"/>
      <c r="AA234" s="386"/>
      <c r="AB234" s="386"/>
      <c r="AC234" s="386"/>
      <c r="AD234" s="386"/>
      <c r="AE234" s="386"/>
      <c r="AF234" s="386"/>
      <c r="AG234" s="386"/>
      <c r="AH234" s="386"/>
      <c r="AI234" s="386"/>
      <c r="AJ234" s="386"/>
      <c r="AK234" s="386"/>
      <c r="AL234" s="386"/>
      <c r="AM234" s="386"/>
      <c r="AN234" s="386"/>
      <c r="AO234" s="386"/>
      <c r="AP234" s="386"/>
      <c r="AQ234" s="386"/>
      <c r="AR234" s="386"/>
      <c r="AS234" s="386"/>
      <c r="AT234" s="386"/>
      <c r="AU234" s="386"/>
      <c r="AV234" s="386"/>
      <c r="AW234" s="386"/>
      <c r="AX234" s="386"/>
      <c r="AY234" s="386"/>
      <c r="AZ234" s="386"/>
      <c r="BA234" s="386"/>
      <c r="BB234" s="386"/>
      <c r="BC234" s="386"/>
      <c r="BD234" s="386"/>
      <c r="BE234" s="386"/>
      <c r="BF234" s="386"/>
      <c r="BG234" s="386"/>
      <c r="BH234" s="387"/>
      <c r="BI234" s="367"/>
      <c r="BJ234" s="87"/>
      <c r="BK234" s="86"/>
      <c r="BL234" s="85"/>
      <c r="BM234" s="84"/>
      <c r="BN234" s="84"/>
    </row>
    <row r="235" spans="1:66" s="88" customFormat="1" x14ac:dyDescent="1.4">
      <c r="A235" s="393"/>
      <c r="B235" s="92"/>
      <c r="C235" s="91"/>
      <c r="D235" s="90"/>
      <c r="E235" s="93"/>
      <c r="F235" s="385"/>
      <c r="G235" s="386"/>
      <c r="H235" s="386"/>
      <c r="I235" s="386"/>
      <c r="J235" s="386"/>
      <c r="K235" s="386"/>
      <c r="L235" s="386"/>
      <c r="M235" s="386"/>
      <c r="N235" s="386"/>
      <c r="O235" s="386"/>
      <c r="P235" s="386"/>
      <c r="Q235" s="386"/>
      <c r="R235" s="386"/>
      <c r="S235" s="386"/>
      <c r="T235" s="386"/>
      <c r="U235" s="386"/>
      <c r="V235" s="386"/>
      <c r="W235" s="386"/>
      <c r="X235" s="386"/>
      <c r="Y235" s="386"/>
      <c r="Z235" s="386"/>
      <c r="AA235" s="386"/>
      <c r="AB235" s="386"/>
      <c r="AC235" s="386"/>
      <c r="AD235" s="386"/>
      <c r="AE235" s="386"/>
      <c r="AF235" s="386"/>
      <c r="AG235" s="386"/>
      <c r="AH235" s="386"/>
      <c r="AI235" s="386"/>
      <c r="AJ235" s="386"/>
      <c r="AK235" s="386"/>
      <c r="AL235" s="386"/>
      <c r="AM235" s="386"/>
      <c r="AN235" s="386"/>
      <c r="AO235" s="386"/>
      <c r="AP235" s="386"/>
      <c r="AQ235" s="386"/>
      <c r="AR235" s="386"/>
      <c r="AS235" s="386"/>
      <c r="AT235" s="386"/>
      <c r="AU235" s="386"/>
      <c r="AV235" s="386"/>
      <c r="AW235" s="386"/>
      <c r="AX235" s="386"/>
      <c r="AY235" s="386"/>
      <c r="AZ235" s="386"/>
      <c r="BA235" s="386"/>
      <c r="BB235" s="386"/>
      <c r="BC235" s="386"/>
      <c r="BD235" s="386"/>
      <c r="BE235" s="386"/>
      <c r="BF235" s="386"/>
      <c r="BG235" s="386"/>
      <c r="BH235" s="387"/>
      <c r="BI235" s="367"/>
      <c r="BJ235" s="87"/>
      <c r="BK235" s="86"/>
      <c r="BL235" s="85"/>
      <c r="BM235" s="84"/>
      <c r="BN235" s="84"/>
    </row>
    <row r="236" spans="1:66" s="88" customFormat="1" x14ac:dyDescent="1.4">
      <c r="A236" s="393"/>
      <c r="B236" s="92"/>
      <c r="C236" s="91"/>
      <c r="D236" s="90"/>
      <c r="E236" s="93"/>
      <c r="F236" s="385"/>
      <c r="G236" s="386"/>
      <c r="H236" s="386"/>
      <c r="I236" s="386"/>
      <c r="J236" s="386"/>
      <c r="K236" s="386"/>
      <c r="L236" s="386"/>
      <c r="M236" s="386"/>
      <c r="N236" s="386"/>
      <c r="O236" s="386"/>
      <c r="P236" s="386"/>
      <c r="Q236" s="386"/>
      <c r="R236" s="386"/>
      <c r="S236" s="386"/>
      <c r="T236" s="386"/>
      <c r="U236" s="386"/>
      <c r="V236" s="386"/>
      <c r="W236" s="386"/>
      <c r="X236" s="386"/>
      <c r="Y236" s="386"/>
      <c r="Z236" s="386"/>
      <c r="AA236" s="386"/>
      <c r="AB236" s="386"/>
      <c r="AC236" s="386"/>
      <c r="AD236" s="386"/>
      <c r="AE236" s="386"/>
      <c r="AF236" s="386"/>
      <c r="AG236" s="386"/>
      <c r="AH236" s="386"/>
      <c r="AI236" s="386"/>
      <c r="AJ236" s="386"/>
      <c r="AK236" s="386"/>
      <c r="AL236" s="386"/>
      <c r="AM236" s="386"/>
      <c r="AN236" s="386"/>
      <c r="AO236" s="386"/>
      <c r="AP236" s="386"/>
      <c r="AQ236" s="386"/>
      <c r="AR236" s="386"/>
      <c r="AS236" s="386"/>
      <c r="AT236" s="386"/>
      <c r="AU236" s="386"/>
      <c r="AV236" s="386"/>
      <c r="AW236" s="386"/>
      <c r="AX236" s="386"/>
      <c r="AY236" s="386"/>
      <c r="AZ236" s="386"/>
      <c r="BA236" s="386"/>
      <c r="BB236" s="386"/>
      <c r="BC236" s="386"/>
      <c r="BD236" s="386"/>
      <c r="BE236" s="386"/>
      <c r="BF236" s="386"/>
      <c r="BG236" s="386"/>
      <c r="BH236" s="387"/>
      <c r="BI236" s="367"/>
      <c r="BJ236" s="87"/>
      <c r="BK236" s="86"/>
      <c r="BL236" s="85"/>
      <c r="BM236" s="84"/>
      <c r="BN236" s="84"/>
    </row>
    <row r="237" spans="1:66" s="88" customFormat="1" x14ac:dyDescent="1.4">
      <c r="A237" s="393"/>
      <c r="B237" s="92"/>
      <c r="C237" s="91"/>
      <c r="D237" s="90"/>
      <c r="E237" s="93"/>
      <c r="F237" s="385"/>
      <c r="G237" s="386"/>
      <c r="H237" s="386"/>
      <c r="I237" s="386"/>
      <c r="J237" s="386"/>
      <c r="K237" s="386"/>
      <c r="L237" s="386"/>
      <c r="M237" s="386"/>
      <c r="N237" s="386"/>
      <c r="O237" s="386"/>
      <c r="P237" s="386"/>
      <c r="Q237" s="386"/>
      <c r="R237" s="386"/>
      <c r="S237" s="386"/>
      <c r="T237" s="386"/>
      <c r="U237" s="386"/>
      <c r="V237" s="386"/>
      <c r="W237" s="386"/>
      <c r="X237" s="386"/>
      <c r="Y237" s="386"/>
      <c r="Z237" s="386"/>
      <c r="AA237" s="386"/>
      <c r="AB237" s="386"/>
      <c r="AC237" s="386"/>
      <c r="AD237" s="386"/>
      <c r="AE237" s="386"/>
      <c r="AF237" s="386"/>
      <c r="AG237" s="386"/>
      <c r="AH237" s="386"/>
      <c r="AI237" s="386"/>
      <c r="AJ237" s="386"/>
      <c r="AK237" s="386"/>
      <c r="AL237" s="386"/>
      <c r="AM237" s="386"/>
      <c r="AN237" s="386"/>
      <c r="AO237" s="386"/>
      <c r="AP237" s="386"/>
      <c r="AQ237" s="386"/>
      <c r="AR237" s="386"/>
      <c r="AS237" s="386"/>
      <c r="AT237" s="386"/>
      <c r="AU237" s="386"/>
      <c r="AV237" s="386"/>
      <c r="AW237" s="386"/>
      <c r="AX237" s="386"/>
      <c r="AY237" s="386"/>
      <c r="AZ237" s="386"/>
      <c r="BA237" s="386"/>
      <c r="BB237" s="386"/>
      <c r="BC237" s="386"/>
      <c r="BD237" s="386"/>
      <c r="BE237" s="386"/>
      <c r="BF237" s="386"/>
      <c r="BG237" s="386"/>
      <c r="BH237" s="387"/>
      <c r="BI237" s="367"/>
      <c r="BJ237" s="87"/>
      <c r="BK237" s="86"/>
      <c r="BL237" s="85"/>
      <c r="BM237" s="84"/>
      <c r="BN237" s="84"/>
    </row>
    <row r="238" spans="1:66" s="88" customFormat="1" x14ac:dyDescent="1.4">
      <c r="A238" s="393"/>
      <c r="B238" s="92"/>
      <c r="C238" s="91"/>
      <c r="D238" s="90"/>
      <c r="E238" s="93"/>
      <c r="F238" s="385"/>
      <c r="G238" s="386"/>
      <c r="H238" s="386"/>
      <c r="I238" s="386"/>
      <c r="J238" s="386"/>
      <c r="K238" s="386"/>
      <c r="L238" s="386"/>
      <c r="M238" s="386"/>
      <c r="N238" s="386"/>
      <c r="O238" s="386"/>
      <c r="P238" s="386"/>
      <c r="Q238" s="386"/>
      <c r="R238" s="386"/>
      <c r="S238" s="386"/>
      <c r="T238" s="386"/>
      <c r="U238" s="386"/>
      <c r="V238" s="386"/>
      <c r="W238" s="386"/>
      <c r="X238" s="386"/>
      <c r="Y238" s="386"/>
      <c r="Z238" s="386"/>
      <c r="AA238" s="386"/>
      <c r="AB238" s="386"/>
      <c r="AC238" s="386"/>
      <c r="AD238" s="386"/>
      <c r="AE238" s="386"/>
      <c r="AF238" s="386"/>
      <c r="AG238" s="386"/>
      <c r="AH238" s="386"/>
      <c r="AI238" s="386"/>
      <c r="AJ238" s="386"/>
      <c r="AK238" s="386"/>
      <c r="AL238" s="386"/>
      <c r="AM238" s="386"/>
      <c r="AN238" s="386"/>
      <c r="AO238" s="386"/>
      <c r="AP238" s="386"/>
      <c r="AQ238" s="386"/>
      <c r="AR238" s="386"/>
      <c r="AS238" s="386"/>
      <c r="AT238" s="386"/>
      <c r="AU238" s="386"/>
      <c r="AV238" s="386"/>
      <c r="AW238" s="386"/>
      <c r="AX238" s="386"/>
      <c r="AY238" s="386"/>
      <c r="AZ238" s="386"/>
      <c r="BA238" s="386"/>
      <c r="BB238" s="386"/>
      <c r="BC238" s="386"/>
      <c r="BD238" s="386"/>
      <c r="BE238" s="386"/>
      <c r="BF238" s="386"/>
      <c r="BG238" s="386"/>
      <c r="BH238" s="387"/>
      <c r="BI238" s="367"/>
      <c r="BJ238" s="87"/>
      <c r="BK238" s="86"/>
      <c r="BL238" s="85"/>
      <c r="BM238" s="84"/>
      <c r="BN238" s="84"/>
    </row>
    <row r="239" spans="1:66" s="88" customFormat="1" x14ac:dyDescent="1.4">
      <c r="A239" s="393"/>
      <c r="B239" s="92"/>
      <c r="C239" s="91"/>
      <c r="D239" s="90"/>
      <c r="E239" s="93"/>
      <c r="F239" s="385"/>
      <c r="G239" s="386"/>
      <c r="H239" s="386"/>
      <c r="I239" s="386"/>
      <c r="J239" s="386"/>
      <c r="K239" s="386"/>
      <c r="L239" s="386"/>
      <c r="M239" s="386"/>
      <c r="N239" s="386"/>
      <c r="O239" s="386"/>
      <c r="P239" s="386"/>
      <c r="Q239" s="386"/>
      <c r="R239" s="386"/>
      <c r="S239" s="386"/>
      <c r="T239" s="386"/>
      <c r="U239" s="386"/>
      <c r="V239" s="386"/>
      <c r="W239" s="386"/>
      <c r="X239" s="386"/>
      <c r="Y239" s="386"/>
      <c r="Z239" s="386"/>
      <c r="AA239" s="386"/>
      <c r="AB239" s="386"/>
      <c r="AC239" s="386"/>
      <c r="AD239" s="386"/>
      <c r="AE239" s="386"/>
      <c r="AF239" s="386"/>
      <c r="AG239" s="386"/>
      <c r="AH239" s="386"/>
      <c r="AI239" s="386"/>
      <c r="AJ239" s="386"/>
      <c r="AK239" s="386"/>
      <c r="AL239" s="386"/>
      <c r="AM239" s="386"/>
      <c r="AN239" s="386"/>
      <c r="AO239" s="386"/>
      <c r="AP239" s="386"/>
      <c r="AQ239" s="386"/>
      <c r="AR239" s="386"/>
      <c r="AS239" s="386"/>
      <c r="AT239" s="386"/>
      <c r="AU239" s="386"/>
      <c r="AV239" s="386"/>
      <c r="AW239" s="386"/>
      <c r="AX239" s="386"/>
      <c r="AY239" s="386"/>
      <c r="AZ239" s="386"/>
      <c r="BA239" s="386"/>
      <c r="BB239" s="386"/>
      <c r="BC239" s="386"/>
      <c r="BD239" s="386"/>
      <c r="BE239" s="386"/>
      <c r="BF239" s="386"/>
      <c r="BG239" s="386"/>
      <c r="BH239" s="387"/>
      <c r="BI239" s="367"/>
      <c r="BJ239" s="87"/>
      <c r="BK239" s="86"/>
      <c r="BL239" s="85"/>
      <c r="BM239" s="84"/>
      <c r="BN239" s="84"/>
    </row>
    <row r="240" spans="1:66" s="88" customFormat="1" x14ac:dyDescent="1.4">
      <c r="A240" s="393"/>
      <c r="B240" s="92"/>
      <c r="C240" s="91"/>
      <c r="D240" s="90"/>
      <c r="E240" s="93"/>
      <c r="F240" s="385"/>
      <c r="G240" s="386"/>
      <c r="H240" s="386"/>
      <c r="I240" s="386"/>
      <c r="J240" s="386"/>
      <c r="K240" s="386"/>
      <c r="L240" s="386"/>
      <c r="M240" s="386"/>
      <c r="N240" s="386"/>
      <c r="O240" s="386"/>
      <c r="P240" s="386"/>
      <c r="Q240" s="386"/>
      <c r="R240" s="386"/>
      <c r="S240" s="386"/>
      <c r="T240" s="386"/>
      <c r="U240" s="386"/>
      <c r="V240" s="386"/>
      <c r="W240" s="386"/>
      <c r="X240" s="386"/>
      <c r="Y240" s="386"/>
      <c r="Z240" s="386"/>
      <c r="AA240" s="386"/>
      <c r="AB240" s="386"/>
      <c r="AC240" s="386"/>
      <c r="AD240" s="386"/>
      <c r="AE240" s="386"/>
      <c r="AF240" s="386"/>
      <c r="AG240" s="386"/>
      <c r="AH240" s="386"/>
      <c r="AI240" s="386"/>
      <c r="AJ240" s="386"/>
      <c r="AK240" s="386"/>
      <c r="AL240" s="386"/>
      <c r="AM240" s="386"/>
      <c r="AN240" s="386"/>
      <c r="AO240" s="386"/>
      <c r="AP240" s="386"/>
      <c r="AQ240" s="386"/>
      <c r="AR240" s="386"/>
      <c r="AS240" s="386"/>
      <c r="AT240" s="386"/>
      <c r="AU240" s="386"/>
      <c r="AV240" s="386"/>
      <c r="AW240" s="386"/>
      <c r="AX240" s="386"/>
      <c r="AY240" s="386"/>
      <c r="AZ240" s="386"/>
      <c r="BA240" s="386"/>
      <c r="BB240" s="386"/>
      <c r="BC240" s="386"/>
      <c r="BD240" s="386"/>
      <c r="BE240" s="386"/>
      <c r="BF240" s="386"/>
      <c r="BG240" s="386"/>
      <c r="BH240" s="387"/>
      <c r="BI240" s="367"/>
      <c r="BJ240" s="87"/>
      <c r="BK240" s="86"/>
      <c r="BL240" s="85"/>
      <c r="BM240" s="84"/>
      <c r="BN240" s="84"/>
    </row>
    <row r="241" spans="1:66" s="88" customFormat="1" x14ac:dyDescent="1.4">
      <c r="A241" s="393"/>
      <c r="B241" s="92"/>
      <c r="C241" s="91"/>
      <c r="D241" s="90"/>
      <c r="E241" s="93"/>
      <c r="F241" s="385"/>
      <c r="G241" s="386"/>
      <c r="H241" s="386"/>
      <c r="I241" s="386"/>
      <c r="J241" s="386"/>
      <c r="K241" s="386"/>
      <c r="L241" s="386"/>
      <c r="M241" s="386"/>
      <c r="N241" s="386"/>
      <c r="O241" s="386"/>
      <c r="P241" s="386"/>
      <c r="Q241" s="386"/>
      <c r="R241" s="386"/>
      <c r="S241" s="386"/>
      <c r="T241" s="386"/>
      <c r="U241" s="386"/>
      <c r="V241" s="386"/>
      <c r="W241" s="386"/>
      <c r="X241" s="386"/>
      <c r="Y241" s="386"/>
      <c r="Z241" s="386"/>
      <c r="AA241" s="386"/>
      <c r="AB241" s="386"/>
      <c r="AC241" s="386"/>
      <c r="AD241" s="386"/>
      <c r="AE241" s="386"/>
      <c r="AF241" s="386"/>
      <c r="AG241" s="386"/>
      <c r="AH241" s="386"/>
      <c r="AI241" s="386"/>
      <c r="AJ241" s="386"/>
      <c r="AK241" s="386"/>
      <c r="AL241" s="386"/>
      <c r="AM241" s="386"/>
      <c r="AN241" s="386"/>
      <c r="AO241" s="386"/>
      <c r="AP241" s="386"/>
      <c r="AQ241" s="386"/>
      <c r="AR241" s="386"/>
      <c r="AS241" s="386"/>
      <c r="AT241" s="386"/>
      <c r="AU241" s="386"/>
      <c r="AV241" s="386"/>
      <c r="AW241" s="386"/>
      <c r="AX241" s="386"/>
      <c r="AY241" s="386"/>
      <c r="AZ241" s="386"/>
      <c r="BA241" s="386"/>
      <c r="BB241" s="386"/>
      <c r="BC241" s="386"/>
      <c r="BD241" s="386"/>
      <c r="BE241" s="386"/>
      <c r="BF241" s="386"/>
      <c r="BG241" s="386"/>
      <c r="BH241" s="387"/>
      <c r="BI241" s="367"/>
      <c r="BJ241" s="87"/>
      <c r="BK241" s="86"/>
      <c r="BL241" s="85"/>
      <c r="BM241" s="84"/>
      <c r="BN241" s="84"/>
    </row>
    <row r="242" spans="1:66" s="88" customFormat="1" x14ac:dyDescent="1.4">
      <c r="A242" s="393"/>
      <c r="B242" s="92"/>
      <c r="C242" s="91"/>
      <c r="D242" s="90"/>
      <c r="E242" s="93"/>
      <c r="F242" s="385"/>
      <c r="G242" s="386"/>
      <c r="H242" s="386"/>
      <c r="I242" s="386"/>
      <c r="J242" s="386"/>
      <c r="K242" s="386"/>
      <c r="L242" s="386"/>
      <c r="M242" s="386"/>
      <c r="N242" s="386"/>
      <c r="O242" s="386"/>
      <c r="P242" s="386"/>
      <c r="Q242" s="386"/>
      <c r="R242" s="386"/>
      <c r="S242" s="386"/>
      <c r="T242" s="386"/>
      <c r="U242" s="386"/>
      <c r="V242" s="386"/>
      <c r="W242" s="386"/>
      <c r="X242" s="386"/>
      <c r="Y242" s="386"/>
      <c r="Z242" s="386"/>
      <c r="AA242" s="386"/>
      <c r="AB242" s="386"/>
      <c r="AC242" s="386"/>
      <c r="AD242" s="386"/>
      <c r="AE242" s="386"/>
      <c r="AF242" s="386"/>
      <c r="AG242" s="386"/>
      <c r="AH242" s="386"/>
      <c r="AI242" s="386"/>
      <c r="AJ242" s="386"/>
      <c r="AK242" s="386"/>
      <c r="AL242" s="386"/>
      <c r="AM242" s="386"/>
      <c r="AN242" s="386"/>
      <c r="AO242" s="386"/>
      <c r="AP242" s="386"/>
      <c r="AQ242" s="386"/>
      <c r="AR242" s="386"/>
      <c r="AS242" s="386"/>
      <c r="AT242" s="386"/>
      <c r="AU242" s="386"/>
      <c r="AV242" s="386"/>
      <c r="AW242" s="386"/>
      <c r="AX242" s="386"/>
      <c r="AY242" s="386"/>
      <c r="AZ242" s="386"/>
      <c r="BA242" s="386"/>
      <c r="BB242" s="386"/>
      <c r="BC242" s="386"/>
      <c r="BD242" s="386"/>
      <c r="BE242" s="386"/>
      <c r="BF242" s="386"/>
      <c r="BG242" s="386"/>
      <c r="BH242" s="387"/>
      <c r="BI242" s="367"/>
      <c r="BJ242" s="87"/>
      <c r="BK242" s="86"/>
      <c r="BL242" s="85"/>
      <c r="BM242" s="84"/>
      <c r="BN242" s="84"/>
    </row>
    <row r="243" spans="1:66" s="88" customFormat="1" x14ac:dyDescent="1.4">
      <c r="A243" s="393"/>
      <c r="B243" s="92"/>
      <c r="C243" s="91"/>
      <c r="D243" s="90"/>
      <c r="E243" s="93"/>
      <c r="F243" s="385"/>
      <c r="G243" s="386"/>
      <c r="H243" s="386"/>
      <c r="I243" s="386"/>
      <c r="J243" s="386"/>
      <c r="K243" s="386"/>
      <c r="L243" s="386"/>
      <c r="M243" s="386"/>
      <c r="N243" s="386"/>
      <c r="O243" s="386"/>
      <c r="P243" s="386"/>
      <c r="Q243" s="386"/>
      <c r="R243" s="386"/>
      <c r="S243" s="386"/>
      <c r="T243" s="386"/>
      <c r="U243" s="386"/>
      <c r="V243" s="386"/>
      <c r="W243" s="386"/>
      <c r="X243" s="386"/>
      <c r="Y243" s="386"/>
      <c r="Z243" s="386"/>
      <c r="AA243" s="386"/>
      <c r="AB243" s="386"/>
      <c r="AC243" s="386"/>
      <c r="AD243" s="386"/>
      <c r="AE243" s="386"/>
      <c r="AF243" s="386"/>
      <c r="AG243" s="386"/>
      <c r="AH243" s="386"/>
      <c r="AI243" s="386"/>
      <c r="AJ243" s="386"/>
      <c r="AK243" s="386"/>
      <c r="AL243" s="386"/>
      <c r="AM243" s="386"/>
      <c r="AN243" s="386"/>
      <c r="AO243" s="386"/>
      <c r="AP243" s="386"/>
      <c r="AQ243" s="386"/>
      <c r="AR243" s="386"/>
      <c r="AS243" s="386"/>
      <c r="AT243" s="386"/>
      <c r="AU243" s="386"/>
      <c r="AV243" s="386"/>
      <c r="AW243" s="386"/>
      <c r="AX243" s="386"/>
      <c r="AY243" s="386"/>
      <c r="AZ243" s="386"/>
      <c r="BA243" s="386"/>
      <c r="BB243" s="386"/>
      <c r="BC243" s="386"/>
      <c r="BD243" s="386"/>
      <c r="BE243" s="386"/>
      <c r="BF243" s="386"/>
      <c r="BG243" s="386"/>
      <c r="BH243" s="387"/>
      <c r="BI243" s="367"/>
      <c r="BJ243" s="87"/>
      <c r="BK243" s="86"/>
      <c r="BL243" s="85"/>
      <c r="BM243" s="84"/>
      <c r="BN243" s="84"/>
    </row>
    <row r="244" spans="1:66" s="88" customFormat="1" x14ac:dyDescent="1.4">
      <c r="A244" s="393"/>
      <c r="B244" s="92"/>
      <c r="C244" s="91"/>
      <c r="D244" s="90"/>
      <c r="E244" s="93"/>
      <c r="F244" s="385"/>
      <c r="G244" s="386"/>
      <c r="H244" s="386"/>
      <c r="I244" s="386"/>
      <c r="J244" s="386"/>
      <c r="K244" s="386"/>
      <c r="L244" s="386"/>
      <c r="M244" s="386"/>
      <c r="N244" s="386"/>
      <c r="O244" s="386"/>
      <c r="P244" s="386"/>
      <c r="Q244" s="386"/>
      <c r="R244" s="386"/>
      <c r="S244" s="386"/>
      <c r="T244" s="386"/>
      <c r="U244" s="386"/>
      <c r="V244" s="386"/>
      <c r="W244" s="386"/>
      <c r="X244" s="386"/>
      <c r="Y244" s="386"/>
      <c r="Z244" s="386"/>
      <c r="AA244" s="386"/>
      <c r="AB244" s="386"/>
      <c r="AC244" s="386"/>
      <c r="AD244" s="386"/>
      <c r="AE244" s="386"/>
      <c r="AF244" s="386"/>
      <c r="AG244" s="386"/>
      <c r="AH244" s="386"/>
      <c r="AI244" s="386"/>
      <c r="AJ244" s="386"/>
      <c r="AK244" s="386"/>
      <c r="AL244" s="386"/>
      <c r="AM244" s="386"/>
      <c r="AN244" s="386"/>
      <c r="AO244" s="386"/>
      <c r="AP244" s="386"/>
      <c r="AQ244" s="386"/>
      <c r="AR244" s="386"/>
      <c r="AS244" s="386"/>
      <c r="AT244" s="386"/>
      <c r="AU244" s="386"/>
      <c r="AV244" s="386"/>
      <c r="AW244" s="386"/>
      <c r="AX244" s="386"/>
      <c r="AY244" s="386"/>
      <c r="AZ244" s="386"/>
      <c r="BA244" s="386"/>
      <c r="BB244" s="386"/>
      <c r="BC244" s="386"/>
      <c r="BD244" s="386"/>
      <c r="BE244" s="386"/>
      <c r="BF244" s="386"/>
      <c r="BG244" s="386"/>
      <c r="BH244" s="387"/>
      <c r="BI244" s="367"/>
      <c r="BJ244" s="87"/>
      <c r="BK244" s="86"/>
      <c r="BL244" s="85"/>
      <c r="BM244" s="84"/>
      <c r="BN244" s="84"/>
    </row>
    <row r="245" spans="1:66" s="88" customFormat="1" x14ac:dyDescent="1.4">
      <c r="A245" s="393"/>
      <c r="B245" s="92"/>
      <c r="C245" s="91"/>
      <c r="D245" s="90"/>
      <c r="E245" s="93"/>
      <c r="F245" s="385"/>
      <c r="G245" s="386"/>
      <c r="H245" s="386"/>
      <c r="I245" s="386"/>
      <c r="J245" s="386"/>
      <c r="K245" s="386"/>
      <c r="L245" s="386"/>
      <c r="M245" s="386"/>
      <c r="N245" s="386"/>
      <c r="O245" s="386"/>
      <c r="P245" s="386"/>
      <c r="Q245" s="386"/>
      <c r="R245" s="386"/>
      <c r="S245" s="386"/>
      <c r="T245" s="386"/>
      <c r="U245" s="386"/>
      <c r="V245" s="386"/>
      <c r="W245" s="386"/>
      <c r="X245" s="386"/>
      <c r="Y245" s="386"/>
      <c r="Z245" s="386"/>
      <c r="AA245" s="386"/>
      <c r="AB245" s="386"/>
      <c r="AC245" s="386"/>
      <c r="AD245" s="386"/>
      <c r="AE245" s="386"/>
      <c r="AF245" s="386"/>
      <c r="AG245" s="386"/>
      <c r="AH245" s="386"/>
      <c r="AI245" s="386"/>
      <c r="AJ245" s="386"/>
      <c r="AK245" s="386"/>
      <c r="AL245" s="386"/>
      <c r="AM245" s="386"/>
      <c r="AN245" s="386"/>
      <c r="AO245" s="386"/>
      <c r="AP245" s="386"/>
      <c r="AQ245" s="386"/>
      <c r="AR245" s="386"/>
      <c r="AS245" s="386"/>
      <c r="AT245" s="386"/>
      <c r="AU245" s="386"/>
      <c r="AV245" s="386"/>
      <c r="AW245" s="386"/>
      <c r="AX245" s="386"/>
      <c r="AY245" s="386"/>
      <c r="AZ245" s="386"/>
      <c r="BA245" s="386"/>
      <c r="BB245" s="386"/>
      <c r="BC245" s="386"/>
      <c r="BD245" s="386"/>
      <c r="BE245" s="386"/>
      <c r="BF245" s="386"/>
      <c r="BG245" s="386"/>
      <c r="BH245" s="387"/>
      <c r="BI245" s="367"/>
      <c r="BJ245" s="87"/>
      <c r="BK245" s="86"/>
      <c r="BL245" s="85"/>
      <c r="BM245" s="84"/>
      <c r="BN245" s="84"/>
    </row>
    <row r="246" spans="1:66" s="88" customFormat="1" x14ac:dyDescent="1.4">
      <c r="A246" s="393"/>
      <c r="B246" s="92"/>
      <c r="C246" s="91"/>
      <c r="D246" s="90"/>
      <c r="E246" s="93"/>
      <c r="F246" s="385"/>
      <c r="G246" s="386"/>
      <c r="H246" s="386"/>
      <c r="I246" s="386"/>
      <c r="J246" s="386"/>
      <c r="K246" s="386"/>
      <c r="L246" s="386"/>
      <c r="M246" s="386"/>
      <c r="N246" s="386"/>
      <c r="O246" s="386"/>
      <c r="P246" s="386"/>
      <c r="Q246" s="386"/>
      <c r="R246" s="386"/>
      <c r="S246" s="386"/>
      <c r="T246" s="386"/>
      <c r="U246" s="386"/>
      <c r="V246" s="386"/>
      <c r="W246" s="386"/>
      <c r="X246" s="386"/>
      <c r="Y246" s="386"/>
      <c r="Z246" s="386"/>
      <c r="AA246" s="386"/>
      <c r="AB246" s="386"/>
      <c r="AC246" s="386"/>
      <c r="AD246" s="386"/>
      <c r="AE246" s="386"/>
      <c r="AF246" s="386"/>
      <c r="AG246" s="386"/>
      <c r="AH246" s="386"/>
      <c r="AI246" s="386"/>
      <c r="AJ246" s="386"/>
      <c r="AK246" s="386"/>
      <c r="AL246" s="386"/>
      <c r="AM246" s="386"/>
      <c r="AN246" s="386"/>
      <c r="AO246" s="386"/>
      <c r="AP246" s="386"/>
      <c r="AQ246" s="386"/>
      <c r="AR246" s="386"/>
      <c r="AS246" s="386"/>
      <c r="AT246" s="386"/>
      <c r="AU246" s="386"/>
      <c r="AV246" s="386"/>
      <c r="AW246" s="386"/>
      <c r="AX246" s="386"/>
      <c r="AY246" s="386"/>
      <c r="AZ246" s="386"/>
      <c r="BA246" s="386"/>
      <c r="BB246" s="386"/>
      <c r="BC246" s="386"/>
      <c r="BD246" s="386"/>
      <c r="BE246" s="386"/>
      <c r="BF246" s="386"/>
      <c r="BG246" s="386"/>
      <c r="BH246" s="387"/>
      <c r="BI246" s="367"/>
      <c r="BJ246" s="87"/>
      <c r="BK246" s="86"/>
      <c r="BL246" s="85"/>
      <c r="BM246" s="84"/>
      <c r="BN246" s="84"/>
    </row>
    <row r="247" spans="1:66" s="88" customFormat="1" x14ac:dyDescent="1.4">
      <c r="A247" s="393"/>
      <c r="B247" s="92"/>
      <c r="C247" s="91"/>
      <c r="D247" s="90"/>
      <c r="E247" s="93"/>
      <c r="F247" s="385"/>
      <c r="G247" s="386"/>
      <c r="H247" s="386"/>
      <c r="I247" s="386"/>
      <c r="J247" s="386"/>
      <c r="K247" s="386"/>
      <c r="L247" s="386"/>
      <c r="M247" s="386"/>
      <c r="N247" s="386"/>
      <c r="O247" s="386"/>
      <c r="P247" s="386"/>
      <c r="Q247" s="386"/>
      <c r="R247" s="386"/>
      <c r="S247" s="386"/>
      <c r="T247" s="386"/>
      <c r="U247" s="386"/>
      <c r="V247" s="386"/>
      <c r="W247" s="386"/>
      <c r="X247" s="386"/>
      <c r="Y247" s="386"/>
      <c r="Z247" s="386"/>
      <c r="AA247" s="386"/>
      <c r="AB247" s="386"/>
      <c r="AC247" s="386"/>
      <c r="AD247" s="386"/>
      <c r="AE247" s="386"/>
      <c r="AF247" s="386"/>
      <c r="AG247" s="386"/>
      <c r="AH247" s="386"/>
      <c r="AI247" s="386"/>
      <c r="AJ247" s="386"/>
      <c r="AK247" s="386"/>
      <c r="AL247" s="386"/>
      <c r="AM247" s="386"/>
      <c r="AN247" s="386"/>
      <c r="AO247" s="386"/>
      <c r="AP247" s="386"/>
      <c r="AQ247" s="386"/>
      <c r="AR247" s="386"/>
      <c r="AS247" s="386"/>
      <c r="AT247" s="386"/>
      <c r="AU247" s="386"/>
      <c r="AV247" s="386"/>
      <c r="AW247" s="386"/>
      <c r="AX247" s="386"/>
      <c r="AY247" s="386"/>
      <c r="AZ247" s="386"/>
      <c r="BA247" s="386"/>
      <c r="BB247" s="386"/>
      <c r="BC247" s="386"/>
      <c r="BD247" s="386"/>
      <c r="BE247" s="386"/>
      <c r="BF247" s="386"/>
      <c r="BG247" s="386"/>
      <c r="BH247" s="387"/>
      <c r="BI247" s="367"/>
      <c r="BJ247" s="87"/>
      <c r="BK247" s="86"/>
      <c r="BL247" s="85"/>
      <c r="BM247" s="84"/>
      <c r="BN247" s="84"/>
    </row>
    <row r="248" spans="1:66" s="88" customFormat="1" x14ac:dyDescent="1.4">
      <c r="A248" s="393"/>
      <c r="B248" s="92"/>
      <c r="C248" s="91"/>
      <c r="D248" s="90"/>
      <c r="E248" s="93"/>
      <c r="F248" s="385"/>
      <c r="G248" s="386"/>
      <c r="H248" s="386"/>
      <c r="I248" s="386"/>
      <c r="J248" s="386"/>
      <c r="K248" s="386"/>
      <c r="L248" s="386"/>
      <c r="M248" s="386"/>
      <c r="N248" s="386"/>
      <c r="O248" s="386"/>
      <c r="P248" s="386"/>
      <c r="Q248" s="386"/>
      <c r="R248" s="386"/>
      <c r="S248" s="386"/>
      <c r="T248" s="386"/>
      <c r="U248" s="386"/>
      <c r="V248" s="386"/>
      <c r="W248" s="386"/>
      <c r="X248" s="386"/>
      <c r="Y248" s="386"/>
      <c r="Z248" s="386"/>
      <c r="AA248" s="386"/>
      <c r="AB248" s="386"/>
      <c r="AC248" s="386"/>
      <c r="AD248" s="386"/>
      <c r="AE248" s="386"/>
      <c r="AF248" s="386"/>
      <c r="AG248" s="386"/>
      <c r="AH248" s="386"/>
      <c r="AI248" s="386"/>
      <c r="AJ248" s="386"/>
      <c r="AK248" s="386"/>
      <c r="AL248" s="386"/>
      <c r="AM248" s="386"/>
      <c r="AN248" s="386"/>
      <c r="AO248" s="386"/>
      <c r="AP248" s="386"/>
      <c r="AQ248" s="386"/>
      <c r="AR248" s="386"/>
      <c r="AS248" s="386"/>
      <c r="AT248" s="386"/>
      <c r="AU248" s="386"/>
      <c r="AV248" s="386"/>
      <c r="AW248" s="386"/>
      <c r="AX248" s="386"/>
      <c r="AY248" s="386"/>
      <c r="AZ248" s="386"/>
      <c r="BA248" s="386"/>
      <c r="BB248" s="386"/>
      <c r="BC248" s="386"/>
      <c r="BD248" s="386"/>
      <c r="BE248" s="386"/>
      <c r="BF248" s="386"/>
      <c r="BG248" s="386"/>
      <c r="BH248" s="387"/>
      <c r="BI248" s="367"/>
      <c r="BJ248" s="87"/>
      <c r="BK248" s="86"/>
      <c r="BL248" s="85"/>
      <c r="BM248" s="84"/>
      <c r="BN248" s="84"/>
    </row>
    <row r="249" spans="1:66" s="88" customFormat="1" x14ac:dyDescent="1.4">
      <c r="A249" s="393"/>
      <c r="B249" s="92"/>
      <c r="C249" s="91"/>
      <c r="D249" s="90"/>
      <c r="E249" s="93"/>
      <c r="F249" s="385"/>
      <c r="G249" s="386"/>
      <c r="H249" s="386"/>
      <c r="I249" s="386"/>
      <c r="J249" s="386"/>
      <c r="K249" s="386"/>
      <c r="L249" s="386"/>
      <c r="M249" s="386"/>
      <c r="N249" s="386"/>
      <c r="O249" s="386"/>
      <c r="P249" s="386"/>
      <c r="Q249" s="386"/>
      <c r="R249" s="386"/>
      <c r="S249" s="386"/>
      <c r="T249" s="386"/>
      <c r="U249" s="386"/>
      <c r="V249" s="386"/>
      <c r="W249" s="386"/>
      <c r="X249" s="386"/>
      <c r="Y249" s="386"/>
      <c r="Z249" s="386"/>
      <c r="AA249" s="386"/>
      <c r="AB249" s="386"/>
      <c r="AC249" s="386"/>
      <c r="AD249" s="386"/>
      <c r="AE249" s="386"/>
      <c r="AF249" s="386"/>
      <c r="AG249" s="386"/>
      <c r="AH249" s="386"/>
      <c r="AI249" s="386"/>
      <c r="AJ249" s="386"/>
      <c r="AK249" s="386"/>
      <c r="AL249" s="386"/>
      <c r="AM249" s="386"/>
      <c r="AN249" s="386"/>
      <c r="AO249" s="386"/>
      <c r="AP249" s="386"/>
      <c r="AQ249" s="386"/>
      <c r="AR249" s="386"/>
      <c r="AS249" s="386"/>
      <c r="AT249" s="386"/>
      <c r="AU249" s="386"/>
      <c r="AV249" s="386"/>
      <c r="AW249" s="386"/>
      <c r="AX249" s="386"/>
      <c r="AY249" s="386"/>
      <c r="AZ249" s="386"/>
      <c r="BA249" s="386"/>
      <c r="BB249" s="386"/>
      <c r="BC249" s="386"/>
      <c r="BD249" s="386"/>
      <c r="BE249" s="386"/>
      <c r="BF249" s="386"/>
      <c r="BG249" s="386"/>
      <c r="BH249" s="387"/>
      <c r="BI249" s="367"/>
      <c r="BJ249" s="87"/>
      <c r="BK249" s="86"/>
      <c r="BL249" s="85"/>
      <c r="BM249" s="84"/>
      <c r="BN249" s="84"/>
    </row>
    <row r="250" spans="1:66" s="88" customFormat="1" x14ac:dyDescent="1.4">
      <c r="A250" s="393"/>
      <c r="B250" s="92"/>
      <c r="C250" s="91"/>
      <c r="D250" s="90"/>
      <c r="E250" s="93"/>
      <c r="F250" s="385"/>
      <c r="G250" s="386"/>
      <c r="H250" s="386"/>
      <c r="I250" s="386"/>
      <c r="J250" s="386"/>
      <c r="K250" s="386"/>
      <c r="L250" s="386"/>
      <c r="M250" s="386"/>
      <c r="N250" s="386"/>
      <c r="O250" s="386"/>
      <c r="P250" s="386"/>
      <c r="Q250" s="386"/>
      <c r="R250" s="386"/>
      <c r="S250" s="386"/>
      <c r="T250" s="386"/>
      <c r="U250" s="386"/>
      <c r="V250" s="386"/>
      <c r="W250" s="386"/>
      <c r="X250" s="386"/>
      <c r="Y250" s="386"/>
      <c r="Z250" s="386"/>
      <c r="AA250" s="386"/>
      <c r="AB250" s="386"/>
      <c r="AC250" s="386"/>
      <c r="AD250" s="386"/>
      <c r="AE250" s="386"/>
      <c r="AF250" s="386"/>
      <c r="AG250" s="386"/>
      <c r="AH250" s="386"/>
      <c r="AI250" s="386"/>
      <c r="AJ250" s="386"/>
      <c r="AK250" s="386"/>
      <c r="AL250" s="386"/>
      <c r="AM250" s="386"/>
      <c r="AN250" s="386"/>
      <c r="AO250" s="386"/>
      <c r="AP250" s="386"/>
      <c r="AQ250" s="386"/>
      <c r="AR250" s="386"/>
      <c r="AS250" s="386"/>
      <c r="AT250" s="386"/>
      <c r="AU250" s="386"/>
      <c r="AV250" s="386"/>
      <c r="AW250" s="386"/>
      <c r="AX250" s="386"/>
      <c r="AY250" s="386"/>
      <c r="AZ250" s="386"/>
      <c r="BA250" s="386"/>
      <c r="BB250" s="386"/>
      <c r="BC250" s="386"/>
      <c r="BD250" s="386"/>
      <c r="BE250" s="386"/>
      <c r="BF250" s="386"/>
      <c r="BG250" s="386"/>
      <c r="BH250" s="387"/>
      <c r="BI250" s="367"/>
      <c r="BJ250" s="87"/>
      <c r="BK250" s="86"/>
      <c r="BL250" s="85"/>
      <c r="BM250" s="84"/>
      <c r="BN250" s="84"/>
    </row>
    <row r="251" spans="1:66" s="88" customFormat="1" x14ac:dyDescent="1.4">
      <c r="A251" s="393"/>
      <c r="B251" s="92"/>
      <c r="C251" s="91"/>
      <c r="D251" s="90"/>
      <c r="E251" s="93"/>
      <c r="F251" s="385"/>
      <c r="G251" s="386"/>
      <c r="H251" s="386"/>
      <c r="I251" s="386"/>
      <c r="J251" s="386"/>
      <c r="K251" s="386"/>
      <c r="L251" s="386"/>
      <c r="M251" s="386"/>
      <c r="N251" s="386"/>
      <c r="O251" s="386"/>
      <c r="P251" s="386"/>
      <c r="Q251" s="386"/>
      <c r="R251" s="386"/>
      <c r="S251" s="386"/>
      <c r="T251" s="386"/>
      <c r="U251" s="386"/>
      <c r="V251" s="386"/>
      <c r="W251" s="386"/>
      <c r="X251" s="386"/>
      <c r="Y251" s="386"/>
      <c r="Z251" s="386"/>
      <c r="AA251" s="386"/>
      <c r="AB251" s="386"/>
      <c r="AC251" s="386"/>
      <c r="AD251" s="386"/>
      <c r="AE251" s="386"/>
      <c r="AF251" s="386"/>
      <c r="AG251" s="386"/>
      <c r="AH251" s="386"/>
      <c r="AI251" s="386"/>
      <c r="AJ251" s="386"/>
      <c r="AK251" s="386"/>
      <c r="AL251" s="386"/>
      <c r="AM251" s="386"/>
      <c r="AN251" s="386"/>
      <c r="AO251" s="386"/>
      <c r="AP251" s="386"/>
      <c r="AQ251" s="386"/>
      <c r="AR251" s="386"/>
      <c r="AS251" s="386"/>
      <c r="AT251" s="386"/>
      <c r="AU251" s="386"/>
      <c r="AV251" s="386"/>
      <c r="AW251" s="386"/>
      <c r="AX251" s="386"/>
      <c r="AY251" s="386"/>
      <c r="AZ251" s="386"/>
      <c r="BA251" s="386"/>
      <c r="BB251" s="386"/>
      <c r="BC251" s="386"/>
      <c r="BD251" s="386"/>
      <c r="BE251" s="386"/>
      <c r="BF251" s="386"/>
      <c r="BG251" s="386"/>
      <c r="BH251" s="387"/>
      <c r="BI251" s="367"/>
      <c r="BJ251" s="87"/>
      <c r="BK251" s="86"/>
      <c r="BL251" s="85"/>
      <c r="BM251" s="84"/>
      <c r="BN251" s="84"/>
    </row>
    <row r="252" spans="1:66" s="88" customFormat="1" x14ac:dyDescent="1.4">
      <c r="A252" s="393"/>
      <c r="B252" s="92"/>
      <c r="C252" s="91"/>
      <c r="D252" s="90"/>
      <c r="E252" s="93"/>
      <c r="F252" s="385"/>
      <c r="G252" s="386"/>
      <c r="H252" s="386"/>
      <c r="I252" s="386"/>
      <c r="J252" s="386"/>
      <c r="K252" s="386"/>
      <c r="L252" s="386"/>
      <c r="M252" s="386"/>
      <c r="N252" s="386"/>
      <c r="O252" s="386"/>
      <c r="P252" s="386"/>
      <c r="Q252" s="386"/>
      <c r="R252" s="386"/>
      <c r="S252" s="386"/>
      <c r="T252" s="386"/>
      <c r="U252" s="386"/>
      <c r="V252" s="386"/>
      <c r="W252" s="386"/>
      <c r="X252" s="386"/>
      <c r="Y252" s="386"/>
      <c r="Z252" s="386"/>
      <c r="AA252" s="386"/>
      <c r="AB252" s="386"/>
      <c r="AC252" s="386"/>
      <c r="AD252" s="386"/>
      <c r="AE252" s="386"/>
      <c r="AF252" s="386"/>
      <c r="AG252" s="386"/>
      <c r="AH252" s="386"/>
      <c r="AI252" s="386"/>
      <c r="AJ252" s="386"/>
      <c r="AK252" s="386"/>
      <c r="AL252" s="386"/>
      <c r="AM252" s="386"/>
      <c r="AN252" s="386"/>
      <c r="AO252" s="386"/>
      <c r="AP252" s="386"/>
      <c r="AQ252" s="386"/>
      <c r="AR252" s="386"/>
      <c r="AS252" s="386"/>
      <c r="AT252" s="386"/>
      <c r="AU252" s="386"/>
      <c r="AV252" s="386"/>
      <c r="AW252" s="386"/>
      <c r="AX252" s="386"/>
      <c r="AY252" s="386"/>
      <c r="AZ252" s="386"/>
      <c r="BA252" s="386"/>
      <c r="BB252" s="386"/>
      <c r="BC252" s="386"/>
      <c r="BD252" s="386"/>
      <c r="BE252" s="386"/>
      <c r="BF252" s="386"/>
      <c r="BG252" s="386"/>
      <c r="BH252" s="387"/>
      <c r="BI252" s="367"/>
      <c r="BJ252" s="87"/>
      <c r="BK252" s="86"/>
      <c r="BL252" s="85"/>
      <c r="BM252" s="84"/>
      <c r="BN252" s="84"/>
    </row>
    <row r="253" spans="1:66" s="88" customFormat="1" x14ac:dyDescent="1.4">
      <c r="A253" s="393"/>
      <c r="B253" s="92"/>
      <c r="C253" s="91"/>
      <c r="D253" s="90"/>
      <c r="E253" s="93"/>
      <c r="F253" s="385"/>
      <c r="G253" s="386"/>
      <c r="H253" s="386"/>
      <c r="I253" s="386"/>
      <c r="J253" s="386"/>
      <c r="K253" s="386"/>
      <c r="L253" s="386"/>
      <c r="M253" s="386"/>
      <c r="N253" s="386"/>
      <c r="O253" s="386"/>
      <c r="P253" s="386"/>
      <c r="Q253" s="386"/>
      <c r="R253" s="386"/>
      <c r="S253" s="386"/>
      <c r="T253" s="386"/>
      <c r="U253" s="386"/>
      <c r="V253" s="386"/>
      <c r="W253" s="386"/>
      <c r="X253" s="386"/>
      <c r="Y253" s="386"/>
      <c r="Z253" s="386"/>
      <c r="AA253" s="386"/>
      <c r="AB253" s="386"/>
      <c r="AC253" s="386"/>
      <c r="AD253" s="386"/>
      <c r="AE253" s="386"/>
      <c r="AF253" s="386"/>
      <c r="AG253" s="386"/>
      <c r="AH253" s="386"/>
      <c r="AI253" s="386"/>
      <c r="AJ253" s="386"/>
      <c r="AK253" s="386"/>
      <c r="AL253" s="386"/>
      <c r="AM253" s="386"/>
      <c r="AN253" s="386"/>
      <c r="AO253" s="386"/>
      <c r="AP253" s="386"/>
      <c r="AQ253" s="386"/>
      <c r="AR253" s="386"/>
      <c r="AS253" s="386"/>
      <c r="AT253" s="386"/>
      <c r="AU253" s="386"/>
      <c r="AV253" s="386"/>
      <c r="AW253" s="386"/>
      <c r="AX253" s="386"/>
      <c r="AY253" s="386"/>
      <c r="AZ253" s="386"/>
      <c r="BA253" s="386"/>
      <c r="BB253" s="386"/>
      <c r="BC253" s="386"/>
      <c r="BD253" s="386"/>
      <c r="BE253" s="386"/>
      <c r="BF253" s="386"/>
      <c r="BG253" s="386"/>
      <c r="BH253" s="387"/>
      <c r="BI253" s="367"/>
      <c r="BJ253" s="87"/>
      <c r="BK253" s="86"/>
      <c r="BL253" s="85"/>
      <c r="BM253" s="84"/>
      <c r="BN253" s="84"/>
    </row>
    <row r="254" spans="1:66" s="88" customFormat="1" x14ac:dyDescent="1.4">
      <c r="A254" s="393"/>
      <c r="B254" s="92"/>
      <c r="C254" s="91"/>
      <c r="D254" s="90"/>
      <c r="E254" s="93"/>
      <c r="F254" s="385"/>
      <c r="G254" s="386"/>
      <c r="H254" s="386"/>
      <c r="I254" s="386"/>
      <c r="J254" s="386"/>
      <c r="K254" s="386"/>
      <c r="L254" s="386"/>
      <c r="M254" s="386"/>
      <c r="N254" s="386"/>
      <c r="O254" s="386"/>
      <c r="P254" s="386"/>
      <c r="Q254" s="386"/>
      <c r="R254" s="386"/>
      <c r="S254" s="386"/>
      <c r="T254" s="386"/>
      <c r="U254" s="386"/>
      <c r="V254" s="386"/>
      <c r="W254" s="386"/>
      <c r="X254" s="386"/>
      <c r="Y254" s="386"/>
      <c r="Z254" s="386"/>
      <c r="AA254" s="386"/>
      <c r="AB254" s="386"/>
      <c r="AC254" s="386"/>
      <c r="AD254" s="386"/>
      <c r="AE254" s="386"/>
      <c r="AF254" s="386"/>
      <c r="AG254" s="386"/>
      <c r="AH254" s="386"/>
      <c r="AI254" s="386"/>
      <c r="AJ254" s="386"/>
      <c r="AK254" s="386"/>
      <c r="AL254" s="386"/>
      <c r="AM254" s="386"/>
      <c r="AN254" s="386"/>
      <c r="AO254" s="386"/>
      <c r="AP254" s="386"/>
      <c r="AQ254" s="386"/>
      <c r="AR254" s="386"/>
      <c r="AS254" s="386"/>
      <c r="AT254" s="386"/>
      <c r="AU254" s="386"/>
      <c r="AV254" s="386"/>
      <c r="AW254" s="386"/>
      <c r="AX254" s="386"/>
      <c r="AY254" s="386"/>
      <c r="AZ254" s="386"/>
      <c r="BA254" s="386"/>
      <c r="BB254" s="386"/>
      <c r="BC254" s="386"/>
      <c r="BD254" s="386"/>
      <c r="BE254" s="386"/>
      <c r="BF254" s="386"/>
      <c r="BG254" s="386"/>
      <c r="BH254" s="387"/>
      <c r="BI254" s="367"/>
      <c r="BJ254" s="87"/>
      <c r="BK254" s="86"/>
      <c r="BL254" s="85"/>
      <c r="BM254" s="84"/>
      <c r="BN254" s="84"/>
    </row>
    <row r="255" spans="1:66" s="88" customFormat="1" x14ac:dyDescent="1.4">
      <c r="A255" s="393"/>
      <c r="B255" s="92"/>
      <c r="C255" s="91"/>
      <c r="D255" s="90"/>
      <c r="E255" s="93"/>
      <c r="F255" s="385"/>
      <c r="G255" s="386"/>
      <c r="H255" s="386"/>
      <c r="I255" s="386"/>
      <c r="J255" s="386"/>
      <c r="K255" s="386"/>
      <c r="L255" s="386"/>
      <c r="M255" s="386"/>
      <c r="N255" s="386"/>
      <c r="O255" s="386"/>
      <c r="P255" s="386"/>
      <c r="Q255" s="386"/>
      <c r="R255" s="386"/>
      <c r="S255" s="386"/>
      <c r="T255" s="386"/>
      <c r="U255" s="386"/>
      <c r="V255" s="386"/>
      <c r="W255" s="386"/>
      <c r="X255" s="386"/>
      <c r="Y255" s="386"/>
      <c r="Z255" s="386"/>
      <c r="AA255" s="386"/>
      <c r="AB255" s="386"/>
      <c r="AC255" s="386"/>
      <c r="AD255" s="386"/>
      <c r="AE255" s="386"/>
      <c r="AF255" s="386"/>
      <c r="AG255" s="386"/>
      <c r="AH255" s="386"/>
      <c r="AI255" s="386"/>
      <c r="AJ255" s="386"/>
      <c r="AK255" s="386"/>
      <c r="AL255" s="386"/>
      <c r="AM255" s="386"/>
      <c r="AN255" s="386"/>
      <c r="AO255" s="386"/>
      <c r="AP255" s="386"/>
      <c r="AQ255" s="386"/>
      <c r="AR255" s="386"/>
      <c r="AS255" s="386"/>
      <c r="AT255" s="386"/>
      <c r="AU255" s="386"/>
      <c r="AV255" s="386"/>
      <c r="AW255" s="386"/>
      <c r="AX255" s="386"/>
      <c r="AY255" s="386"/>
      <c r="AZ255" s="386"/>
      <c r="BA255" s="386"/>
      <c r="BB255" s="386"/>
      <c r="BC255" s="386"/>
      <c r="BD255" s="386"/>
      <c r="BE255" s="386"/>
      <c r="BF255" s="386"/>
      <c r="BG255" s="386"/>
      <c r="BH255" s="387"/>
      <c r="BI255" s="367"/>
      <c r="BJ255" s="87"/>
      <c r="BK255" s="86"/>
      <c r="BL255" s="85"/>
      <c r="BM255" s="84"/>
      <c r="BN255" s="84"/>
    </row>
    <row r="256" spans="1:66" s="88" customFormat="1" x14ac:dyDescent="1.4">
      <c r="A256" s="393"/>
      <c r="B256" s="92"/>
      <c r="C256" s="91"/>
      <c r="D256" s="90"/>
      <c r="E256" s="93"/>
      <c r="F256" s="385"/>
      <c r="G256" s="386"/>
      <c r="H256" s="386"/>
      <c r="I256" s="386"/>
      <c r="J256" s="386"/>
      <c r="K256" s="386"/>
      <c r="L256" s="386"/>
      <c r="M256" s="386"/>
      <c r="N256" s="386"/>
      <c r="O256" s="386"/>
      <c r="P256" s="386"/>
      <c r="Q256" s="386"/>
      <c r="R256" s="386"/>
      <c r="S256" s="386"/>
      <c r="T256" s="386"/>
      <c r="U256" s="386"/>
      <c r="V256" s="386"/>
      <c r="W256" s="386"/>
      <c r="X256" s="386"/>
      <c r="Y256" s="386"/>
      <c r="Z256" s="386"/>
      <c r="AA256" s="386"/>
      <c r="AB256" s="386"/>
      <c r="AC256" s="386"/>
      <c r="AD256" s="386"/>
      <c r="AE256" s="386"/>
      <c r="AF256" s="386"/>
      <c r="AG256" s="386"/>
      <c r="AH256" s="386"/>
      <c r="AI256" s="386"/>
      <c r="AJ256" s="386"/>
      <c r="AK256" s="386"/>
      <c r="AL256" s="386"/>
      <c r="AM256" s="386"/>
      <c r="AN256" s="386"/>
      <c r="AO256" s="386"/>
      <c r="AP256" s="386"/>
      <c r="AQ256" s="386"/>
      <c r="AR256" s="386"/>
      <c r="AS256" s="386"/>
      <c r="AT256" s="386"/>
      <c r="AU256" s="386"/>
      <c r="AV256" s="386"/>
      <c r="AW256" s="386"/>
      <c r="AX256" s="386"/>
      <c r="AY256" s="386"/>
      <c r="AZ256" s="386"/>
      <c r="BA256" s="386"/>
      <c r="BB256" s="386"/>
      <c r="BC256" s="386"/>
      <c r="BD256" s="386"/>
      <c r="BE256" s="386"/>
      <c r="BF256" s="386"/>
      <c r="BG256" s="386"/>
      <c r="BH256" s="387"/>
      <c r="BI256" s="367"/>
      <c r="BJ256" s="87"/>
      <c r="BK256" s="86"/>
      <c r="BL256" s="85"/>
      <c r="BM256" s="84"/>
      <c r="BN256" s="84"/>
    </row>
    <row r="257" spans="1:66" s="88" customFormat="1" x14ac:dyDescent="1.4">
      <c r="A257" s="393"/>
      <c r="B257" s="92"/>
      <c r="C257" s="91"/>
      <c r="D257" s="90"/>
      <c r="E257" s="93"/>
      <c r="F257" s="385"/>
      <c r="G257" s="386"/>
      <c r="H257" s="386"/>
      <c r="I257" s="386"/>
      <c r="J257" s="386"/>
      <c r="K257" s="386"/>
      <c r="L257" s="386"/>
      <c r="M257" s="386"/>
      <c r="N257" s="386"/>
      <c r="O257" s="386"/>
      <c r="P257" s="386"/>
      <c r="Q257" s="386"/>
      <c r="R257" s="386"/>
      <c r="S257" s="386"/>
      <c r="T257" s="386"/>
      <c r="U257" s="386"/>
      <c r="V257" s="386"/>
      <c r="W257" s="386"/>
      <c r="X257" s="386"/>
      <c r="Y257" s="386"/>
      <c r="Z257" s="386"/>
      <c r="AA257" s="386"/>
      <c r="AB257" s="386"/>
      <c r="AC257" s="386"/>
      <c r="AD257" s="386"/>
      <c r="AE257" s="386"/>
      <c r="AF257" s="386"/>
      <c r="AG257" s="386"/>
      <c r="AH257" s="386"/>
      <c r="AI257" s="386"/>
      <c r="AJ257" s="386"/>
      <c r="AK257" s="386"/>
      <c r="AL257" s="386"/>
      <c r="AM257" s="386"/>
      <c r="AN257" s="386"/>
      <c r="AO257" s="386"/>
      <c r="AP257" s="386"/>
      <c r="AQ257" s="386"/>
      <c r="AR257" s="386"/>
      <c r="AS257" s="386"/>
      <c r="AT257" s="386"/>
      <c r="AU257" s="386"/>
      <c r="AV257" s="386"/>
      <c r="AW257" s="386"/>
      <c r="AX257" s="386"/>
      <c r="AY257" s="386"/>
      <c r="AZ257" s="386"/>
      <c r="BA257" s="386"/>
      <c r="BB257" s="386"/>
      <c r="BC257" s="386"/>
      <c r="BD257" s="386"/>
      <c r="BE257" s="386"/>
      <c r="BF257" s="386"/>
      <c r="BG257" s="386"/>
      <c r="BH257" s="387"/>
      <c r="BI257" s="367"/>
      <c r="BJ257" s="87"/>
      <c r="BK257" s="86"/>
      <c r="BL257" s="85"/>
      <c r="BM257" s="84"/>
      <c r="BN257" s="84"/>
    </row>
    <row r="258" spans="1:66" s="88" customFormat="1" x14ac:dyDescent="1.4">
      <c r="A258" s="393"/>
      <c r="B258" s="92"/>
      <c r="C258" s="91"/>
      <c r="D258" s="90"/>
      <c r="E258" s="93"/>
      <c r="F258" s="385"/>
      <c r="G258" s="386"/>
      <c r="H258" s="386"/>
      <c r="I258" s="386"/>
      <c r="J258" s="386"/>
      <c r="K258" s="386"/>
      <c r="L258" s="386"/>
      <c r="M258" s="386"/>
      <c r="N258" s="386"/>
      <c r="O258" s="386"/>
      <c r="P258" s="386"/>
      <c r="Q258" s="386"/>
      <c r="R258" s="386"/>
      <c r="S258" s="386"/>
      <c r="T258" s="386"/>
      <c r="U258" s="386"/>
      <c r="V258" s="386"/>
      <c r="W258" s="386"/>
      <c r="X258" s="386"/>
      <c r="Y258" s="386"/>
      <c r="Z258" s="386"/>
      <c r="AA258" s="386"/>
      <c r="AB258" s="386"/>
      <c r="AC258" s="386"/>
      <c r="AD258" s="386"/>
      <c r="AE258" s="386"/>
      <c r="AF258" s="386"/>
      <c r="AG258" s="386"/>
      <c r="AH258" s="386"/>
      <c r="AI258" s="386"/>
      <c r="AJ258" s="386"/>
      <c r="AK258" s="386"/>
      <c r="AL258" s="386"/>
      <c r="AM258" s="386"/>
      <c r="AN258" s="386"/>
      <c r="AO258" s="386"/>
      <c r="AP258" s="386"/>
      <c r="AQ258" s="386"/>
      <c r="AR258" s="386"/>
      <c r="AS258" s="386"/>
      <c r="AT258" s="386"/>
      <c r="AU258" s="386"/>
      <c r="AV258" s="386"/>
      <c r="AW258" s="386"/>
      <c r="AX258" s="386"/>
      <c r="AY258" s="386"/>
      <c r="AZ258" s="386"/>
      <c r="BA258" s="386"/>
      <c r="BB258" s="386"/>
      <c r="BC258" s="386"/>
      <c r="BD258" s="386"/>
      <c r="BE258" s="386"/>
      <c r="BF258" s="386"/>
      <c r="BG258" s="386"/>
      <c r="BH258" s="387"/>
      <c r="BI258" s="367"/>
      <c r="BJ258" s="87"/>
      <c r="BK258" s="86"/>
      <c r="BL258" s="85"/>
      <c r="BM258" s="84"/>
      <c r="BN258" s="84"/>
    </row>
    <row r="259" spans="1:66" s="88" customFormat="1" x14ac:dyDescent="1.4">
      <c r="A259" s="393"/>
      <c r="B259" s="92"/>
      <c r="C259" s="91"/>
      <c r="D259" s="90"/>
      <c r="E259" s="93"/>
      <c r="F259" s="385"/>
      <c r="G259" s="386"/>
      <c r="H259" s="386"/>
      <c r="I259" s="386"/>
      <c r="J259" s="386"/>
      <c r="K259" s="386"/>
      <c r="L259" s="386"/>
      <c r="M259" s="386"/>
      <c r="N259" s="386"/>
      <c r="O259" s="386"/>
      <c r="P259" s="386"/>
      <c r="Q259" s="386"/>
      <c r="R259" s="386"/>
      <c r="S259" s="386"/>
      <c r="T259" s="386"/>
      <c r="U259" s="386"/>
      <c r="V259" s="386"/>
      <c r="W259" s="386"/>
      <c r="X259" s="386"/>
      <c r="Y259" s="386"/>
      <c r="Z259" s="386"/>
      <c r="AA259" s="386"/>
      <c r="AB259" s="386"/>
      <c r="AC259" s="386"/>
      <c r="AD259" s="386"/>
      <c r="AE259" s="386"/>
      <c r="AF259" s="386"/>
      <c r="AG259" s="386"/>
      <c r="AH259" s="386"/>
      <c r="AI259" s="386"/>
      <c r="AJ259" s="386"/>
      <c r="AK259" s="386"/>
      <c r="AL259" s="386"/>
      <c r="AM259" s="386"/>
      <c r="AN259" s="386"/>
      <c r="AO259" s="386"/>
      <c r="AP259" s="386"/>
      <c r="AQ259" s="386"/>
      <c r="AR259" s="386"/>
      <c r="AS259" s="386"/>
      <c r="AT259" s="386"/>
      <c r="AU259" s="386"/>
      <c r="AV259" s="386"/>
      <c r="AW259" s="386"/>
      <c r="AX259" s="386"/>
      <c r="AY259" s="386"/>
      <c r="AZ259" s="386"/>
      <c r="BA259" s="386"/>
      <c r="BB259" s="386"/>
      <c r="BC259" s="386"/>
      <c r="BD259" s="386"/>
      <c r="BE259" s="386"/>
      <c r="BF259" s="386"/>
      <c r="BG259" s="386"/>
      <c r="BH259" s="387"/>
      <c r="BI259" s="367"/>
      <c r="BJ259" s="87"/>
      <c r="BK259" s="86"/>
      <c r="BL259" s="85"/>
      <c r="BM259" s="84"/>
      <c r="BN259" s="84"/>
    </row>
    <row r="260" spans="1:66" s="88" customFormat="1" x14ac:dyDescent="1.4">
      <c r="A260" s="393"/>
      <c r="B260" s="92"/>
      <c r="C260" s="91"/>
      <c r="D260" s="90"/>
      <c r="E260" s="93"/>
      <c r="F260" s="385"/>
      <c r="G260" s="386"/>
      <c r="H260" s="386"/>
      <c r="I260" s="386"/>
      <c r="J260" s="386"/>
      <c r="K260" s="386"/>
      <c r="L260" s="386"/>
      <c r="M260" s="386"/>
      <c r="N260" s="386"/>
      <c r="O260" s="386"/>
      <c r="P260" s="386"/>
      <c r="Q260" s="386"/>
      <c r="R260" s="386"/>
      <c r="S260" s="386"/>
      <c r="T260" s="386"/>
      <c r="U260" s="386"/>
      <c r="V260" s="386"/>
      <c r="W260" s="386"/>
      <c r="X260" s="386"/>
      <c r="Y260" s="386"/>
      <c r="Z260" s="386"/>
      <c r="AA260" s="386"/>
      <c r="AB260" s="386"/>
      <c r="AC260" s="386"/>
      <c r="AD260" s="386"/>
      <c r="AE260" s="386"/>
      <c r="AF260" s="386"/>
      <c r="AG260" s="386"/>
      <c r="AH260" s="386"/>
      <c r="AI260" s="386"/>
      <c r="AJ260" s="386"/>
      <c r="AK260" s="386"/>
      <c r="AL260" s="386"/>
      <c r="AM260" s="386"/>
      <c r="AN260" s="386"/>
      <c r="AO260" s="386"/>
      <c r="AP260" s="386"/>
      <c r="AQ260" s="386"/>
      <c r="AR260" s="386"/>
      <c r="AS260" s="386"/>
      <c r="AT260" s="386"/>
      <c r="AU260" s="386"/>
      <c r="AV260" s="386"/>
      <c r="AW260" s="386"/>
      <c r="AX260" s="386"/>
      <c r="AY260" s="386"/>
      <c r="AZ260" s="386"/>
      <c r="BA260" s="386"/>
      <c r="BB260" s="386"/>
      <c r="BC260" s="386"/>
      <c r="BD260" s="386"/>
      <c r="BE260" s="386"/>
      <c r="BF260" s="386"/>
      <c r="BG260" s="386"/>
      <c r="BH260" s="387"/>
      <c r="BI260" s="367"/>
      <c r="BJ260" s="87"/>
      <c r="BK260" s="86"/>
      <c r="BL260" s="85"/>
      <c r="BM260" s="84"/>
      <c r="BN260" s="84"/>
    </row>
    <row r="261" spans="1:66" s="88" customFormat="1" x14ac:dyDescent="1.4">
      <c r="A261" s="393"/>
      <c r="B261" s="92"/>
      <c r="C261" s="91"/>
      <c r="D261" s="90"/>
      <c r="E261" s="93"/>
      <c r="F261" s="385"/>
      <c r="G261" s="386"/>
      <c r="H261" s="386"/>
      <c r="I261" s="386"/>
      <c r="J261" s="386"/>
      <c r="K261" s="386"/>
      <c r="L261" s="386"/>
      <c r="M261" s="386"/>
      <c r="N261" s="386"/>
      <c r="O261" s="386"/>
      <c r="P261" s="386"/>
      <c r="Q261" s="386"/>
      <c r="R261" s="386"/>
      <c r="S261" s="386"/>
      <c r="T261" s="386"/>
      <c r="U261" s="386"/>
      <c r="V261" s="386"/>
      <c r="W261" s="386"/>
      <c r="X261" s="386"/>
      <c r="Y261" s="386"/>
      <c r="Z261" s="386"/>
      <c r="AA261" s="386"/>
      <c r="AB261" s="386"/>
      <c r="AC261" s="386"/>
      <c r="AD261" s="386"/>
      <c r="AE261" s="386"/>
      <c r="AF261" s="386"/>
      <c r="AG261" s="386"/>
      <c r="AH261" s="386"/>
      <c r="AI261" s="386"/>
      <c r="AJ261" s="386"/>
      <c r="AK261" s="386"/>
      <c r="AL261" s="386"/>
      <c r="AM261" s="386"/>
      <c r="AN261" s="386"/>
      <c r="AO261" s="386"/>
      <c r="AP261" s="386"/>
      <c r="AQ261" s="386"/>
      <c r="AR261" s="386"/>
      <c r="AS261" s="386"/>
      <c r="AT261" s="386"/>
      <c r="AU261" s="386"/>
      <c r="AV261" s="386"/>
      <c r="AW261" s="386"/>
      <c r="AX261" s="386"/>
      <c r="AY261" s="386"/>
      <c r="AZ261" s="386"/>
      <c r="BA261" s="386"/>
      <c r="BB261" s="386"/>
      <c r="BC261" s="386"/>
      <c r="BD261" s="386"/>
      <c r="BE261" s="386"/>
      <c r="BF261" s="386"/>
      <c r="BG261" s="386"/>
      <c r="BH261" s="387"/>
      <c r="BI261" s="367"/>
      <c r="BJ261" s="87"/>
      <c r="BK261" s="86"/>
      <c r="BL261" s="85"/>
      <c r="BM261" s="84"/>
      <c r="BN261" s="84"/>
    </row>
    <row r="262" spans="1:66" s="88" customFormat="1" x14ac:dyDescent="1.4">
      <c r="A262" s="393"/>
      <c r="B262" s="92"/>
      <c r="C262" s="91"/>
      <c r="D262" s="90"/>
      <c r="E262" s="93"/>
      <c r="F262" s="385"/>
      <c r="G262" s="386"/>
      <c r="H262" s="386"/>
      <c r="I262" s="386"/>
      <c r="J262" s="386"/>
      <c r="K262" s="386"/>
      <c r="L262" s="386"/>
      <c r="M262" s="386"/>
      <c r="N262" s="386"/>
      <c r="O262" s="386"/>
      <c r="P262" s="386"/>
      <c r="Q262" s="386"/>
      <c r="R262" s="386"/>
      <c r="S262" s="386"/>
      <c r="T262" s="386"/>
      <c r="U262" s="386"/>
      <c r="V262" s="386"/>
      <c r="W262" s="386"/>
      <c r="X262" s="386"/>
      <c r="Y262" s="386"/>
      <c r="Z262" s="386"/>
      <c r="AA262" s="386"/>
      <c r="AB262" s="386"/>
      <c r="AC262" s="386"/>
      <c r="AD262" s="386"/>
      <c r="AE262" s="386"/>
      <c r="AF262" s="386"/>
      <c r="AG262" s="386"/>
      <c r="AH262" s="386"/>
      <c r="AI262" s="386"/>
      <c r="AJ262" s="386"/>
      <c r="AK262" s="386"/>
      <c r="AL262" s="386"/>
      <c r="AM262" s="386"/>
      <c r="AN262" s="386"/>
      <c r="AO262" s="386"/>
      <c r="AP262" s="386"/>
      <c r="AQ262" s="386"/>
      <c r="AR262" s="386"/>
      <c r="AS262" s="386"/>
      <c r="AT262" s="386"/>
      <c r="AU262" s="386"/>
      <c r="AV262" s="386"/>
      <c r="AW262" s="386"/>
      <c r="AX262" s="386"/>
      <c r="AY262" s="386"/>
      <c r="AZ262" s="386"/>
      <c r="BA262" s="386"/>
      <c r="BB262" s="386"/>
      <c r="BC262" s="386"/>
      <c r="BD262" s="386"/>
      <c r="BE262" s="386"/>
      <c r="BF262" s="386"/>
      <c r="BG262" s="386"/>
      <c r="BH262" s="387"/>
      <c r="BI262" s="367"/>
      <c r="BJ262" s="87"/>
      <c r="BK262" s="86"/>
      <c r="BL262" s="85"/>
      <c r="BM262" s="84"/>
      <c r="BN262" s="84"/>
    </row>
    <row r="263" spans="1:66" s="88" customFormat="1" x14ac:dyDescent="1.4">
      <c r="A263" s="393"/>
      <c r="B263" s="92"/>
      <c r="C263" s="91"/>
      <c r="D263" s="90"/>
      <c r="E263" s="93"/>
      <c r="F263" s="385"/>
      <c r="G263" s="386"/>
      <c r="H263" s="386"/>
      <c r="I263" s="386"/>
      <c r="J263" s="386"/>
      <c r="K263" s="386"/>
      <c r="L263" s="386"/>
      <c r="M263" s="386"/>
      <c r="N263" s="386"/>
      <c r="O263" s="386"/>
      <c r="P263" s="386"/>
      <c r="Q263" s="386"/>
      <c r="R263" s="386"/>
      <c r="S263" s="386"/>
      <c r="T263" s="386"/>
      <c r="U263" s="386"/>
      <c r="V263" s="386"/>
      <c r="W263" s="386"/>
      <c r="X263" s="386"/>
      <c r="Y263" s="386"/>
      <c r="Z263" s="386"/>
      <c r="AA263" s="386"/>
      <c r="AB263" s="386"/>
      <c r="AC263" s="386"/>
      <c r="AD263" s="386"/>
      <c r="AE263" s="386"/>
      <c r="AF263" s="386"/>
      <c r="AG263" s="386"/>
      <c r="AH263" s="386"/>
      <c r="AI263" s="386"/>
      <c r="AJ263" s="386"/>
      <c r="AK263" s="386"/>
      <c r="AL263" s="386"/>
      <c r="AM263" s="386"/>
      <c r="AN263" s="386"/>
      <c r="AO263" s="386"/>
      <c r="AP263" s="386"/>
      <c r="AQ263" s="386"/>
      <c r="AR263" s="386"/>
      <c r="AS263" s="386"/>
      <c r="AT263" s="386"/>
      <c r="AU263" s="386"/>
      <c r="AV263" s="386"/>
      <c r="AW263" s="386"/>
      <c r="AX263" s="386"/>
      <c r="AY263" s="386"/>
      <c r="AZ263" s="386"/>
      <c r="BA263" s="386"/>
      <c r="BB263" s="386"/>
      <c r="BC263" s="386"/>
      <c r="BD263" s="386"/>
      <c r="BE263" s="386"/>
      <c r="BF263" s="386"/>
      <c r="BG263" s="386"/>
      <c r="BH263" s="387"/>
      <c r="BI263" s="367"/>
      <c r="BJ263" s="87"/>
      <c r="BK263" s="86"/>
      <c r="BL263" s="85"/>
      <c r="BM263" s="84"/>
      <c r="BN263" s="84"/>
    </row>
    <row r="264" spans="1:66" s="88" customFormat="1" x14ac:dyDescent="1.4">
      <c r="A264" s="393"/>
      <c r="B264" s="92"/>
      <c r="C264" s="91"/>
      <c r="D264" s="90"/>
      <c r="E264" s="93"/>
      <c r="F264" s="385"/>
      <c r="G264" s="386"/>
      <c r="H264" s="386"/>
      <c r="I264" s="386"/>
      <c r="J264" s="386"/>
      <c r="K264" s="386"/>
      <c r="L264" s="386"/>
      <c r="M264" s="386"/>
      <c r="N264" s="386"/>
      <c r="O264" s="386"/>
      <c r="P264" s="386"/>
      <c r="Q264" s="386"/>
      <c r="R264" s="386"/>
      <c r="S264" s="386"/>
      <c r="T264" s="386"/>
      <c r="U264" s="386"/>
      <c r="V264" s="386"/>
      <c r="W264" s="386"/>
      <c r="X264" s="386"/>
      <c r="Y264" s="386"/>
      <c r="Z264" s="386"/>
      <c r="AA264" s="386"/>
      <c r="AB264" s="386"/>
      <c r="AC264" s="386"/>
      <c r="AD264" s="386"/>
      <c r="AE264" s="386"/>
      <c r="AF264" s="386"/>
      <c r="AG264" s="386"/>
      <c r="AH264" s="386"/>
      <c r="AI264" s="386"/>
      <c r="AJ264" s="386"/>
      <c r="AK264" s="386"/>
      <c r="AL264" s="386"/>
      <c r="AM264" s="386"/>
      <c r="AN264" s="386"/>
      <c r="AO264" s="386"/>
      <c r="AP264" s="386"/>
      <c r="AQ264" s="386"/>
      <c r="AR264" s="386"/>
      <c r="AS264" s="386"/>
      <c r="AT264" s="386"/>
      <c r="AU264" s="386"/>
      <c r="AV264" s="386"/>
      <c r="AW264" s="386"/>
      <c r="AX264" s="386"/>
      <c r="AY264" s="386"/>
      <c r="AZ264" s="386"/>
      <c r="BA264" s="386"/>
      <c r="BB264" s="386"/>
      <c r="BC264" s="386"/>
      <c r="BD264" s="386"/>
      <c r="BE264" s="386"/>
      <c r="BF264" s="386"/>
      <c r="BG264" s="386"/>
      <c r="BH264" s="387"/>
      <c r="BI264" s="367"/>
      <c r="BJ264" s="87"/>
      <c r="BK264" s="86"/>
      <c r="BL264" s="85"/>
      <c r="BM264" s="84"/>
      <c r="BN264" s="84"/>
    </row>
    <row r="265" spans="1:66" s="88" customFormat="1" x14ac:dyDescent="1.4">
      <c r="A265" s="393"/>
      <c r="B265" s="92"/>
      <c r="C265" s="91"/>
      <c r="D265" s="90"/>
      <c r="E265" s="93"/>
      <c r="F265" s="385"/>
      <c r="G265" s="386"/>
      <c r="H265" s="386"/>
      <c r="I265" s="386"/>
      <c r="J265" s="386"/>
      <c r="K265" s="386"/>
      <c r="L265" s="386"/>
      <c r="M265" s="386"/>
      <c r="N265" s="386"/>
      <c r="O265" s="386"/>
      <c r="P265" s="386"/>
      <c r="Q265" s="386"/>
      <c r="R265" s="386"/>
      <c r="S265" s="386"/>
      <c r="T265" s="386"/>
      <c r="U265" s="386"/>
      <c r="V265" s="386"/>
      <c r="W265" s="386"/>
      <c r="X265" s="386"/>
      <c r="Y265" s="386"/>
      <c r="Z265" s="386"/>
      <c r="AA265" s="386"/>
      <c r="AB265" s="386"/>
      <c r="AC265" s="386"/>
      <c r="AD265" s="386"/>
      <c r="AE265" s="386"/>
      <c r="AF265" s="386"/>
      <c r="AG265" s="386"/>
      <c r="AH265" s="386"/>
      <c r="AI265" s="386"/>
      <c r="AJ265" s="386"/>
      <c r="AK265" s="386"/>
      <c r="AL265" s="386"/>
      <c r="AM265" s="386"/>
      <c r="AN265" s="386"/>
      <c r="AO265" s="386"/>
      <c r="AP265" s="386"/>
      <c r="AQ265" s="386"/>
      <c r="AR265" s="386"/>
      <c r="AS265" s="386"/>
      <c r="AT265" s="386"/>
      <c r="AU265" s="386"/>
      <c r="AV265" s="386"/>
      <c r="AW265" s="386"/>
      <c r="AX265" s="386"/>
      <c r="AY265" s="386"/>
      <c r="AZ265" s="386"/>
      <c r="BA265" s="386"/>
      <c r="BB265" s="386"/>
      <c r="BC265" s="386"/>
      <c r="BD265" s="386"/>
      <c r="BE265" s="386"/>
      <c r="BF265" s="386"/>
      <c r="BG265" s="386"/>
      <c r="BH265" s="387"/>
      <c r="BI265" s="367"/>
      <c r="BJ265" s="87"/>
      <c r="BK265" s="86"/>
      <c r="BL265" s="85"/>
      <c r="BM265" s="84"/>
      <c r="BN265" s="84"/>
    </row>
    <row r="266" spans="1:66" s="88" customFormat="1" x14ac:dyDescent="1.4">
      <c r="A266" s="393"/>
      <c r="B266" s="92"/>
      <c r="C266" s="91"/>
      <c r="D266" s="90"/>
      <c r="E266" s="93"/>
      <c r="F266" s="385"/>
      <c r="G266" s="386"/>
      <c r="H266" s="386"/>
      <c r="I266" s="386"/>
      <c r="J266" s="386"/>
      <c r="K266" s="386"/>
      <c r="L266" s="386"/>
      <c r="M266" s="386"/>
      <c r="N266" s="386"/>
      <c r="O266" s="386"/>
      <c r="P266" s="386"/>
      <c r="Q266" s="386"/>
      <c r="R266" s="386"/>
      <c r="S266" s="386"/>
      <c r="T266" s="386"/>
      <c r="U266" s="386"/>
      <c r="V266" s="386"/>
      <c r="W266" s="386"/>
      <c r="X266" s="386"/>
      <c r="Y266" s="386"/>
      <c r="Z266" s="386"/>
      <c r="AA266" s="386"/>
      <c r="AB266" s="386"/>
      <c r="AC266" s="386"/>
      <c r="AD266" s="386"/>
      <c r="AE266" s="386"/>
      <c r="AF266" s="386"/>
      <c r="AG266" s="386"/>
      <c r="AH266" s="386"/>
      <c r="AI266" s="386"/>
      <c r="AJ266" s="386"/>
      <c r="AK266" s="386"/>
      <c r="AL266" s="386"/>
      <c r="AM266" s="386"/>
      <c r="AN266" s="386"/>
      <c r="AO266" s="386"/>
      <c r="AP266" s="386"/>
      <c r="AQ266" s="386"/>
      <c r="AR266" s="386"/>
      <c r="AS266" s="386"/>
      <c r="AT266" s="386"/>
      <c r="AU266" s="386"/>
      <c r="AV266" s="386"/>
      <c r="AW266" s="386"/>
      <c r="AX266" s="386"/>
      <c r="AY266" s="386"/>
      <c r="AZ266" s="386"/>
      <c r="BA266" s="386"/>
      <c r="BB266" s="386"/>
      <c r="BC266" s="386"/>
      <c r="BD266" s="386"/>
      <c r="BE266" s="386"/>
      <c r="BF266" s="386"/>
      <c r="BG266" s="386"/>
      <c r="BH266" s="387"/>
      <c r="BI266" s="367"/>
      <c r="BJ266" s="87"/>
      <c r="BK266" s="86"/>
      <c r="BL266" s="85"/>
      <c r="BM266" s="84"/>
      <c r="BN266" s="84"/>
    </row>
    <row r="267" spans="1:66" s="88" customFormat="1" x14ac:dyDescent="1.4">
      <c r="A267" s="393"/>
      <c r="B267" s="92"/>
      <c r="C267" s="91"/>
      <c r="D267" s="90"/>
      <c r="E267" s="93"/>
      <c r="F267" s="385"/>
      <c r="G267" s="386"/>
      <c r="H267" s="386"/>
      <c r="I267" s="386"/>
      <c r="J267" s="386"/>
      <c r="K267" s="386"/>
      <c r="L267" s="386"/>
      <c r="M267" s="386"/>
      <c r="N267" s="386"/>
      <c r="O267" s="386"/>
      <c r="P267" s="386"/>
      <c r="Q267" s="386"/>
      <c r="R267" s="386"/>
      <c r="S267" s="386"/>
      <c r="T267" s="386"/>
      <c r="U267" s="386"/>
      <c r="V267" s="386"/>
      <c r="W267" s="386"/>
      <c r="X267" s="386"/>
      <c r="Y267" s="386"/>
      <c r="Z267" s="386"/>
      <c r="AA267" s="386"/>
      <c r="AB267" s="386"/>
      <c r="AC267" s="386"/>
      <c r="AD267" s="386"/>
      <c r="AE267" s="386"/>
      <c r="AF267" s="386"/>
      <c r="AG267" s="386"/>
      <c r="AH267" s="386"/>
      <c r="AI267" s="386"/>
      <c r="AJ267" s="386"/>
      <c r="AK267" s="386"/>
      <c r="AL267" s="386"/>
      <c r="AM267" s="386"/>
      <c r="AN267" s="386"/>
      <c r="AO267" s="386"/>
      <c r="AP267" s="386"/>
      <c r="AQ267" s="386"/>
      <c r="AR267" s="386"/>
      <c r="AS267" s="386"/>
      <c r="AT267" s="386"/>
      <c r="AU267" s="386"/>
      <c r="AV267" s="386"/>
      <c r="AW267" s="386"/>
      <c r="AX267" s="386"/>
      <c r="AY267" s="386"/>
      <c r="AZ267" s="386"/>
      <c r="BA267" s="386"/>
      <c r="BB267" s="386"/>
      <c r="BC267" s="386"/>
      <c r="BD267" s="386"/>
      <c r="BE267" s="386"/>
      <c r="BF267" s="386"/>
      <c r="BG267" s="386"/>
      <c r="BH267" s="387"/>
      <c r="BI267" s="367"/>
      <c r="BJ267" s="87"/>
      <c r="BK267" s="86"/>
      <c r="BL267" s="85"/>
      <c r="BM267" s="84"/>
      <c r="BN267" s="84"/>
    </row>
    <row r="268" spans="1:66" s="88" customFormat="1" x14ac:dyDescent="1.4">
      <c r="A268" s="393"/>
      <c r="B268" s="92"/>
      <c r="C268" s="91"/>
      <c r="D268" s="90"/>
      <c r="E268" s="93"/>
      <c r="F268" s="385"/>
      <c r="G268" s="386"/>
      <c r="H268" s="386"/>
      <c r="I268" s="386"/>
      <c r="J268" s="386"/>
      <c r="K268" s="386"/>
      <c r="L268" s="386"/>
      <c r="M268" s="386"/>
      <c r="N268" s="386"/>
      <c r="O268" s="386"/>
      <c r="P268" s="386"/>
      <c r="Q268" s="386"/>
      <c r="R268" s="386"/>
      <c r="S268" s="386"/>
      <c r="T268" s="386"/>
      <c r="U268" s="386"/>
      <c r="V268" s="386"/>
      <c r="W268" s="386"/>
      <c r="X268" s="386"/>
      <c r="Y268" s="386"/>
      <c r="Z268" s="386"/>
      <c r="AA268" s="386"/>
      <c r="AB268" s="386"/>
      <c r="AC268" s="386"/>
      <c r="AD268" s="386"/>
      <c r="AE268" s="386"/>
      <c r="AF268" s="386"/>
      <c r="AG268" s="386"/>
      <c r="AH268" s="386"/>
      <c r="AI268" s="386"/>
      <c r="AJ268" s="386"/>
      <c r="AK268" s="386"/>
      <c r="AL268" s="386"/>
      <c r="AM268" s="386"/>
      <c r="AN268" s="386"/>
      <c r="AO268" s="386"/>
      <c r="AP268" s="386"/>
      <c r="AQ268" s="386"/>
      <c r="AR268" s="386"/>
      <c r="AS268" s="386"/>
      <c r="AT268" s="386"/>
      <c r="AU268" s="386"/>
      <c r="AV268" s="386"/>
      <c r="AW268" s="386"/>
      <c r="AX268" s="386"/>
      <c r="AY268" s="386"/>
      <c r="AZ268" s="386"/>
      <c r="BA268" s="386"/>
      <c r="BB268" s="386"/>
      <c r="BC268" s="386"/>
      <c r="BD268" s="386"/>
      <c r="BE268" s="386"/>
      <c r="BF268" s="386"/>
      <c r="BG268" s="386"/>
      <c r="BH268" s="387"/>
      <c r="BI268" s="367"/>
      <c r="BJ268" s="87"/>
      <c r="BK268" s="86"/>
      <c r="BL268" s="85"/>
      <c r="BM268" s="84"/>
      <c r="BN268" s="84"/>
    </row>
    <row r="269" spans="1:66" s="88" customFormat="1" x14ac:dyDescent="1.4">
      <c r="A269" s="393"/>
      <c r="B269" s="92"/>
      <c r="C269" s="91"/>
      <c r="D269" s="90"/>
      <c r="E269" s="93"/>
      <c r="F269" s="385"/>
      <c r="G269" s="386"/>
      <c r="H269" s="386"/>
      <c r="I269" s="386"/>
      <c r="J269" s="386"/>
      <c r="K269" s="386"/>
      <c r="L269" s="386"/>
      <c r="M269" s="386"/>
      <c r="N269" s="386"/>
      <c r="O269" s="386"/>
      <c r="P269" s="386"/>
      <c r="Q269" s="386"/>
      <c r="R269" s="386"/>
      <c r="S269" s="386"/>
      <c r="T269" s="386"/>
      <c r="U269" s="386"/>
      <c r="V269" s="386"/>
      <c r="W269" s="386"/>
      <c r="X269" s="386"/>
      <c r="Y269" s="386"/>
      <c r="Z269" s="386"/>
      <c r="AA269" s="386"/>
      <c r="AB269" s="386"/>
      <c r="AC269" s="386"/>
      <c r="AD269" s="386"/>
      <c r="AE269" s="386"/>
      <c r="AF269" s="386"/>
      <c r="AG269" s="386"/>
      <c r="AH269" s="386"/>
      <c r="AI269" s="386"/>
      <c r="AJ269" s="386"/>
      <c r="AK269" s="386"/>
      <c r="AL269" s="386"/>
      <c r="AM269" s="386"/>
      <c r="AN269" s="386"/>
      <c r="AO269" s="386"/>
      <c r="AP269" s="386"/>
      <c r="AQ269" s="386"/>
      <c r="AR269" s="386"/>
      <c r="AS269" s="386"/>
      <c r="AT269" s="386"/>
      <c r="AU269" s="386"/>
      <c r="AV269" s="386"/>
      <c r="AW269" s="386"/>
      <c r="AX269" s="386"/>
      <c r="AY269" s="386"/>
      <c r="AZ269" s="386"/>
      <c r="BA269" s="386"/>
      <c r="BB269" s="386"/>
      <c r="BC269" s="386"/>
      <c r="BD269" s="386"/>
      <c r="BE269" s="386"/>
      <c r="BF269" s="386"/>
      <c r="BG269" s="386"/>
      <c r="BH269" s="387"/>
      <c r="BI269" s="367"/>
      <c r="BJ269" s="87"/>
      <c r="BK269" s="86"/>
      <c r="BL269" s="85"/>
      <c r="BM269" s="84"/>
      <c r="BN269" s="84"/>
    </row>
    <row r="270" spans="1:66" s="88" customFormat="1" x14ac:dyDescent="1.4">
      <c r="A270" s="393"/>
      <c r="B270" s="92"/>
      <c r="C270" s="91"/>
      <c r="D270" s="90"/>
      <c r="E270" s="93"/>
      <c r="F270" s="385"/>
      <c r="G270" s="386"/>
      <c r="H270" s="386"/>
      <c r="I270" s="386"/>
      <c r="J270" s="386"/>
      <c r="K270" s="386"/>
      <c r="L270" s="386"/>
      <c r="M270" s="386"/>
      <c r="N270" s="386"/>
      <c r="O270" s="386"/>
      <c r="P270" s="386"/>
      <c r="Q270" s="386"/>
      <c r="R270" s="386"/>
      <c r="S270" s="386"/>
      <c r="T270" s="386"/>
      <c r="U270" s="386"/>
      <c r="V270" s="386"/>
      <c r="W270" s="386"/>
      <c r="X270" s="386"/>
      <c r="Y270" s="386"/>
      <c r="Z270" s="386"/>
      <c r="AA270" s="386"/>
      <c r="AB270" s="386"/>
      <c r="AC270" s="386"/>
      <c r="AD270" s="386"/>
      <c r="AE270" s="386"/>
      <c r="AF270" s="386"/>
      <c r="AG270" s="386"/>
      <c r="AH270" s="386"/>
      <c r="AI270" s="386"/>
      <c r="AJ270" s="386"/>
      <c r="AK270" s="386"/>
      <c r="AL270" s="386"/>
      <c r="AM270" s="386"/>
      <c r="AN270" s="386"/>
      <c r="AO270" s="386"/>
      <c r="AP270" s="386"/>
      <c r="AQ270" s="386"/>
      <c r="AR270" s="386"/>
      <c r="AS270" s="386"/>
      <c r="AT270" s="386"/>
      <c r="AU270" s="386"/>
      <c r="AV270" s="386"/>
      <c r="AW270" s="386"/>
      <c r="AX270" s="386"/>
      <c r="AY270" s="386"/>
      <c r="AZ270" s="386"/>
      <c r="BA270" s="386"/>
      <c r="BB270" s="386"/>
      <c r="BC270" s="386"/>
      <c r="BD270" s="386"/>
      <c r="BE270" s="386"/>
      <c r="BF270" s="386"/>
      <c r="BG270" s="386"/>
      <c r="BH270" s="387"/>
      <c r="BI270" s="367"/>
      <c r="BJ270" s="87"/>
      <c r="BK270" s="86"/>
      <c r="BL270" s="85"/>
      <c r="BM270" s="84"/>
      <c r="BN270" s="84"/>
    </row>
    <row r="271" spans="1:66" s="88" customFormat="1" x14ac:dyDescent="1.4">
      <c r="A271" s="393"/>
      <c r="B271" s="92"/>
      <c r="C271" s="91"/>
      <c r="D271" s="90"/>
      <c r="E271" s="93"/>
      <c r="F271" s="385"/>
      <c r="G271" s="386"/>
      <c r="H271" s="386"/>
      <c r="I271" s="386"/>
      <c r="J271" s="386"/>
      <c r="K271" s="386"/>
      <c r="L271" s="386"/>
      <c r="M271" s="386"/>
      <c r="N271" s="386"/>
      <c r="O271" s="386"/>
      <c r="P271" s="386"/>
      <c r="Q271" s="386"/>
      <c r="R271" s="386"/>
      <c r="S271" s="386"/>
      <c r="T271" s="386"/>
      <c r="U271" s="386"/>
      <c r="V271" s="386"/>
      <c r="W271" s="386"/>
      <c r="X271" s="386"/>
      <c r="Y271" s="386"/>
      <c r="Z271" s="386"/>
      <c r="AA271" s="386"/>
      <c r="AB271" s="386"/>
      <c r="AC271" s="386"/>
      <c r="AD271" s="386"/>
      <c r="AE271" s="386"/>
      <c r="AF271" s="386"/>
      <c r="AG271" s="386"/>
      <c r="AH271" s="386"/>
      <c r="AI271" s="386"/>
      <c r="AJ271" s="386"/>
      <c r="AK271" s="386"/>
      <c r="AL271" s="386"/>
      <c r="AM271" s="386"/>
      <c r="AN271" s="386"/>
      <c r="AO271" s="386"/>
      <c r="AP271" s="386"/>
      <c r="AQ271" s="386"/>
      <c r="AR271" s="386"/>
      <c r="AS271" s="386"/>
      <c r="AT271" s="386"/>
      <c r="AU271" s="386"/>
      <c r="AV271" s="386"/>
      <c r="AW271" s="386"/>
      <c r="AX271" s="386"/>
      <c r="AY271" s="386"/>
      <c r="AZ271" s="386"/>
      <c r="BA271" s="386"/>
      <c r="BB271" s="386"/>
      <c r="BC271" s="386"/>
      <c r="BD271" s="386"/>
      <c r="BE271" s="386"/>
      <c r="BF271" s="386"/>
      <c r="BG271" s="386"/>
      <c r="BH271" s="387"/>
      <c r="BI271" s="367"/>
      <c r="BJ271" s="87"/>
      <c r="BK271" s="86"/>
      <c r="BL271" s="85"/>
      <c r="BM271" s="84"/>
      <c r="BN271" s="84"/>
    </row>
    <row r="272" spans="1:66" s="88" customFormat="1" x14ac:dyDescent="1.4">
      <c r="A272" s="393"/>
      <c r="B272" s="92"/>
      <c r="C272" s="91"/>
      <c r="D272" s="90"/>
      <c r="E272" s="93"/>
      <c r="F272" s="385"/>
      <c r="G272" s="386"/>
      <c r="H272" s="386"/>
      <c r="I272" s="386"/>
      <c r="J272" s="386"/>
      <c r="K272" s="386"/>
      <c r="L272" s="386"/>
      <c r="M272" s="386"/>
      <c r="N272" s="386"/>
      <c r="O272" s="386"/>
      <c r="P272" s="386"/>
      <c r="Q272" s="386"/>
      <c r="R272" s="386"/>
      <c r="S272" s="386"/>
      <c r="T272" s="386"/>
      <c r="U272" s="386"/>
      <c r="V272" s="386"/>
      <c r="W272" s="386"/>
      <c r="X272" s="386"/>
      <c r="Y272" s="386"/>
      <c r="Z272" s="386"/>
      <c r="AA272" s="386"/>
      <c r="AB272" s="386"/>
      <c r="AC272" s="386"/>
      <c r="AD272" s="386"/>
      <c r="AE272" s="386"/>
      <c r="AF272" s="386"/>
      <c r="AG272" s="386"/>
      <c r="AH272" s="386"/>
      <c r="AI272" s="386"/>
      <c r="AJ272" s="386"/>
      <c r="AK272" s="386"/>
      <c r="AL272" s="386"/>
      <c r="AM272" s="386"/>
      <c r="AN272" s="386"/>
      <c r="AO272" s="386"/>
      <c r="AP272" s="386"/>
      <c r="AQ272" s="386"/>
      <c r="AR272" s="386"/>
      <c r="AS272" s="386"/>
      <c r="AT272" s="386"/>
      <c r="AU272" s="386"/>
      <c r="AV272" s="386"/>
      <c r="AW272" s="386"/>
      <c r="AX272" s="386"/>
      <c r="AY272" s="386"/>
      <c r="AZ272" s="386"/>
      <c r="BA272" s="386"/>
      <c r="BB272" s="386"/>
      <c r="BC272" s="386"/>
      <c r="BD272" s="386"/>
      <c r="BE272" s="386"/>
      <c r="BF272" s="386"/>
      <c r="BG272" s="386"/>
      <c r="BH272" s="387"/>
      <c r="BI272" s="367"/>
      <c r="BJ272" s="87"/>
      <c r="BK272" s="86"/>
      <c r="BL272" s="85"/>
      <c r="BM272" s="84"/>
      <c r="BN272" s="84"/>
    </row>
    <row r="273" spans="1:66" s="88" customFormat="1" x14ac:dyDescent="1.4">
      <c r="A273" s="393"/>
      <c r="B273" s="92"/>
      <c r="C273" s="91"/>
      <c r="D273" s="90"/>
      <c r="E273" s="93"/>
      <c r="F273" s="385"/>
      <c r="G273" s="386"/>
      <c r="H273" s="386"/>
      <c r="I273" s="386"/>
      <c r="J273" s="386"/>
      <c r="K273" s="386"/>
      <c r="L273" s="386"/>
      <c r="M273" s="386"/>
      <c r="N273" s="386"/>
      <c r="O273" s="386"/>
      <c r="P273" s="386"/>
      <c r="Q273" s="386"/>
      <c r="R273" s="386"/>
      <c r="S273" s="386"/>
      <c r="T273" s="386"/>
      <c r="U273" s="386"/>
      <c r="V273" s="386"/>
      <c r="W273" s="386"/>
      <c r="X273" s="386"/>
      <c r="Y273" s="386"/>
      <c r="Z273" s="386"/>
      <c r="AA273" s="386"/>
      <c r="AB273" s="386"/>
      <c r="AC273" s="386"/>
      <c r="AD273" s="386"/>
      <c r="AE273" s="386"/>
      <c r="AF273" s="386"/>
      <c r="AG273" s="386"/>
      <c r="AH273" s="386"/>
      <c r="AI273" s="386"/>
      <c r="AJ273" s="386"/>
      <c r="AK273" s="386"/>
      <c r="AL273" s="386"/>
      <c r="AM273" s="386"/>
      <c r="AN273" s="386"/>
      <c r="AO273" s="386"/>
      <c r="AP273" s="386"/>
      <c r="AQ273" s="386"/>
      <c r="AR273" s="386"/>
      <c r="AS273" s="386"/>
      <c r="AT273" s="386"/>
      <c r="AU273" s="386"/>
      <c r="AV273" s="386"/>
      <c r="AW273" s="386"/>
      <c r="AX273" s="386"/>
      <c r="AY273" s="386"/>
      <c r="AZ273" s="386"/>
      <c r="BA273" s="386"/>
      <c r="BB273" s="386"/>
      <c r="BC273" s="386"/>
      <c r="BD273" s="386"/>
      <c r="BE273" s="386"/>
      <c r="BF273" s="386"/>
      <c r="BG273" s="386"/>
      <c r="BH273" s="387"/>
      <c r="BI273" s="367"/>
      <c r="BJ273" s="87"/>
      <c r="BK273" s="86"/>
      <c r="BL273" s="85"/>
      <c r="BM273" s="84"/>
      <c r="BN273" s="84"/>
    </row>
    <row r="274" spans="1:66" s="88" customFormat="1" x14ac:dyDescent="1.4">
      <c r="A274" s="393"/>
      <c r="B274" s="92"/>
      <c r="C274" s="91"/>
      <c r="D274" s="90"/>
      <c r="E274" s="93"/>
      <c r="F274" s="385"/>
      <c r="G274" s="386"/>
      <c r="H274" s="386"/>
      <c r="I274" s="386"/>
      <c r="J274" s="386"/>
      <c r="K274" s="386"/>
      <c r="L274" s="386"/>
      <c r="M274" s="386"/>
      <c r="N274" s="386"/>
      <c r="O274" s="386"/>
      <c r="P274" s="386"/>
      <c r="Q274" s="386"/>
      <c r="R274" s="386"/>
      <c r="S274" s="386"/>
      <c r="T274" s="386"/>
      <c r="U274" s="386"/>
      <c r="V274" s="386"/>
      <c r="W274" s="386"/>
      <c r="X274" s="386"/>
      <c r="Y274" s="386"/>
      <c r="Z274" s="386"/>
      <c r="AA274" s="386"/>
      <c r="AB274" s="386"/>
      <c r="AC274" s="386"/>
      <c r="AD274" s="386"/>
      <c r="AE274" s="386"/>
      <c r="AF274" s="386"/>
      <c r="AG274" s="386"/>
      <c r="AH274" s="386"/>
      <c r="AI274" s="386"/>
      <c r="AJ274" s="386"/>
      <c r="AK274" s="386"/>
      <c r="AL274" s="386"/>
      <c r="AM274" s="386"/>
      <c r="AN274" s="386"/>
      <c r="AO274" s="386"/>
      <c r="AP274" s="386"/>
      <c r="AQ274" s="386"/>
      <c r="AR274" s="386"/>
      <c r="AS274" s="386"/>
      <c r="AT274" s="386"/>
      <c r="AU274" s="386"/>
      <c r="AV274" s="386"/>
      <c r="AW274" s="386"/>
      <c r="AX274" s="386"/>
      <c r="AY274" s="386"/>
      <c r="AZ274" s="386"/>
      <c r="BA274" s="386"/>
      <c r="BB274" s="386"/>
      <c r="BC274" s="386"/>
      <c r="BD274" s="386"/>
      <c r="BE274" s="386"/>
      <c r="BF274" s="386"/>
      <c r="BG274" s="386"/>
      <c r="BH274" s="387"/>
      <c r="BI274" s="367"/>
      <c r="BJ274" s="87"/>
      <c r="BK274" s="86"/>
      <c r="BL274" s="85"/>
      <c r="BM274" s="84"/>
      <c r="BN274" s="84"/>
    </row>
    <row r="275" spans="1:66" s="88" customFormat="1" x14ac:dyDescent="1.4">
      <c r="A275" s="393"/>
      <c r="B275" s="92"/>
      <c r="C275" s="91"/>
      <c r="D275" s="90"/>
      <c r="E275" s="93"/>
      <c r="F275" s="385"/>
      <c r="G275" s="386"/>
      <c r="H275" s="386"/>
      <c r="I275" s="386"/>
      <c r="J275" s="386"/>
      <c r="K275" s="386"/>
      <c r="L275" s="386"/>
      <c r="M275" s="386"/>
      <c r="N275" s="386"/>
      <c r="O275" s="386"/>
      <c r="P275" s="386"/>
      <c r="Q275" s="386"/>
      <c r="R275" s="386"/>
      <c r="S275" s="386"/>
      <c r="T275" s="386"/>
      <c r="U275" s="386"/>
      <c r="V275" s="386"/>
      <c r="W275" s="386"/>
      <c r="X275" s="386"/>
      <c r="Y275" s="386"/>
      <c r="Z275" s="386"/>
      <c r="AA275" s="386"/>
      <c r="AB275" s="386"/>
      <c r="AC275" s="386"/>
      <c r="AD275" s="386"/>
      <c r="AE275" s="386"/>
      <c r="AF275" s="386"/>
      <c r="AG275" s="386"/>
      <c r="AH275" s="386"/>
      <c r="AI275" s="386"/>
      <c r="AJ275" s="386"/>
      <c r="AK275" s="386"/>
      <c r="AL275" s="386"/>
      <c r="AM275" s="386"/>
      <c r="AN275" s="386"/>
      <c r="AO275" s="386"/>
      <c r="AP275" s="386"/>
      <c r="AQ275" s="386"/>
      <c r="AR275" s="386"/>
      <c r="AS275" s="386"/>
      <c r="AT275" s="386"/>
      <c r="AU275" s="386"/>
      <c r="AV275" s="386"/>
      <c r="AW275" s="386"/>
      <c r="AX275" s="386"/>
      <c r="AY275" s="386"/>
      <c r="AZ275" s="386"/>
      <c r="BA275" s="386"/>
      <c r="BB275" s="386"/>
      <c r="BC275" s="386"/>
      <c r="BD275" s="386"/>
      <c r="BE275" s="386"/>
      <c r="BF275" s="386"/>
      <c r="BG275" s="386"/>
      <c r="BH275" s="387"/>
      <c r="BI275" s="367"/>
      <c r="BJ275" s="87"/>
      <c r="BK275" s="86"/>
      <c r="BL275" s="85"/>
      <c r="BM275" s="84"/>
      <c r="BN275" s="84"/>
    </row>
    <row r="276" spans="1:66" s="88" customFormat="1" x14ac:dyDescent="1.4">
      <c r="A276" s="393"/>
      <c r="B276" s="92"/>
      <c r="C276" s="91"/>
      <c r="D276" s="90"/>
      <c r="E276" s="93"/>
      <c r="F276" s="385"/>
      <c r="G276" s="386"/>
      <c r="H276" s="386"/>
      <c r="I276" s="386"/>
      <c r="J276" s="386"/>
      <c r="K276" s="386"/>
      <c r="L276" s="386"/>
      <c r="M276" s="386"/>
      <c r="N276" s="386"/>
      <c r="O276" s="386"/>
      <c r="P276" s="386"/>
      <c r="Q276" s="386"/>
      <c r="R276" s="386"/>
      <c r="S276" s="386"/>
      <c r="T276" s="386"/>
      <c r="U276" s="386"/>
      <c r="V276" s="386"/>
      <c r="W276" s="386"/>
      <c r="X276" s="386"/>
      <c r="Y276" s="386"/>
      <c r="Z276" s="386"/>
      <c r="AA276" s="386"/>
      <c r="AB276" s="386"/>
      <c r="AC276" s="386"/>
      <c r="AD276" s="386"/>
      <c r="AE276" s="386"/>
      <c r="AF276" s="386"/>
      <c r="AG276" s="386"/>
      <c r="AH276" s="386"/>
      <c r="AI276" s="386"/>
      <c r="AJ276" s="386"/>
      <c r="AK276" s="386"/>
      <c r="AL276" s="386"/>
      <c r="AM276" s="386"/>
      <c r="AN276" s="386"/>
      <c r="AO276" s="386"/>
      <c r="AP276" s="386"/>
      <c r="AQ276" s="386"/>
      <c r="AR276" s="386"/>
      <c r="AS276" s="386"/>
      <c r="AT276" s="386"/>
      <c r="AU276" s="386"/>
      <c r="AV276" s="386"/>
      <c r="AW276" s="386"/>
      <c r="AX276" s="386"/>
      <c r="AY276" s="386"/>
      <c r="AZ276" s="386"/>
      <c r="BA276" s="386"/>
      <c r="BB276" s="386"/>
      <c r="BC276" s="386"/>
      <c r="BD276" s="386"/>
      <c r="BE276" s="386"/>
      <c r="BF276" s="386"/>
      <c r="BG276" s="386"/>
      <c r="BH276" s="387"/>
      <c r="BI276" s="367"/>
      <c r="BJ276" s="87"/>
      <c r="BK276" s="86"/>
      <c r="BL276" s="85"/>
      <c r="BM276" s="84"/>
      <c r="BN276" s="84"/>
    </row>
    <row r="277" spans="1:66" s="88" customFormat="1" x14ac:dyDescent="1.4">
      <c r="A277" s="393"/>
      <c r="B277" s="92"/>
      <c r="C277" s="91"/>
      <c r="D277" s="90"/>
      <c r="E277" s="93"/>
      <c r="F277" s="385"/>
      <c r="G277" s="386"/>
      <c r="H277" s="386"/>
      <c r="I277" s="386"/>
      <c r="J277" s="386"/>
      <c r="K277" s="386"/>
      <c r="L277" s="386"/>
      <c r="M277" s="386"/>
      <c r="N277" s="386"/>
      <c r="O277" s="386"/>
      <c r="P277" s="386"/>
      <c r="Q277" s="386"/>
      <c r="R277" s="386"/>
      <c r="S277" s="386"/>
      <c r="T277" s="386"/>
      <c r="U277" s="386"/>
      <c r="V277" s="386"/>
      <c r="W277" s="386"/>
      <c r="X277" s="386"/>
      <c r="Y277" s="386"/>
      <c r="Z277" s="386"/>
      <c r="AA277" s="386"/>
      <c r="AB277" s="386"/>
      <c r="AC277" s="386"/>
      <c r="AD277" s="386"/>
      <c r="AE277" s="386"/>
      <c r="AF277" s="386"/>
      <c r="AG277" s="386"/>
      <c r="AH277" s="386"/>
      <c r="AI277" s="386"/>
      <c r="AJ277" s="386"/>
      <c r="AK277" s="386"/>
      <c r="AL277" s="386"/>
      <c r="AM277" s="386"/>
      <c r="AN277" s="386"/>
      <c r="AO277" s="386"/>
      <c r="AP277" s="386"/>
      <c r="AQ277" s="386"/>
      <c r="AR277" s="386"/>
      <c r="AS277" s="386"/>
      <c r="AT277" s="386"/>
      <c r="AU277" s="386"/>
      <c r="AV277" s="386"/>
      <c r="AW277" s="386"/>
      <c r="AX277" s="386"/>
      <c r="AY277" s="386"/>
      <c r="AZ277" s="386"/>
      <c r="BA277" s="386"/>
      <c r="BB277" s="386"/>
      <c r="BC277" s="386"/>
      <c r="BD277" s="386"/>
      <c r="BE277" s="386"/>
      <c r="BF277" s="386"/>
      <c r="BG277" s="386"/>
      <c r="BH277" s="387"/>
      <c r="BI277" s="367"/>
      <c r="BJ277" s="87"/>
      <c r="BK277" s="86"/>
      <c r="BL277" s="85"/>
      <c r="BM277" s="84"/>
      <c r="BN277" s="84"/>
    </row>
    <row r="278" spans="1:66" s="88" customFormat="1" x14ac:dyDescent="1.4">
      <c r="A278" s="393"/>
      <c r="B278" s="92"/>
      <c r="C278" s="91"/>
      <c r="D278" s="90"/>
      <c r="E278" s="93"/>
      <c r="F278" s="385"/>
      <c r="G278" s="386"/>
      <c r="H278" s="386"/>
      <c r="I278" s="386"/>
      <c r="J278" s="386"/>
      <c r="K278" s="386"/>
      <c r="L278" s="386"/>
      <c r="M278" s="386"/>
      <c r="N278" s="386"/>
      <c r="O278" s="386"/>
      <c r="P278" s="386"/>
      <c r="Q278" s="386"/>
      <c r="R278" s="386"/>
      <c r="S278" s="386"/>
      <c r="T278" s="386"/>
      <c r="U278" s="386"/>
      <c r="V278" s="386"/>
      <c r="W278" s="386"/>
      <c r="X278" s="386"/>
      <c r="Y278" s="386"/>
      <c r="Z278" s="386"/>
      <c r="AA278" s="386"/>
      <c r="AB278" s="386"/>
      <c r="AC278" s="386"/>
      <c r="AD278" s="386"/>
      <c r="AE278" s="386"/>
      <c r="AF278" s="386"/>
      <c r="AG278" s="386"/>
      <c r="AH278" s="386"/>
      <c r="AI278" s="386"/>
      <c r="AJ278" s="386"/>
      <c r="AK278" s="386"/>
      <c r="AL278" s="386"/>
      <c r="AM278" s="386"/>
      <c r="AN278" s="386"/>
      <c r="AO278" s="386"/>
      <c r="AP278" s="386"/>
      <c r="AQ278" s="386"/>
      <c r="AR278" s="386"/>
      <c r="AS278" s="386"/>
      <c r="AT278" s="386"/>
      <c r="AU278" s="386"/>
      <c r="AV278" s="386"/>
      <c r="AW278" s="386"/>
      <c r="AX278" s="386"/>
      <c r="AY278" s="386"/>
      <c r="AZ278" s="386"/>
      <c r="BA278" s="386"/>
      <c r="BB278" s="386"/>
      <c r="BC278" s="386"/>
      <c r="BD278" s="386"/>
      <c r="BE278" s="386"/>
      <c r="BF278" s="386"/>
      <c r="BG278" s="386"/>
      <c r="BH278" s="387"/>
      <c r="BI278" s="367"/>
      <c r="BJ278" s="87"/>
      <c r="BK278" s="86"/>
      <c r="BL278" s="85"/>
      <c r="BM278" s="84"/>
      <c r="BN278" s="84"/>
    </row>
    <row r="279" spans="1:66" s="88" customFormat="1" x14ac:dyDescent="1.4">
      <c r="A279" s="393"/>
      <c r="B279" s="92"/>
      <c r="C279" s="91"/>
      <c r="D279" s="90"/>
      <c r="E279" s="93"/>
      <c r="F279" s="385"/>
      <c r="G279" s="386"/>
      <c r="H279" s="386"/>
      <c r="I279" s="386"/>
      <c r="J279" s="386"/>
      <c r="K279" s="386"/>
      <c r="L279" s="386"/>
      <c r="M279" s="386"/>
      <c r="N279" s="386"/>
      <c r="O279" s="386"/>
      <c r="P279" s="386"/>
      <c r="Q279" s="386"/>
      <c r="R279" s="386"/>
      <c r="S279" s="386"/>
      <c r="T279" s="386"/>
      <c r="U279" s="386"/>
      <c r="V279" s="386"/>
      <c r="W279" s="386"/>
      <c r="X279" s="386"/>
      <c r="Y279" s="386"/>
      <c r="Z279" s="386"/>
      <c r="AA279" s="386"/>
      <c r="AB279" s="386"/>
      <c r="AC279" s="386"/>
      <c r="AD279" s="386"/>
      <c r="AE279" s="386"/>
      <c r="AF279" s="386"/>
      <c r="AG279" s="386"/>
      <c r="AH279" s="386"/>
      <c r="AI279" s="386"/>
      <c r="AJ279" s="386"/>
      <c r="AK279" s="386"/>
      <c r="AL279" s="386"/>
      <c r="AM279" s="386"/>
      <c r="AN279" s="386"/>
      <c r="AO279" s="386"/>
      <c r="AP279" s="386"/>
      <c r="AQ279" s="386"/>
      <c r="AR279" s="386"/>
      <c r="AS279" s="386"/>
      <c r="AT279" s="386"/>
      <c r="AU279" s="386"/>
      <c r="AV279" s="386"/>
      <c r="AW279" s="386"/>
      <c r="AX279" s="386"/>
      <c r="AY279" s="386"/>
      <c r="AZ279" s="386"/>
      <c r="BA279" s="386"/>
      <c r="BB279" s="386"/>
      <c r="BC279" s="386"/>
      <c r="BD279" s="386"/>
      <c r="BE279" s="386"/>
      <c r="BF279" s="386"/>
      <c r="BG279" s="386"/>
      <c r="BH279" s="387"/>
      <c r="BI279" s="367"/>
      <c r="BJ279" s="87"/>
      <c r="BK279" s="86"/>
      <c r="BL279" s="85"/>
      <c r="BM279" s="84"/>
      <c r="BN279" s="84"/>
    </row>
    <row r="280" spans="1:66" s="88" customFormat="1" x14ac:dyDescent="1.4">
      <c r="A280" s="393"/>
      <c r="B280" s="92"/>
      <c r="C280" s="91"/>
      <c r="D280" s="90"/>
      <c r="E280" s="93"/>
      <c r="F280" s="385"/>
      <c r="G280" s="386"/>
      <c r="H280" s="386"/>
      <c r="I280" s="386"/>
      <c r="J280" s="386"/>
      <c r="K280" s="386"/>
      <c r="L280" s="386"/>
      <c r="M280" s="386"/>
      <c r="N280" s="386"/>
      <c r="O280" s="386"/>
      <c r="P280" s="386"/>
      <c r="Q280" s="386"/>
      <c r="R280" s="386"/>
      <c r="S280" s="386"/>
      <c r="T280" s="386"/>
      <c r="U280" s="386"/>
      <c r="V280" s="386"/>
      <c r="W280" s="386"/>
      <c r="X280" s="386"/>
      <c r="Y280" s="386"/>
      <c r="Z280" s="386"/>
      <c r="AA280" s="386"/>
      <c r="AB280" s="386"/>
      <c r="AC280" s="386"/>
      <c r="AD280" s="386"/>
      <c r="AE280" s="386"/>
      <c r="AF280" s="386"/>
      <c r="AG280" s="386"/>
      <c r="AH280" s="386"/>
      <c r="AI280" s="386"/>
      <c r="AJ280" s="386"/>
      <c r="AK280" s="386"/>
      <c r="AL280" s="386"/>
      <c r="AM280" s="386"/>
      <c r="AN280" s="386"/>
      <c r="AO280" s="386"/>
      <c r="AP280" s="386"/>
      <c r="AQ280" s="386"/>
      <c r="AR280" s="386"/>
      <c r="AS280" s="386"/>
      <c r="AT280" s="386"/>
      <c r="AU280" s="386"/>
      <c r="AV280" s="386"/>
      <c r="AW280" s="386"/>
      <c r="AX280" s="386"/>
      <c r="AY280" s="386"/>
      <c r="AZ280" s="386"/>
      <c r="BA280" s="386"/>
      <c r="BB280" s="386"/>
      <c r="BC280" s="386"/>
      <c r="BD280" s="386"/>
      <c r="BE280" s="386"/>
      <c r="BF280" s="386"/>
      <c r="BG280" s="386"/>
      <c r="BH280" s="387"/>
      <c r="BI280" s="367"/>
      <c r="BJ280" s="87"/>
      <c r="BK280" s="86"/>
      <c r="BL280" s="85"/>
      <c r="BM280" s="84"/>
      <c r="BN280" s="84"/>
    </row>
    <row r="281" spans="1:66" s="88" customFormat="1" x14ac:dyDescent="1.4">
      <c r="A281" s="393"/>
      <c r="B281" s="92"/>
      <c r="C281" s="91"/>
      <c r="D281" s="90"/>
      <c r="E281" s="93"/>
      <c r="F281" s="385"/>
      <c r="G281" s="386"/>
      <c r="H281" s="386"/>
      <c r="I281" s="386"/>
      <c r="J281" s="386"/>
      <c r="K281" s="386"/>
      <c r="L281" s="386"/>
      <c r="M281" s="386"/>
      <c r="N281" s="386"/>
      <c r="O281" s="386"/>
      <c r="P281" s="386"/>
      <c r="Q281" s="386"/>
      <c r="R281" s="386"/>
      <c r="S281" s="386"/>
      <c r="T281" s="386"/>
      <c r="U281" s="386"/>
      <c r="V281" s="386"/>
      <c r="W281" s="386"/>
      <c r="X281" s="386"/>
      <c r="Y281" s="386"/>
      <c r="Z281" s="386"/>
      <c r="AA281" s="386"/>
      <c r="AB281" s="386"/>
      <c r="AC281" s="386"/>
      <c r="AD281" s="386"/>
      <c r="AE281" s="386"/>
      <c r="AF281" s="386"/>
      <c r="AG281" s="386"/>
      <c r="AH281" s="386"/>
      <c r="AI281" s="386"/>
      <c r="AJ281" s="386"/>
      <c r="AK281" s="386"/>
      <c r="AL281" s="386"/>
      <c r="AM281" s="386"/>
      <c r="AN281" s="386"/>
      <c r="AO281" s="386"/>
      <c r="AP281" s="386"/>
      <c r="AQ281" s="386"/>
      <c r="AR281" s="386"/>
      <c r="AS281" s="386"/>
      <c r="AT281" s="386"/>
      <c r="AU281" s="386"/>
      <c r="AV281" s="386"/>
      <c r="AW281" s="386"/>
      <c r="AX281" s="386"/>
      <c r="AY281" s="386"/>
      <c r="AZ281" s="386"/>
      <c r="BA281" s="386"/>
      <c r="BB281" s="386"/>
      <c r="BC281" s="386"/>
      <c r="BD281" s="386"/>
      <c r="BE281" s="386"/>
      <c r="BF281" s="386"/>
      <c r="BG281" s="386"/>
      <c r="BH281" s="387"/>
      <c r="BI281" s="367"/>
      <c r="BJ281" s="87"/>
      <c r="BK281" s="86"/>
      <c r="BL281" s="85"/>
      <c r="BM281" s="84"/>
      <c r="BN281" s="84"/>
    </row>
    <row r="282" spans="1:66" s="88" customFormat="1" x14ac:dyDescent="1.4">
      <c r="A282" s="393"/>
      <c r="B282" s="92"/>
      <c r="C282" s="91"/>
      <c r="D282" s="90"/>
      <c r="E282" s="93"/>
      <c r="F282" s="385"/>
      <c r="G282" s="386"/>
      <c r="H282" s="386"/>
      <c r="I282" s="386"/>
      <c r="J282" s="386"/>
      <c r="K282" s="386"/>
      <c r="L282" s="386"/>
      <c r="M282" s="386"/>
      <c r="N282" s="386"/>
      <c r="O282" s="386"/>
      <c r="P282" s="386"/>
      <c r="Q282" s="386"/>
      <c r="R282" s="386"/>
      <c r="S282" s="386"/>
      <c r="T282" s="386"/>
      <c r="U282" s="386"/>
      <c r="V282" s="386"/>
      <c r="W282" s="386"/>
      <c r="X282" s="386"/>
      <c r="Y282" s="386"/>
      <c r="Z282" s="386"/>
      <c r="AA282" s="386"/>
      <c r="AB282" s="386"/>
      <c r="AC282" s="386"/>
      <c r="AD282" s="386"/>
      <c r="AE282" s="386"/>
      <c r="AF282" s="386"/>
      <c r="AG282" s="386"/>
      <c r="AH282" s="386"/>
      <c r="AI282" s="386"/>
      <c r="AJ282" s="386"/>
      <c r="AK282" s="386"/>
      <c r="AL282" s="386"/>
      <c r="AM282" s="386"/>
      <c r="AN282" s="386"/>
      <c r="AO282" s="386"/>
      <c r="AP282" s="386"/>
      <c r="AQ282" s="386"/>
      <c r="AR282" s="386"/>
      <c r="AS282" s="386"/>
      <c r="AT282" s="386"/>
      <c r="AU282" s="386"/>
      <c r="AV282" s="386"/>
      <c r="AW282" s="386"/>
      <c r="AX282" s="386"/>
      <c r="AY282" s="386"/>
      <c r="AZ282" s="386"/>
      <c r="BA282" s="386"/>
      <c r="BB282" s="386"/>
      <c r="BC282" s="386"/>
      <c r="BD282" s="386"/>
      <c r="BE282" s="386"/>
      <c r="BF282" s="386"/>
      <c r="BG282" s="386"/>
      <c r="BH282" s="387"/>
      <c r="BI282" s="367"/>
      <c r="BJ282" s="87"/>
      <c r="BK282" s="86"/>
      <c r="BL282" s="85"/>
      <c r="BM282" s="84"/>
      <c r="BN282" s="84"/>
    </row>
    <row r="283" spans="1:66" s="88" customFormat="1" x14ac:dyDescent="1.4">
      <c r="A283" s="393"/>
      <c r="B283" s="92"/>
      <c r="C283" s="91"/>
      <c r="D283" s="90"/>
      <c r="E283" s="93"/>
      <c r="F283" s="385"/>
      <c r="G283" s="386"/>
      <c r="H283" s="386"/>
      <c r="I283" s="386"/>
      <c r="J283" s="386"/>
      <c r="K283" s="386"/>
      <c r="L283" s="386"/>
      <c r="M283" s="386"/>
      <c r="N283" s="386"/>
      <c r="O283" s="386"/>
      <c r="P283" s="386"/>
      <c r="Q283" s="386"/>
      <c r="R283" s="386"/>
      <c r="S283" s="386"/>
      <c r="T283" s="386"/>
      <c r="U283" s="386"/>
      <c r="V283" s="386"/>
      <c r="W283" s="386"/>
      <c r="X283" s="386"/>
      <c r="Y283" s="386"/>
      <c r="Z283" s="386"/>
      <c r="AA283" s="386"/>
      <c r="AB283" s="386"/>
      <c r="AC283" s="386"/>
      <c r="AD283" s="386"/>
      <c r="AE283" s="386"/>
      <c r="AF283" s="386"/>
      <c r="AG283" s="386"/>
      <c r="AH283" s="386"/>
      <c r="AI283" s="386"/>
      <c r="AJ283" s="386"/>
      <c r="AK283" s="386"/>
      <c r="AL283" s="386"/>
      <c r="AM283" s="386"/>
      <c r="AN283" s="386"/>
      <c r="AO283" s="386"/>
      <c r="AP283" s="386"/>
      <c r="AQ283" s="386"/>
      <c r="AR283" s="386"/>
      <c r="AS283" s="386"/>
      <c r="AT283" s="386"/>
      <c r="AU283" s="386"/>
      <c r="AV283" s="386"/>
      <c r="AW283" s="386"/>
      <c r="AX283" s="386"/>
      <c r="AY283" s="386"/>
      <c r="AZ283" s="386"/>
      <c r="BA283" s="386"/>
      <c r="BB283" s="386"/>
      <c r="BC283" s="386"/>
      <c r="BD283" s="386"/>
      <c r="BE283" s="386"/>
      <c r="BF283" s="386"/>
      <c r="BG283" s="386"/>
      <c r="BH283" s="387"/>
      <c r="BI283" s="367"/>
      <c r="BJ283" s="87"/>
      <c r="BK283" s="86"/>
      <c r="BL283" s="85"/>
      <c r="BM283" s="84"/>
      <c r="BN283" s="84"/>
    </row>
    <row r="284" spans="1:66" s="88" customFormat="1" x14ac:dyDescent="1.4">
      <c r="A284" s="393"/>
      <c r="B284" s="92"/>
      <c r="C284" s="91"/>
      <c r="D284" s="90"/>
      <c r="E284" s="93"/>
      <c r="F284" s="385"/>
      <c r="G284" s="386"/>
      <c r="H284" s="386"/>
      <c r="I284" s="386"/>
      <c r="J284" s="386"/>
      <c r="K284" s="386"/>
      <c r="L284" s="386"/>
      <c r="M284" s="386"/>
      <c r="N284" s="386"/>
      <c r="O284" s="386"/>
      <c r="P284" s="386"/>
      <c r="Q284" s="386"/>
      <c r="R284" s="386"/>
      <c r="S284" s="386"/>
      <c r="T284" s="386"/>
      <c r="U284" s="386"/>
      <c r="V284" s="386"/>
      <c r="W284" s="386"/>
      <c r="X284" s="386"/>
      <c r="Y284" s="386"/>
      <c r="Z284" s="386"/>
      <c r="AA284" s="386"/>
      <c r="AB284" s="386"/>
      <c r="AC284" s="386"/>
      <c r="AD284" s="386"/>
      <c r="AE284" s="386"/>
      <c r="AF284" s="386"/>
      <c r="AG284" s="386"/>
      <c r="AH284" s="386"/>
      <c r="AI284" s="386"/>
      <c r="AJ284" s="386"/>
      <c r="AK284" s="386"/>
      <c r="AL284" s="386"/>
      <c r="AM284" s="386"/>
      <c r="AN284" s="386"/>
      <c r="AO284" s="386"/>
      <c r="AP284" s="386"/>
      <c r="AQ284" s="386"/>
      <c r="AR284" s="386"/>
      <c r="AS284" s="386"/>
      <c r="AT284" s="386"/>
      <c r="AU284" s="386"/>
      <c r="AV284" s="386"/>
      <c r="AW284" s="386"/>
      <c r="AX284" s="386"/>
      <c r="AY284" s="386"/>
      <c r="AZ284" s="386"/>
      <c r="BA284" s="386"/>
      <c r="BB284" s="386"/>
      <c r="BC284" s="386"/>
      <c r="BD284" s="386"/>
      <c r="BE284" s="386"/>
      <c r="BF284" s="386"/>
      <c r="BG284" s="386"/>
      <c r="BH284" s="387"/>
      <c r="BI284" s="367"/>
      <c r="BJ284" s="87"/>
      <c r="BK284" s="86"/>
      <c r="BL284" s="85"/>
      <c r="BM284" s="84"/>
      <c r="BN284" s="84"/>
    </row>
    <row r="285" spans="1:66" s="88" customFormat="1" x14ac:dyDescent="1.4">
      <c r="A285" s="393"/>
      <c r="B285" s="92"/>
      <c r="C285" s="91"/>
      <c r="D285" s="90"/>
      <c r="E285" s="93"/>
      <c r="F285" s="385"/>
      <c r="G285" s="386"/>
      <c r="H285" s="386"/>
      <c r="I285" s="386"/>
      <c r="J285" s="386"/>
      <c r="K285" s="386"/>
      <c r="L285" s="386"/>
      <c r="M285" s="386"/>
      <c r="N285" s="386"/>
      <c r="O285" s="386"/>
      <c r="P285" s="386"/>
      <c r="Q285" s="386"/>
      <c r="R285" s="386"/>
      <c r="S285" s="386"/>
      <c r="T285" s="386"/>
      <c r="U285" s="386"/>
      <c r="V285" s="386"/>
      <c r="W285" s="386"/>
      <c r="X285" s="386"/>
      <c r="Y285" s="386"/>
      <c r="Z285" s="386"/>
      <c r="AA285" s="386"/>
      <c r="AB285" s="386"/>
      <c r="AC285" s="386"/>
      <c r="AD285" s="386"/>
      <c r="AE285" s="386"/>
      <c r="AF285" s="386"/>
      <c r="AG285" s="386"/>
      <c r="AH285" s="386"/>
      <c r="AI285" s="386"/>
      <c r="AJ285" s="386"/>
      <c r="AK285" s="386"/>
      <c r="AL285" s="386"/>
      <c r="AM285" s="386"/>
      <c r="AN285" s="386"/>
      <c r="AO285" s="386"/>
      <c r="AP285" s="386"/>
      <c r="AQ285" s="386"/>
      <c r="AR285" s="386"/>
      <c r="AS285" s="386"/>
      <c r="AT285" s="386"/>
      <c r="AU285" s="386"/>
      <c r="AV285" s="386"/>
      <c r="AW285" s="386"/>
      <c r="AX285" s="386"/>
      <c r="AY285" s="386"/>
      <c r="AZ285" s="386"/>
      <c r="BA285" s="386"/>
      <c r="BB285" s="386"/>
      <c r="BC285" s="386"/>
      <c r="BD285" s="386"/>
      <c r="BE285" s="386"/>
      <c r="BF285" s="386"/>
      <c r="BG285" s="386"/>
      <c r="BH285" s="387"/>
      <c r="BI285" s="367"/>
      <c r="BJ285" s="87"/>
      <c r="BK285" s="86"/>
      <c r="BL285" s="85"/>
      <c r="BM285" s="84"/>
      <c r="BN285" s="84"/>
    </row>
    <row r="286" spans="1:66" s="88" customFormat="1" x14ac:dyDescent="1.4">
      <c r="A286" s="393"/>
      <c r="B286" s="92"/>
      <c r="C286" s="91"/>
      <c r="D286" s="90"/>
      <c r="E286" s="93"/>
      <c r="F286" s="385"/>
      <c r="G286" s="386"/>
      <c r="H286" s="386"/>
      <c r="I286" s="386"/>
      <c r="J286" s="386"/>
      <c r="K286" s="386"/>
      <c r="L286" s="386"/>
      <c r="M286" s="386"/>
      <c r="N286" s="386"/>
      <c r="O286" s="386"/>
      <c r="P286" s="386"/>
      <c r="Q286" s="386"/>
      <c r="R286" s="386"/>
      <c r="S286" s="386"/>
      <c r="T286" s="386"/>
      <c r="U286" s="386"/>
      <c r="V286" s="386"/>
      <c r="W286" s="386"/>
      <c r="X286" s="386"/>
      <c r="Y286" s="386"/>
      <c r="Z286" s="386"/>
      <c r="AA286" s="386"/>
      <c r="AB286" s="386"/>
      <c r="AC286" s="386"/>
      <c r="AD286" s="386"/>
      <c r="AE286" s="386"/>
      <c r="AF286" s="386"/>
      <c r="AG286" s="386"/>
      <c r="AH286" s="386"/>
      <c r="AI286" s="386"/>
      <c r="AJ286" s="386"/>
      <c r="AK286" s="386"/>
      <c r="AL286" s="386"/>
      <c r="AM286" s="386"/>
      <c r="AN286" s="386"/>
      <c r="AO286" s="386"/>
      <c r="AP286" s="386"/>
      <c r="AQ286" s="386"/>
      <c r="AR286" s="386"/>
      <c r="AS286" s="386"/>
      <c r="AT286" s="386"/>
      <c r="AU286" s="386"/>
      <c r="AV286" s="386"/>
      <c r="AW286" s="386"/>
      <c r="AX286" s="386"/>
      <c r="AY286" s="386"/>
      <c r="AZ286" s="386"/>
      <c r="BA286" s="386"/>
      <c r="BB286" s="386"/>
      <c r="BC286" s="386"/>
      <c r="BD286" s="386"/>
      <c r="BE286" s="386"/>
      <c r="BF286" s="386"/>
      <c r="BG286" s="386"/>
      <c r="BH286" s="387"/>
      <c r="BI286" s="367"/>
      <c r="BJ286" s="87"/>
      <c r="BK286" s="86"/>
      <c r="BL286" s="85"/>
      <c r="BM286" s="84"/>
      <c r="BN286" s="84"/>
    </row>
    <row r="287" spans="1:66" s="88" customFormat="1" x14ac:dyDescent="1.4">
      <c r="A287" s="393"/>
      <c r="B287" s="92"/>
      <c r="C287" s="91"/>
      <c r="D287" s="90"/>
      <c r="E287" s="93"/>
      <c r="F287" s="385"/>
      <c r="G287" s="386"/>
      <c r="H287" s="386"/>
      <c r="I287" s="386"/>
      <c r="J287" s="386"/>
      <c r="K287" s="386"/>
      <c r="L287" s="386"/>
      <c r="M287" s="386"/>
      <c r="N287" s="386"/>
      <c r="O287" s="386"/>
      <c r="P287" s="386"/>
      <c r="Q287" s="386"/>
      <c r="R287" s="386"/>
      <c r="S287" s="386"/>
      <c r="T287" s="386"/>
      <c r="U287" s="386"/>
      <c r="V287" s="386"/>
      <c r="W287" s="386"/>
      <c r="X287" s="386"/>
      <c r="Y287" s="386"/>
      <c r="Z287" s="386"/>
      <c r="AA287" s="386"/>
      <c r="AB287" s="386"/>
      <c r="AC287" s="386"/>
      <c r="AD287" s="386"/>
      <c r="AE287" s="386"/>
      <c r="AF287" s="386"/>
      <c r="AG287" s="386"/>
      <c r="AH287" s="386"/>
      <c r="AI287" s="386"/>
      <c r="AJ287" s="386"/>
      <c r="AK287" s="386"/>
      <c r="AL287" s="386"/>
      <c r="AM287" s="386"/>
      <c r="AN287" s="386"/>
      <c r="AO287" s="386"/>
      <c r="AP287" s="386"/>
      <c r="AQ287" s="386"/>
      <c r="AR287" s="386"/>
      <c r="AS287" s="386"/>
      <c r="AT287" s="386"/>
      <c r="AU287" s="386"/>
      <c r="AV287" s="386"/>
      <c r="AW287" s="386"/>
      <c r="AX287" s="386"/>
      <c r="AY287" s="386"/>
      <c r="AZ287" s="386"/>
      <c r="BA287" s="386"/>
      <c r="BB287" s="386"/>
      <c r="BC287" s="386"/>
      <c r="BD287" s="386"/>
      <c r="BE287" s="386"/>
      <c r="BF287" s="386"/>
      <c r="BG287" s="386"/>
      <c r="BH287" s="387"/>
      <c r="BI287" s="367"/>
      <c r="BJ287" s="87"/>
      <c r="BK287" s="86"/>
      <c r="BL287" s="85"/>
      <c r="BM287" s="84"/>
      <c r="BN287" s="84"/>
    </row>
    <row r="288" spans="1:66" s="88" customFormat="1" x14ac:dyDescent="1.4">
      <c r="A288" s="393"/>
      <c r="B288" s="92"/>
      <c r="C288" s="91"/>
      <c r="D288" s="90"/>
      <c r="E288" s="93"/>
      <c r="F288" s="385"/>
      <c r="G288" s="386"/>
      <c r="H288" s="386"/>
      <c r="I288" s="386"/>
      <c r="J288" s="386"/>
      <c r="K288" s="386"/>
      <c r="L288" s="386"/>
      <c r="M288" s="386"/>
      <c r="N288" s="386"/>
      <c r="O288" s="386"/>
      <c r="P288" s="386"/>
      <c r="Q288" s="386"/>
      <c r="R288" s="386"/>
      <c r="S288" s="386"/>
      <c r="T288" s="386"/>
      <c r="U288" s="386"/>
      <c r="V288" s="386"/>
      <c r="W288" s="386"/>
      <c r="X288" s="386"/>
      <c r="Y288" s="386"/>
      <c r="Z288" s="386"/>
      <c r="AA288" s="386"/>
      <c r="AB288" s="386"/>
      <c r="AC288" s="386"/>
      <c r="AD288" s="386"/>
      <c r="AE288" s="386"/>
      <c r="AF288" s="386"/>
      <c r="AG288" s="386"/>
      <c r="AH288" s="386"/>
      <c r="AI288" s="386"/>
      <c r="AJ288" s="386"/>
      <c r="AK288" s="386"/>
      <c r="AL288" s="386"/>
      <c r="AM288" s="386"/>
      <c r="AN288" s="386"/>
      <c r="AO288" s="386"/>
      <c r="AP288" s="386"/>
      <c r="AQ288" s="386"/>
      <c r="AR288" s="386"/>
      <c r="AS288" s="386"/>
      <c r="AT288" s="386"/>
      <c r="AU288" s="386"/>
      <c r="AV288" s="386"/>
      <c r="AW288" s="386"/>
      <c r="AX288" s="386"/>
      <c r="AY288" s="386"/>
      <c r="AZ288" s="386"/>
      <c r="BA288" s="386"/>
      <c r="BB288" s="386"/>
      <c r="BC288" s="386"/>
      <c r="BD288" s="386"/>
      <c r="BE288" s="386"/>
      <c r="BF288" s="386"/>
      <c r="BG288" s="386"/>
      <c r="BH288" s="387"/>
      <c r="BI288" s="367"/>
      <c r="BJ288" s="87"/>
      <c r="BK288" s="86"/>
      <c r="BL288" s="85"/>
      <c r="BM288" s="84"/>
      <c r="BN288" s="84"/>
    </row>
    <row r="289" spans="1:66" s="88" customFormat="1" x14ac:dyDescent="1.4">
      <c r="A289" s="393"/>
      <c r="B289" s="92"/>
      <c r="C289" s="91"/>
      <c r="D289" s="90"/>
      <c r="E289" s="93"/>
      <c r="F289" s="385"/>
      <c r="G289" s="386"/>
      <c r="H289" s="386"/>
      <c r="I289" s="386"/>
      <c r="J289" s="386"/>
      <c r="K289" s="386"/>
      <c r="L289" s="386"/>
      <c r="M289" s="386"/>
      <c r="N289" s="386"/>
      <c r="O289" s="386"/>
      <c r="P289" s="386"/>
      <c r="Q289" s="386"/>
      <c r="R289" s="386"/>
      <c r="S289" s="386"/>
      <c r="T289" s="386"/>
      <c r="U289" s="386"/>
      <c r="V289" s="386"/>
      <c r="W289" s="386"/>
      <c r="X289" s="386"/>
      <c r="Y289" s="386"/>
      <c r="Z289" s="386"/>
      <c r="AA289" s="386"/>
      <c r="AB289" s="386"/>
      <c r="AC289" s="386"/>
      <c r="AD289" s="386"/>
      <c r="AE289" s="386"/>
      <c r="AF289" s="386"/>
      <c r="AG289" s="386"/>
      <c r="AH289" s="386"/>
      <c r="AI289" s="386"/>
      <c r="AJ289" s="386"/>
      <c r="AK289" s="386"/>
      <c r="AL289" s="386"/>
      <c r="AM289" s="386"/>
      <c r="AN289" s="386"/>
      <c r="AO289" s="386"/>
      <c r="AP289" s="386"/>
      <c r="AQ289" s="386"/>
      <c r="AR289" s="386"/>
      <c r="AS289" s="386"/>
      <c r="AT289" s="386"/>
      <c r="AU289" s="386"/>
      <c r="AV289" s="386"/>
      <c r="AW289" s="386"/>
      <c r="AX289" s="386"/>
      <c r="AY289" s="386"/>
      <c r="AZ289" s="386"/>
      <c r="BA289" s="386"/>
      <c r="BB289" s="386"/>
      <c r="BC289" s="386"/>
      <c r="BD289" s="386"/>
      <c r="BE289" s="386"/>
      <c r="BF289" s="386"/>
      <c r="BG289" s="386"/>
      <c r="BH289" s="387"/>
      <c r="BI289" s="367"/>
      <c r="BJ289" s="87"/>
      <c r="BK289" s="86"/>
      <c r="BL289" s="85"/>
      <c r="BM289" s="84"/>
      <c r="BN289" s="84"/>
    </row>
    <row r="290" spans="1:66" s="88" customFormat="1" x14ac:dyDescent="1.4">
      <c r="A290" s="393"/>
      <c r="B290" s="92"/>
      <c r="C290" s="91"/>
      <c r="D290" s="90"/>
      <c r="E290" s="93"/>
      <c r="F290" s="385"/>
      <c r="G290" s="386"/>
      <c r="H290" s="386"/>
      <c r="I290" s="386"/>
      <c r="J290" s="386"/>
      <c r="K290" s="386"/>
      <c r="L290" s="386"/>
      <c r="M290" s="386"/>
      <c r="N290" s="386"/>
      <c r="O290" s="386"/>
      <c r="P290" s="386"/>
      <c r="Q290" s="386"/>
      <c r="R290" s="386"/>
      <c r="S290" s="386"/>
      <c r="T290" s="386"/>
      <c r="U290" s="386"/>
      <c r="V290" s="386"/>
      <c r="W290" s="386"/>
      <c r="X290" s="386"/>
      <c r="Y290" s="386"/>
      <c r="Z290" s="386"/>
      <c r="AA290" s="386"/>
      <c r="AB290" s="386"/>
      <c r="AC290" s="386"/>
      <c r="AD290" s="386"/>
      <c r="AE290" s="386"/>
      <c r="AF290" s="386"/>
      <c r="AG290" s="386"/>
      <c r="AH290" s="386"/>
      <c r="AI290" s="386"/>
      <c r="AJ290" s="386"/>
      <c r="AK290" s="386"/>
      <c r="AL290" s="386"/>
      <c r="AM290" s="386"/>
      <c r="AN290" s="386"/>
      <c r="AO290" s="386"/>
      <c r="AP290" s="386"/>
      <c r="AQ290" s="386"/>
      <c r="AR290" s="386"/>
      <c r="AS290" s="386"/>
      <c r="AT290" s="386"/>
      <c r="AU290" s="386"/>
      <c r="AV290" s="386"/>
      <c r="AW290" s="386"/>
      <c r="AX290" s="386"/>
      <c r="AY290" s="386"/>
      <c r="AZ290" s="386"/>
      <c r="BA290" s="386"/>
      <c r="BB290" s="386"/>
      <c r="BC290" s="386"/>
      <c r="BD290" s="386"/>
      <c r="BE290" s="386"/>
      <c r="BF290" s="386"/>
      <c r="BG290" s="386"/>
      <c r="BH290" s="387"/>
      <c r="BI290" s="367"/>
      <c r="BJ290" s="87"/>
      <c r="BK290" s="86"/>
      <c r="BL290" s="85"/>
      <c r="BM290" s="84"/>
      <c r="BN290" s="84"/>
    </row>
    <row r="291" spans="1:66" s="88" customFormat="1" x14ac:dyDescent="1.4">
      <c r="A291" s="393"/>
      <c r="B291" s="92"/>
      <c r="C291" s="91"/>
      <c r="D291" s="90"/>
      <c r="E291" s="93"/>
      <c r="F291" s="385"/>
      <c r="G291" s="386"/>
      <c r="H291" s="386"/>
      <c r="I291" s="386"/>
      <c r="J291" s="386"/>
      <c r="K291" s="386"/>
      <c r="L291" s="386"/>
      <c r="M291" s="386"/>
      <c r="N291" s="386"/>
      <c r="O291" s="386"/>
      <c r="P291" s="386"/>
      <c r="Q291" s="386"/>
      <c r="R291" s="386"/>
      <c r="S291" s="386"/>
      <c r="T291" s="386"/>
      <c r="U291" s="386"/>
      <c r="V291" s="386"/>
      <c r="W291" s="386"/>
      <c r="X291" s="386"/>
      <c r="Y291" s="386"/>
      <c r="Z291" s="386"/>
      <c r="AA291" s="386"/>
      <c r="AB291" s="386"/>
      <c r="AC291" s="386"/>
      <c r="AD291" s="386"/>
      <c r="AE291" s="386"/>
      <c r="AF291" s="386"/>
      <c r="AG291" s="386"/>
      <c r="AH291" s="386"/>
      <c r="AI291" s="386"/>
      <c r="AJ291" s="386"/>
      <c r="AK291" s="386"/>
      <c r="AL291" s="386"/>
      <c r="AM291" s="386"/>
      <c r="AN291" s="386"/>
      <c r="AO291" s="386"/>
      <c r="AP291" s="386"/>
      <c r="AQ291" s="386"/>
      <c r="AR291" s="386"/>
      <c r="AS291" s="386"/>
      <c r="AT291" s="386"/>
      <c r="AU291" s="386"/>
      <c r="AV291" s="386"/>
      <c r="AW291" s="386"/>
      <c r="AX291" s="386"/>
      <c r="AY291" s="386"/>
      <c r="AZ291" s="386"/>
      <c r="BA291" s="386"/>
      <c r="BB291" s="386"/>
      <c r="BC291" s="386"/>
      <c r="BD291" s="386"/>
      <c r="BE291" s="386"/>
      <c r="BF291" s="386"/>
      <c r="BG291" s="386"/>
      <c r="BH291" s="387"/>
      <c r="BI291" s="367"/>
      <c r="BJ291" s="87"/>
      <c r="BK291" s="86"/>
      <c r="BL291" s="85"/>
      <c r="BM291" s="84"/>
      <c r="BN291" s="84"/>
    </row>
    <row r="292" spans="1:66" s="88" customFormat="1" x14ac:dyDescent="1.4">
      <c r="A292" s="393"/>
      <c r="B292" s="92"/>
      <c r="C292" s="91"/>
      <c r="D292" s="90"/>
      <c r="E292" s="93"/>
      <c r="F292" s="385"/>
      <c r="G292" s="386"/>
      <c r="H292" s="386"/>
      <c r="I292" s="386"/>
      <c r="J292" s="386"/>
      <c r="K292" s="386"/>
      <c r="L292" s="386"/>
      <c r="M292" s="386"/>
      <c r="N292" s="386"/>
      <c r="O292" s="386"/>
      <c r="P292" s="386"/>
      <c r="Q292" s="386"/>
      <c r="R292" s="386"/>
      <c r="S292" s="386"/>
      <c r="T292" s="386"/>
      <c r="U292" s="386"/>
      <c r="V292" s="386"/>
      <c r="W292" s="386"/>
      <c r="X292" s="386"/>
      <c r="Y292" s="386"/>
      <c r="Z292" s="386"/>
      <c r="AA292" s="386"/>
      <c r="AB292" s="386"/>
      <c r="AC292" s="386"/>
      <c r="AD292" s="386"/>
      <c r="AE292" s="386"/>
      <c r="AF292" s="386"/>
      <c r="AG292" s="386"/>
      <c r="AH292" s="386"/>
      <c r="AI292" s="386"/>
      <c r="AJ292" s="386"/>
      <c r="AK292" s="386"/>
      <c r="AL292" s="386"/>
      <c r="AM292" s="386"/>
      <c r="AN292" s="386"/>
      <c r="AO292" s="386"/>
      <c r="AP292" s="386"/>
      <c r="AQ292" s="386"/>
      <c r="AR292" s="386"/>
      <c r="AS292" s="386"/>
      <c r="AT292" s="386"/>
      <c r="AU292" s="386"/>
      <c r="AV292" s="386"/>
      <c r="AW292" s="386"/>
      <c r="AX292" s="386"/>
      <c r="AY292" s="386"/>
      <c r="AZ292" s="386"/>
      <c r="BA292" s="386"/>
      <c r="BB292" s="386"/>
      <c r="BC292" s="386"/>
      <c r="BD292" s="386"/>
      <c r="BE292" s="386"/>
      <c r="BF292" s="386"/>
      <c r="BG292" s="386"/>
      <c r="BH292" s="387"/>
      <c r="BI292" s="367"/>
      <c r="BJ292" s="87"/>
      <c r="BK292" s="86"/>
      <c r="BL292" s="85"/>
      <c r="BM292" s="84"/>
      <c r="BN292" s="84"/>
    </row>
    <row r="293" spans="1:66" s="88" customFormat="1" x14ac:dyDescent="1.4">
      <c r="A293" s="393"/>
      <c r="B293" s="92"/>
      <c r="C293" s="91"/>
      <c r="D293" s="90"/>
      <c r="E293" s="93"/>
      <c r="F293" s="385"/>
      <c r="G293" s="386"/>
      <c r="H293" s="386"/>
      <c r="I293" s="386"/>
      <c r="J293" s="386"/>
      <c r="K293" s="386"/>
      <c r="L293" s="386"/>
      <c r="M293" s="386"/>
      <c r="N293" s="386"/>
      <c r="O293" s="386"/>
      <c r="P293" s="386"/>
      <c r="Q293" s="386"/>
      <c r="R293" s="386"/>
      <c r="S293" s="386"/>
      <c r="T293" s="386"/>
      <c r="U293" s="386"/>
      <c r="V293" s="386"/>
      <c r="W293" s="386"/>
      <c r="X293" s="386"/>
      <c r="Y293" s="386"/>
      <c r="Z293" s="386"/>
      <c r="AA293" s="386"/>
      <c r="AB293" s="386"/>
      <c r="AC293" s="386"/>
      <c r="AD293" s="386"/>
      <c r="AE293" s="386"/>
      <c r="AF293" s="386"/>
      <c r="AG293" s="386"/>
      <c r="AH293" s="386"/>
      <c r="AI293" s="386"/>
      <c r="AJ293" s="386"/>
      <c r="AK293" s="386"/>
      <c r="AL293" s="386"/>
      <c r="AM293" s="386"/>
      <c r="AN293" s="386"/>
      <c r="AO293" s="386"/>
      <c r="AP293" s="386"/>
      <c r="AQ293" s="386"/>
      <c r="AR293" s="386"/>
      <c r="AS293" s="386"/>
      <c r="AT293" s="386"/>
      <c r="AU293" s="386"/>
      <c r="AV293" s="386"/>
      <c r="AW293" s="386"/>
      <c r="AX293" s="386"/>
      <c r="AY293" s="386"/>
      <c r="AZ293" s="386"/>
      <c r="BA293" s="386"/>
      <c r="BB293" s="386"/>
      <c r="BC293" s="386"/>
      <c r="BD293" s="386"/>
      <c r="BE293" s="386"/>
      <c r="BF293" s="386"/>
      <c r="BG293" s="386"/>
      <c r="BH293" s="387"/>
      <c r="BI293" s="367"/>
      <c r="BJ293" s="87"/>
      <c r="BK293" s="86"/>
      <c r="BL293" s="85"/>
      <c r="BM293" s="84"/>
      <c r="BN293" s="84"/>
    </row>
    <row r="294" spans="1:66" s="88" customFormat="1" x14ac:dyDescent="1.4">
      <c r="A294" s="393"/>
      <c r="B294" s="92"/>
      <c r="C294" s="91"/>
      <c r="D294" s="90"/>
      <c r="E294" s="93"/>
      <c r="F294" s="385"/>
      <c r="G294" s="386"/>
      <c r="H294" s="386"/>
      <c r="I294" s="386"/>
      <c r="J294" s="386"/>
      <c r="K294" s="386"/>
      <c r="L294" s="386"/>
      <c r="M294" s="386"/>
      <c r="N294" s="386"/>
      <c r="O294" s="386"/>
      <c r="P294" s="386"/>
      <c r="Q294" s="386"/>
      <c r="R294" s="386"/>
      <c r="S294" s="386"/>
      <c r="T294" s="386"/>
      <c r="U294" s="386"/>
      <c r="V294" s="386"/>
      <c r="W294" s="386"/>
      <c r="X294" s="386"/>
      <c r="Y294" s="386"/>
      <c r="Z294" s="386"/>
      <c r="AA294" s="386"/>
      <c r="AB294" s="386"/>
      <c r="AC294" s="386"/>
      <c r="AD294" s="386"/>
      <c r="AE294" s="386"/>
      <c r="AF294" s="386"/>
      <c r="AG294" s="386"/>
      <c r="AH294" s="386"/>
      <c r="AI294" s="386"/>
      <c r="AJ294" s="386"/>
      <c r="AK294" s="386"/>
      <c r="AL294" s="386"/>
      <c r="AM294" s="386"/>
      <c r="AN294" s="386"/>
      <c r="AO294" s="386"/>
      <c r="AP294" s="386"/>
      <c r="AQ294" s="386"/>
      <c r="AR294" s="386"/>
      <c r="AS294" s="386"/>
      <c r="AT294" s="386"/>
      <c r="AU294" s="386"/>
      <c r="AV294" s="386"/>
      <c r="AW294" s="386"/>
      <c r="AX294" s="386"/>
      <c r="AY294" s="386"/>
      <c r="AZ294" s="386"/>
      <c r="BA294" s="386"/>
      <c r="BB294" s="386"/>
      <c r="BC294" s="386"/>
      <c r="BD294" s="386"/>
      <c r="BE294" s="386"/>
      <c r="BF294" s="386"/>
      <c r="BG294" s="386"/>
      <c r="BH294" s="387"/>
      <c r="BI294" s="367"/>
      <c r="BJ294" s="87"/>
      <c r="BK294" s="86"/>
      <c r="BL294" s="85"/>
      <c r="BM294" s="84"/>
      <c r="BN294" s="84"/>
    </row>
    <row r="295" spans="1:66" s="88" customFormat="1" x14ac:dyDescent="1.4">
      <c r="A295" s="393"/>
      <c r="B295" s="92"/>
      <c r="C295" s="91"/>
      <c r="D295" s="90"/>
      <c r="E295" s="93"/>
      <c r="F295" s="385"/>
      <c r="G295" s="386"/>
      <c r="H295" s="386"/>
      <c r="I295" s="386"/>
      <c r="J295" s="386"/>
      <c r="K295" s="386"/>
      <c r="L295" s="386"/>
      <c r="M295" s="386"/>
      <c r="N295" s="386"/>
      <c r="O295" s="386"/>
      <c r="P295" s="386"/>
      <c r="Q295" s="386"/>
      <c r="R295" s="386"/>
      <c r="S295" s="386"/>
      <c r="T295" s="386"/>
      <c r="U295" s="386"/>
      <c r="V295" s="386"/>
      <c r="W295" s="386"/>
      <c r="X295" s="386"/>
      <c r="Y295" s="386"/>
      <c r="Z295" s="386"/>
      <c r="AA295" s="386"/>
      <c r="AB295" s="386"/>
      <c r="AC295" s="386"/>
      <c r="AD295" s="386"/>
      <c r="AE295" s="386"/>
      <c r="AF295" s="386"/>
      <c r="AG295" s="386"/>
      <c r="AH295" s="386"/>
      <c r="AI295" s="386"/>
      <c r="AJ295" s="386"/>
      <c r="AK295" s="386"/>
      <c r="AL295" s="386"/>
      <c r="AM295" s="386"/>
      <c r="AN295" s="386"/>
      <c r="AO295" s="386"/>
      <c r="AP295" s="386"/>
      <c r="AQ295" s="386"/>
      <c r="AR295" s="386"/>
      <c r="AS295" s="386"/>
      <c r="AT295" s="386"/>
      <c r="AU295" s="386"/>
      <c r="AV295" s="386"/>
      <c r="AW295" s="386"/>
      <c r="AX295" s="386"/>
      <c r="AY295" s="386"/>
      <c r="AZ295" s="386"/>
      <c r="BA295" s="386"/>
      <c r="BB295" s="386"/>
      <c r="BC295" s="386"/>
      <c r="BD295" s="386"/>
      <c r="BE295" s="386"/>
      <c r="BF295" s="386"/>
      <c r="BG295" s="386"/>
      <c r="BH295" s="387"/>
      <c r="BI295" s="367"/>
      <c r="BJ295" s="87"/>
      <c r="BK295" s="86"/>
      <c r="BL295" s="85"/>
      <c r="BM295" s="84"/>
      <c r="BN295" s="84"/>
    </row>
    <row r="296" spans="1:66" s="88" customFormat="1" x14ac:dyDescent="1.4">
      <c r="A296" s="393"/>
      <c r="B296" s="92"/>
      <c r="C296" s="91"/>
      <c r="D296" s="90"/>
      <c r="E296" s="93"/>
      <c r="F296" s="385"/>
      <c r="G296" s="386"/>
      <c r="H296" s="386"/>
      <c r="I296" s="386"/>
      <c r="J296" s="386"/>
      <c r="K296" s="386"/>
      <c r="L296" s="386"/>
      <c r="M296" s="386"/>
      <c r="N296" s="386"/>
      <c r="O296" s="386"/>
      <c r="P296" s="386"/>
      <c r="Q296" s="386"/>
      <c r="R296" s="386"/>
      <c r="S296" s="386"/>
      <c r="T296" s="386"/>
      <c r="U296" s="386"/>
      <c r="V296" s="386"/>
      <c r="W296" s="386"/>
      <c r="X296" s="386"/>
      <c r="Y296" s="386"/>
      <c r="Z296" s="386"/>
      <c r="AA296" s="386"/>
      <c r="AB296" s="386"/>
      <c r="AC296" s="386"/>
      <c r="AD296" s="386"/>
      <c r="AE296" s="386"/>
      <c r="AF296" s="386"/>
      <c r="AG296" s="386"/>
      <c r="AH296" s="386"/>
      <c r="AI296" s="386"/>
      <c r="AJ296" s="386"/>
      <c r="AK296" s="386"/>
      <c r="AL296" s="386"/>
      <c r="AM296" s="386"/>
      <c r="AN296" s="386"/>
      <c r="AO296" s="386"/>
      <c r="AP296" s="386"/>
      <c r="AQ296" s="386"/>
      <c r="AR296" s="386"/>
      <c r="AS296" s="386"/>
      <c r="AT296" s="386"/>
      <c r="AU296" s="386"/>
      <c r="AV296" s="386"/>
      <c r="AW296" s="386"/>
      <c r="AX296" s="386"/>
      <c r="AY296" s="386"/>
      <c r="AZ296" s="386"/>
      <c r="BA296" s="386"/>
      <c r="BB296" s="386"/>
      <c r="BC296" s="386"/>
      <c r="BD296" s="386"/>
      <c r="BE296" s="386"/>
      <c r="BF296" s="386"/>
      <c r="BG296" s="386"/>
      <c r="BH296" s="387"/>
      <c r="BI296" s="367"/>
      <c r="BJ296" s="87"/>
      <c r="BK296" s="86"/>
      <c r="BL296" s="85"/>
      <c r="BM296" s="84"/>
      <c r="BN296" s="84"/>
    </row>
    <row r="297" spans="1:66" s="88" customFormat="1" x14ac:dyDescent="1.4">
      <c r="A297" s="393"/>
      <c r="B297" s="92"/>
      <c r="C297" s="91"/>
      <c r="D297" s="90"/>
      <c r="E297" s="93"/>
      <c r="F297" s="385"/>
      <c r="G297" s="386"/>
      <c r="H297" s="386"/>
      <c r="I297" s="386"/>
      <c r="J297" s="386"/>
      <c r="K297" s="386"/>
      <c r="L297" s="386"/>
      <c r="M297" s="386"/>
      <c r="N297" s="386"/>
      <c r="O297" s="386"/>
      <c r="P297" s="386"/>
      <c r="Q297" s="386"/>
      <c r="R297" s="386"/>
      <c r="S297" s="386"/>
      <c r="T297" s="386"/>
      <c r="U297" s="386"/>
      <c r="V297" s="386"/>
      <c r="W297" s="386"/>
      <c r="X297" s="386"/>
      <c r="Y297" s="386"/>
      <c r="Z297" s="386"/>
      <c r="AA297" s="386"/>
      <c r="AB297" s="386"/>
      <c r="AC297" s="386"/>
      <c r="AD297" s="386"/>
      <c r="AE297" s="386"/>
      <c r="AF297" s="386"/>
      <c r="AG297" s="386"/>
      <c r="AH297" s="386"/>
      <c r="AI297" s="386"/>
      <c r="AJ297" s="386"/>
      <c r="AK297" s="386"/>
      <c r="AL297" s="386"/>
      <c r="AM297" s="386"/>
      <c r="AN297" s="386"/>
      <c r="AO297" s="386"/>
      <c r="AP297" s="386"/>
      <c r="AQ297" s="386"/>
      <c r="AR297" s="386"/>
      <c r="AS297" s="386"/>
      <c r="AT297" s="386"/>
      <c r="AU297" s="386"/>
      <c r="AV297" s="386"/>
      <c r="AW297" s="386"/>
      <c r="AX297" s="386"/>
      <c r="AY297" s="386"/>
      <c r="AZ297" s="386"/>
      <c r="BA297" s="386"/>
      <c r="BB297" s="386"/>
      <c r="BC297" s="386"/>
      <c r="BD297" s="386"/>
      <c r="BE297" s="386"/>
      <c r="BF297" s="386"/>
      <c r="BG297" s="386"/>
      <c r="BH297" s="387"/>
      <c r="BI297" s="367"/>
      <c r="BJ297" s="87"/>
      <c r="BK297" s="86"/>
      <c r="BL297" s="85"/>
      <c r="BM297" s="84"/>
      <c r="BN297" s="84"/>
    </row>
    <row r="298" spans="1:66" s="88" customFormat="1" x14ac:dyDescent="1.4">
      <c r="A298" s="393"/>
      <c r="B298" s="92"/>
      <c r="C298" s="91"/>
      <c r="D298" s="90"/>
      <c r="E298" s="93"/>
      <c r="F298" s="385"/>
      <c r="G298" s="386"/>
      <c r="H298" s="386"/>
      <c r="I298" s="386"/>
      <c r="J298" s="386"/>
      <c r="K298" s="386"/>
      <c r="L298" s="386"/>
      <c r="M298" s="386"/>
      <c r="N298" s="386"/>
      <c r="O298" s="386"/>
      <c r="P298" s="386"/>
      <c r="Q298" s="386"/>
      <c r="R298" s="386"/>
      <c r="S298" s="386"/>
      <c r="T298" s="386"/>
      <c r="U298" s="386"/>
      <c r="V298" s="386"/>
      <c r="W298" s="386"/>
      <c r="X298" s="386"/>
      <c r="Y298" s="386"/>
      <c r="Z298" s="386"/>
      <c r="AA298" s="386"/>
      <c r="AB298" s="386"/>
      <c r="AC298" s="386"/>
      <c r="AD298" s="386"/>
      <c r="AE298" s="386"/>
      <c r="AF298" s="386"/>
      <c r="AG298" s="386"/>
      <c r="AH298" s="386"/>
      <c r="AI298" s="386"/>
      <c r="AJ298" s="386"/>
      <c r="AK298" s="386"/>
      <c r="AL298" s="386"/>
      <c r="AM298" s="386"/>
      <c r="AN298" s="386"/>
      <c r="AO298" s="386"/>
      <c r="AP298" s="386"/>
      <c r="AQ298" s="386"/>
      <c r="AR298" s="386"/>
      <c r="AS298" s="386"/>
      <c r="AT298" s="386"/>
      <c r="AU298" s="386"/>
      <c r="AV298" s="386"/>
      <c r="AW298" s="386"/>
      <c r="AX298" s="386"/>
      <c r="AY298" s="386"/>
      <c r="AZ298" s="386"/>
      <c r="BA298" s="386"/>
      <c r="BB298" s="386"/>
      <c r="BC298" s="386"/>
      <c r="BD298" s="386"/>
      <c r="BE298" s="386"/>
      <c r="BF298" s="386"/>
      <c r="BG298" s="386"/>
      <c r="BH298" s="387"/>
      <c r="BI298" s="367"/>
      <c r="BJ298" s="87"/>
      <c r="BK298" s="86"/>
      <c r="BL298" s="85"/>
      <c r="BM298" s="84"/>
      <c r="BN298" s="84"/>
    </row>
    <row r="299" spans="1:66" s="88" customFormat="1" x14ac:dyDescent="1.4">
      <c r="A299" s="393"/>
      <c r="B299" s="92"/>
      <c r="C299" s="91"/>
      <c r="D299" s="90"/>
      <c r="E299" s="93"/>
      <c r="F299" s="385"/>
      <c r="G299" s="386"/>
      <c r="H299" s="386"/>
      <c r="I299" s="386"/>
      <c r="J299" s="386"/>
      <c r="K299" s="386"/>
      <c r="L299" s="386"/>
      <c r="M299" s="386"/>
      <c r="N299" s="386"/>
      <c r="O299" s="386"/>
      <c r="P299" s="386"/>
      <c r="Q299" s="386"/>
      <c r="R299" s="386"/>
      <c r="S299" s="386"/>
      <c r="T299" s="386"/>
      <c r="U299" s="386"/>
      <c r="V299" s="386"/>
      <c r="W299" s="386"/>
      <c r="X299" s="386"/>
      <c r="Y299" s="386"/>
      <c r="Z299" s="386"/>
      <c r="AA299" s="386"/>
      <c r="AB299" s="386"/>
      <c r="AC299" s="386"/>
      <c r="AD299" s="386"/>
      <c r="AE299" s="386"/>
      <c r="AF299" s="386"/>
      <c r="AG299" s="386"/>
      <c r="AH299" s="386"/>
      <c r="AI299" s="386"/>
      <c r="AJ299" s="386"/>
      <c r="AK299" s="386"/>
      <c r="AL299" s="386"/>
      <c r="AM299" s="386"/>
      <c r="AN299" s="386"/>
      <c r="AO299" s="386"/>
      <c r="AP299" s="386"/>
      <c r="AQ299" s="386"/>
      <c r="AR299" s="386"/>
      <c r="AS299" s="386"/>
      <c r="AT299" s="386"/>
      <c r="AU299" s="386"/>
      <c r="AV299" s="386"/>
      <c r="AW299" s="386"/>
      <c r="AX299" s="386"/>
      <c r="AY299" s="386"/>
      <c r="AZ299" s="386"/>
      <c r="BA299" s="386"/>
      <c r="BB299" s="386"/>
      <c r="BC299" s="386"/>
      <c r="BD299" s="386"/>
      <c r="BE299" s="386"/>
      <c r="BF299" s="386"/>
      <c r="BG299" s="386"/>
      <c r="BH299" s="387"/>
      <c r="BI299" s="367"/>
      <c r="BJ299" s="87"/>
      <c r="BK299" s="86"/>
      <c r="BL299" s="85"/>
      <c r="BM299" s="84"/>
      <c r="BN299" s="84"/>
    </row>
    <row r="300" spans="1:66" s="88" customFormat="1" x14ac:dyDescent="1.4">
      <c r="A300" s="393"/>
      <c r="B300" s="92"/>
      <c r="C300" s="91"/>
      <c r="D300" s="90"/>
      <c r="E300" s="93"/>
      <c r="F300" s="385"/>
      <c r="G300" s="386"/>
      <c r="H300" s="386"/>
      <c r="I300" s="386"/>
      <c r="J300" s="386"/>
      <c r="K300" s="386"/>
      <c r="L300" s="386"/>
      <c r="M300" s="386"/>
      <c r="N300" s="386"/>
      <c r="O300" s="386"/>
      <c r="P300" s="386"/>
      <c r="Q300" s="386"/>
      <c r="R300" s="386"/>
      <c r="S300" s="386"/>
      <c r="T300" s="386"/>
      <c r="U300" s="386"/>
      <c r="V300" s="386"/>
      <c r="W300" s="386"/>
      <c r="X300" s="386"/>
      <c r="Y300" s="386"/>
      <c r="Z300" s="386"/>
      <c r="AA300" s="386"/>
      <c r="AB300" s="386"/>
      <c r="AC300" s="386"/>
      <c r="AD300" s="386"/>
      <c r="AE300" s="386"/>
      <c r="AF300" s="386"/>
      <c r="AG300" s="386"/>
      <c r="AH300" s="386"/>
      <c r="AI300" s="386"/>
      <c r="AJ300" s="386"/>
      <c r="AK300" s="386"/>
      <c r="AL300" s="386"/>
      <c r="AM300" s="386"/>
      <c r="AN300" s="386"/>
      <c r="AO300" s="386"/>
      <c r="AP300" s="386"/>
      <c r="AQ300" s="386"/>
      <c r="AR300" s="386"/>
      <c r="AS300" s="386"/>
      <c r="AT300" s="386"/>
      <c r="AU300" s="386"/>
      <c r="AV300" s="386"/>
      <c r="AW300" s="386"/>
      <c r="AX300" s="386"/>
      <c r="AY300" s="386"/>
      <c r="AZ300" s="386"/>
      <c r="BA300" s="386"/>
      <c r="BB300" s="386"/>
      <c r="BC300" s="386"/>
      <c r="BD300" s="386"/>
      <c r="BE300" s="386"/>
      <c r="BF300" s="386"/>
      <c r="BG300" s="386"/>
      <c r="BH300" s="387"/>
      <c r="BI300" s="367"/>
      <c r="BJ300" s="87"/>
      <c r="BK300" s="86"/>
      <c r="BL300" s="85"/>
      <c r="BM300" s="84"/>
      <c r="BN300" s="84"/>
    </row>
    <row r="301" spans="1:66" s="88" customFormat="1" x14ac:dyDescent="1.4">
      <c r="A301" s="393"/>
      <c r="B301" s="92"/>
      <c r="C301" s="91"/>
      <c r="D301" s="90"/>
      <c r="E301" s="93"/>
      <c r="F301" s="385"/>
      <c r="G301" s="386"/>
      <c r="H301" s="386"/>
      <c r="I301" s="386"/>
      <c r="J301" s="386"/>
      <c r="K301" s="386"/>
      <c r="L301" s="386"/>
      <c r="M301" s="386"/>
      <c r="N301" s="386"/>
      <c r="O301" s="386"/>
      <c r="P301" s="386"/>
      <c r="Q301" s="386"/>
      <c r="R301" s="386"/>
      <c r="S301" s="386"/>
      <c r="T301" s="386"/>
      <c r="U301" s="386"/>
      <c r="V301" s="386"/>
      <c r="W301" s="386"/>
      <c r="X301" s="386"/>
      <c r="Y301" s="386"/>
      <c r="Z301" s="386"/>
      <c r="AA301" s="386"/>
      <c r="AB301" s="386"/>
      <c r="AC301" s="386"/>
      <c r="AD301" s="386"/>
      <c r="AE301" s="386"/>
      <c r="AF301" s="386"/>
      <c r="AG301" s="386"/>
      <c r="AH301" s="386"/>
      <c r="AI301" s="386"/>
      <c r="AJ301" s="386"/>
      <c r="AK301" s="386"/>
      <c r="AL301" s="386"/>
      <c r="AM301" s="386"/>
      <c r="AN301" s="386"/>
      <c r="AO301" s="386"/>
      <c r="AP301" s="386"/>
      <c r="AQ301" s="386"/>
      <c r="AR301" s="386"/>
      <c r="AS301" s="386"/>
      <c r="AT301" s="386"/>
      <c r="AU301" s="386"/>
      <c r="AV301" s="386"/>
      <c r="AW301" s="386"/>
      <c r="AX301" s="386"/>
      <c r="AY301" s="386"/>
      <c r="AZ301" s="386"/>
      <c r="BA301" s="386"/>
      <c r="BB301" s="386"/>
      <c r="BC301" s="386"/>
      <c r="BD301" s="386"/>
      <c r="BE301" s="386"/>
      <c r="BF301" s="386"/>
      <c r="BG301" s="386"/>
      <c r="BH301" s="387"/>
      <c r="BI301" s="367"/>
      <c r="BJ301" s="87"/>
      <c r="BK301" s="86"/>
      <c r="BL301" s="85"/>
      <c r="BM301" s="84"/>
      <c r="BN301" s="84"/>
    </row>
    <row r="302" spans="1:66" s="88" customFormat="1" x14ac:dyDescent="1.4">
      <c r="A302" s="393"/>
      <c r="B302" s="92"/>
      <c r="C302" s="91"/>
      <c r="D302" s="90"/>
      <c r="E302" s="93"/>
      <c r="F302" s="385"/>
      <c r="G302" s="386"/>
      <c r="H302" s="386"/>
      <c r="I302" s="386"/>
      <c r="J302" s="386"/>
      <c r="K302" s="386"/>
      <c r="L302" s="386"/>
      <c r="M302" s="386"/>
      <c r="N302" s="386"/>
      <c r="O302" s="386"/>
      <c r="P302" s="386"/>
      <c r="Q302" s="386"/>
      <c r="R302" s="386"/>
      <c r="S302" s="386"/>
      <c r="T302" s="386"/>
      <c r="U302" s="386"/>
      <c r="V302" s="386"/>
      <c r="W302" s="386"/>
      <c r="X302" s="386"/>
      <c r="Y302" s="386"/>
      <c r="Z302" s="386"/>
      <c r="AA302" s="386"/>
      <c r="AB302" s="386"/>
      <c r="AC302" s="386"/>
      <c r="AD302" s="386"/>
      <c r="AE302" s="386"/>
      <c r="AF302" s="386"/>
      <c r="AG302" s="386"/>
      <c r="AH302" s="386"/>
      <c r="AI302" s="386"/>
      <c r="AJ302" s="386"/>
      <c r="AK302" s="386"/>
      <c r="AL302" s="386"/>
      <c r="AM302" s="386"/>
      <c r="AN302" s="386"/>
      <c r="AO302" s="386"/>
      <c r="AP302" s="386"/>
      <c r="AQ302" s="386"/>
      <c r="AR302" s="386"/>
      <c r="AS302" s="386"/>
      <c r="AT302" s="386"/>
      <c r="AU302" s="386"/>
      <c r="AV302" s="386"/>
      <c r="AW302" s="386"/>
      <c r="AX302" s="386"/>
      <c r="AY302" s="386"/>
      <c r="AZ302" s="386"/>
      <c r="BA302" s="386"/>
      <c r="BB302" s="386"/>
      <c r="BC302" s="386"/>
      <c r="BD302" s="386"/>
      <c r="BE302" s="386"/>
      <c r="BF302" s="386"/>
      <c r="BG302" s="386"/>
      <c r="BH302" s="387"/>
      <c r="BI302" s="367"/>
      <c r="BJ302" s="87"/>
      <c r="BK302" s="86"/>
      <c r="BL302" s="85"/>
      <c r="BM302" s="84"/>
      <c r="BN302" s="84"/>
    </row>
    <row r="303" spans="1:66" s="88" customFormat="1" x14ac:dyDescent="1.4">
      <c r="A303" s="393"/>
      <c r="B303" s="92"/>
      <c r="C303" s="91"/>
      <c r="D303" s="90"/>
      <c r="E303" s="93"/>
      <c r="F303" s="385"/>
      <c r="G303" s="386"/>
      <c r="H303" s="386"/>
      <c r="I303" s="386"/>
      <c r="J303" s="386"/>
      <c r="K303" s="386"/>
      <c r="L303" s="386"/>
      <c r="M303" s="386"/>
      <c r="N303" s="386"/>
      <c r="O303" s="386"/>
      <c r="P303" s="386"/>
      <c r="Q303" s="386"/>
      <c r="R303" s="386"/>
      <c r="S303" s="386"/>
      <c r="T303" s="386"/>
      <c r="U303" s="386"/>
      <c r="V303" s="386"/>
      <c r="W303" s="386"/>
      <c r="X303" s="386"/>
      <c r="Y303" s="386"/>
      <c r="Z303" s="386"/>
      <c r="AA303" s="386"/>
      <c r="AB303" s="386"/>
      <c r="AC303" s="386"/>
      <c r="AD303" s="386"/>
      <c r="AE303" s="386"/>
      <c r="AF303" s="386"/>
      <c r="AG303" s="386"/>
      <c r="AH303" s="386"/>
      <c r="AI303" s="386"/>
      <c r="AJ303" s="386"/>
      <c r="AK303" s="386"/>
      <c r="AL303" s="386"/>
      <c r="AM303" s="386"/>
      <c r="AN303" s="386"/>
      <c r="AO303" s="386"/>
      <c r="AP303" s="386"/>
      <c r="AQ303" s="386"/>
      <c r="AR303" s="386"/>
      <c r="AS303" s="386"/>
      <c r="AT303" s="386"/>
      <c r="AU303" s="386"/>
      <c r="AV303" s="386"/>
      <c r="AW303" s="386"/>
      <c r="AX303" s="386"/>
      <c r="AY303" s="386"/>
      <c r="AZ303" s="386"/>
      <c r="BA303" s="386"/>
      <c r="BB303" s="386"/>
      <c r="BC303" s="386"/>
      <c r="BD303" s="386"/>
      <c r="BE303" s="386"/>
      <c r="BF303" s="386"/>
      <c r="BG303" s="386"/>
      <c r="BH303" s="387"/>
      <c r="BI303" s="367"/>
      <c r="BJ303" s="87"/>
      <c r="BK303" s="86"/>
      <c r="BL303" s="85"/>
      <c r="BM303" s="84"/>
      <c r="BN303" s="84"/>
    </row>
    <row r="304" spans="1:66" s="88" customFormat="1" x14ac:dyDescent="1.4">
      <c r="A304" s="393"/>
      <c r="B304" s="92"/>
      <c r="C304" s="91"/>
      <c r="D304" s="90"/>
      <c r="E304" s="93"/>
      <c r="F304" s="385"/>
      <c r="G304" s="386"/>
      <c r="H304" s="386"/>
      <c r="I304" s="386"/>
      <c r="J304" s="386"/>
      <c r="K304" s="386"/>
      <c r="L304" s="386"/>
      <c r="M304" s="386"/>
      <c r="N304" s="386"/>
      <c r="O304" s="386"/>
      <c r="P304" s="386"/>
      <c r="Q304" s="386"/>
      <c r="R304" s="386"/>
      <c r="S304" s="386"/>
      <c r="T304" s="386"/>
      <c r="U304" s="386"/>
      <c r="V304" s="386"/>
      <c r="W304" s="386"/>
      <c r="X304" s="386"/>
      <c r="Y304" s="386"/>
      <c r="Z304" s="386"/>
      <c r="AA304" s="386"/>
      <c r="AB304" s="386"/>
      <c r="AC304" s="386"/>
      <c r="AD304" s="386"/>
      <c r="AE304" s="386"/>
      <c r="AF304" s="386"/>
      <c r="AG304" s="386"/>
      <c r="AH304" s="386"/>
      <c r="AI304" s="386"/>
      <c r="AJ304" s="386"/>
      <c r="AK304" s="386"/>
      <c r="AL304" s="386"/>
      <c r="AM304" s="386"/>
      <c r="AN304" s="386"/>
      <c r="AO304" s="386"/>
      <c r="AP304" s="386"/>
      <c r="AQ304" s="386"/>
      <c r="AR304" s="386"/>
      <c r="AS304" s="386"/>
      <c r="AT304" s="386"/>
      <c r="AU304" s="386"/>
      <c r="AV304" s="386"/>
      <c r="AW304" s="386"/>
      <c r="AX304" s="386"/>
      <c r="AY304" s="386"/>
      <c r="AZ304" s="386"/>
      <c r="BA304" s="386"/>
      <c r="BB304" s="386"/>
      <c r="BC304" s="386"/>
      <c r="BD304" s="386"/>
      <c r="BE304" s="386"/>
      <c r="BF304" s="386"/>
      <c r="BG304" s="386"/>
      <c r="BH304" s="387"/>
      <c r="BI304" s="367"/>
      <c r="BJ304" s="87"/>
      <c r="BK304" s="86"/>
      <c r="BL304" s="85"/>
      <c r="BM304" s="84"/>
      <c r="BN304" s="84"/>
    </row>
    <row r="305" spans="1:66" s="88" customFormat="1" x14ac:dyDescent="1.4">
      <c r="A305" s="393"/>
      <c r="B305" s="92"/>
      <c r="C305" s="91"/>
      <c r="D305" s="90"/>
      <c r="E305" s="93"/>
      <c r="F305" s="385"/>
      <c r="G305" s="386"/>
      <c r="H305" s="386"/>
      <c r="I305" s="386"/>
      <c r="J305" s="386"/>
      <c r="K305" s="386"/>
      <c r="L305" s="386"/>
      <c r="M305" s="386"/>
      <c r="N305" s="386"/>
      <c r="O305" s="386"/>
      <c r="P305" s="386"/>
      <c r="Q305" s="386"/>
      <c r="R305" s="386"/>
      <c r="S305" s="386"/>
      <c r="T305" s="386"/>
      <c r="U305" s="386"/>
      <c r="V305" s="386"/>
      <c r="W305" s="386"/>
      <c r="X305" s="386"/>
      <c r="Y305" s="386"/>
      <c r="Z305" s="386"/>
      <c r="AA305" s="386"/>
      <c r="AB305" s="386"/>
      <c r="AC305" s="386"/>
      <c r="AD305" s="386"/>
      <c r="AE305" s="386"/>
      <c r="AF305" s="386"/>
      <c r="AG305" s="386"/>
      <c r="AH305" s="386"/>
      <c r="AI305" s="386"/>
      <c r="AJ305" s="386"/>
      <c r="AK305" s="386"/>
      <c r="AL305" s="386"/>
      <c r="AM305" s="386"/>
      <c r="AN305" s="386"/>
      <c r="AO305" s="386"/>
      <c r="AP305" s="386"/>
      <c r="AQ305" s="386"/>
      <c r="AR305" s="386"/>
      <c r="AS305" s="386"/>
      <c r="AT305" s="386"/>
      <c r="AU305" s="386"/>
      <c r="AV305" s="386"/>
      <c r="AW305" s="386"/>
      <c r="AX305" s="386"/>
      <c r="AY305" s="386"/>
      <c r="AZ305" s="386"/>
      <c r="BA305" s="386"/>
      <c r="BB305" s="386"/>
      <c r="BC305" s="386"/>
      <c r="BD305" s="386"/>
      <c r="BE305" s="386"/>
      <c r="BF305" s="386"/>
      <c r="BG305" s="386"/>
      <c r="BH305" s="387"/>
      <c r="BI305" s="367"/>
      <c r="BJ305" s="87"/>
      <c r="BK305" s="86"/>
      <c r="BL305" s="85"/>
      <c r="BM305" s="84"/>
      <c r="BN305" s="84"/>
    </row>
    <row r="306" spans="1:66" s="88" customFormat="1" x14ac:dyDescent="1.4">
      <c r="A306" s="393"/>
      <c r="B306" s="92"/>
      <c r="C306" s="91"/>
      <c r="D306" s="90"/>
      <c r="E306" s="93"/>
      <c r="F306" s="385"/>
      <c r="G306" s="386"/>
      <c r="H306" s="386"/>
      <c r="I306" s="386"/>
      <c r="J306" s="386"/>
      <c r="K306" s="386"/>
      <c r="L306" s="386"/>
      <c r="M306" s="386"/>
      <c r="N306" s="386"/>
      <c r="O306" s="386"/>
      <c r="P306" s="386"/>
      <c r="Q306" s="386"/>
      <c r="R306" s="386"/>
      <c r="S306" s="386"/>
      <c r="T306" s="386"/>
      <c r="U306" s="386"/>
      <c r="V306" s="386"/>
      <c r="W306" s="386"/>
      <c r="X306" s="386"/>
      <c r="Y306" s="386"/>
      <c r="Z306" s="386"/>
      <c r="AA306" s="386"/>
      <c r="AB306" s="386"/>
      <c r="AC306" s="386"/>
      <c r="AD306" s="386"/>
      <c r="AE306" s="386"/>
      <c r="AF306" s="386"/>
      <c r="AG306" s="386"/>
      <c r="AH306" s="386"/>
      <c r="AI306" s="386"/>
      <c r="AJ306" s="386"/>
      <c r="AK306" s="386"/>
      <c r="AL306" s="386"/>
      <c r="AM306" s="386"/>
      <c r="AN306" s="386"/>
      <c r="AO306" s="386"/>
      <c r="AP306" s="386"/>
      <c r="AQ306" s="386"/>
      <c r="AR306" s="386"/>
      <c r="AS306" s="386"/>
      <c r="AT306" s="386"/>
      <c r="AU306" s="386"/>
      <c r="AV306" s="386"/>
      <c r="AW306" s="386"/>
      <c r="AX306" s="386"/>
      <c r="AY306" s="386"/>
      <c r="AZ306" s="386"/>
      <c r="BA306" s="386"/>
      <c r="BB306" s="386"/>
      <c r="BC306" s="386"/>
      <c r="BD306" s="386"/>
      <c r="BE306" s="386"/>
      <c r="BF306" s="386"/>
      <c r="BG306" s="386"/>
      <c r="BH306" s="387"/>
      <c r="BI306" s="367"/>
      <c r="BJ306" s="87"/>
      <c r="BK306" s="86"/>
      <c r="BL306" s="85"/>
      <c r="BM306" s="84"/>
      <c r="BN306" s="84"/>
    </row>
    <row r="307" spans="1:66" s="88" customFormat="1" x14ac:dyDescent="1.4">
      <c r="A307" s="393"/>
      <c r="B307" s="92"/>
      <c r="C307" s="91"/>
      <c r="D307" s="90"/>
      <c r="E307" s="93"/>
      <c r="F307" s="385"/>
      <c r="G307" s="386"/>
      <c r="H307" s="386"/>
      <c r="I307" s="386"/>
      <c r="J307" s="386"/>
      <c r="K307" s="386"/>
      <c r="L307" s="386"/>
      <c r="M307" s="386"/>
      <c r="N307" s="386"/>
      <c r="O307" s="386"/>
      <c r="P307" s="386"/>
      <c r="Q307" s="386"/>
      <c r="R307" s="386"/>
      <c r="S307" s="386"/>
      <c r="T307" s="386"/>
      <c r="U307" s="386"/>
      <c r="V307" s="386"/>
      <c r="W307" s="386"/>
      <c r="X307" s="386"/>
      <c r="Y307" s="386"/>
      <c r="Z307" s="386"/>
      <c r="AA307" s="386"/>
      <c r="AB307" s="386"/>
      <c r="AC307" s="386"/>
      <c r="AD307" s="386"/>
      <c r="AE307" s="386"/>
      <c r="AF307" s="386"/>
      <c r="AG307" s="386"/>
      <c r="AH307" s="386"/>
      <c r="AI307" s="386"/>
      <c r="AJ307" s="386"/>
      <c r="AK307" s="386"/>
      <c r="AL307" s="386"/>
      <c r="AM307" s="386"/>
      <c r="AN307" s="386"/>
      <c r="AO307" s="386"/>
      <c r="AP307" s="386"/>
      <c r="AQ307" s="386"/>
      <c r="AR307" s="386"/>
      <c r="AS307" s="386"/>
      <c r="AT307" s="386"/>
      <c r="AU307" s="386"/>
      <c r="AV307" s="386"/>
      <c r="AW307" s="386"/>
      <c r="AX307" s="386"/>
      <c r="AY307" s="386"/>
      <c r="AZ307" s="386"/>
      <c r="BA307" s="386"/>
      <c r="BB307" s="386"/>
      <c r="BC307" s="386"/>
      <c r="BD307" s="386"/>
      <c r="BE307" s="386"/>
      <c r="BF307" s="386"/>
      <c r="BG307" s="386"/>
      <c r="BH307" s="387"/>
      <c r="BI307" s="367"/>
      <c r="BJ307" s="87"/>
      <c r="BK307" s="86"/>
      <c r="BL307" s="85"/>
      <c r="BM307" s="84"/>
      <c r="BN307" s="84"/>
    </row>
    <row r="308" spans="1:66" s="88" customFormat="1" x14ac:dyDescent="1.4">
      <c r="A308" s="393"/>
      <c r="B308" s="92"/>
      <c r="C308" s="91"/>
      <c r="D308" s="90"/>
      <c r="E308" s="93"/>
      <c r="F308" s="385"/>
      <c r="G308" s="386"/>
      <c r="H308" s="386"/>
      <c r="I308" s="386"/>
      <c r="J308" s="386"/>
      <c r="K308" s="386"/>
      <c r="L308" s="386"/>
      <c r="M308" s="386"/>
      <c r="N308" s="386"/>
      <c r="O308" s="386"/>
      <c r="P308" s="386"/>
      <c r="Q308" s="386"/>
      <c r="R308" s="386"/>
      <c r="S308" s="386"/>
      <c r="T308" s="386"/>
      <c r="U308" s="386"/>
      <c r="V308" s="386"/>
      <c r="W308" s="386"/>
      <c r="X308" s="386"/>
      <c r="Y308" s="386"/>
      <c r="Z308" s="386"/>
      <c r="AA308" s="386"/>
      <c r="AB308" s="386"/>
      <c r="AC308" s="386"/>
      <c r="AD308" s="386"/>
      <c r="AE308" s="386"/>
      <c r="AF308" s="386"/>
      <c r="AG308" s="386"/>
      <c r="AH308" s="386"/>
      <c r="AI308" s="386"/>
      <c r="AJ308" s="386"/>
      <c r="AK308" s="386"/>
      <c r="AL308" s="386"/>
      <c r="AM308" s="386"/>
      <c r="AN308" s="386"/>
      <c r="AO308" s="386"/>
      <c r="AP308" s="386"/>
      <c r="AQ308" s="386"/>
      <c r="AR308" s="386"/>
      <c r="AS308" s="386"/>
      <c r="AT308" s="386"/>
      <c r="AU308" s="386"/>
      <c r="AV308" s="386"/>
      <c r="AW308" s="386"/>
      <c r="AX308" s="386"/>
      <c r="AY308" s="386"/>
      <c r="AZ308" s="386"/>
      <c r="BA308" s="386"/>
      <c r="BB308" s="386"/>
      <c r="BC308" s="386"/>
      <c r="BD308" s="386"/>
      <c r="BE308" s="386"/>
      <c r="BF308" s="386"/>
      <c r="BG308" s="386"/>
      <c r="BH308" s="387"/>
      <c r="BI308" s="367"/>
      <c r="BJ308" s="87"/>
      <c r="BK308" s="86"/>
      <c r="BL308" s="85"/>
      <c r="BM308" s="84"/>
      <c r="BN308" s="84"/>
    </row>
    <row r="309" spans="1:66" s="88" customFormat="1" x14ac:dyDescent="1.4">
      <c r="A309" s="393"/>
      <c r="B309" s="92"/>
      <c r="C309" s="91"/>
      <c r="D309" s="90"/>
      <c r="E309" s="93"/>
      <c r="F309" s="385"/>
      <c r="G309" s="386"/>
      <c r="H309" s="386"/>
      <c r="I309" s="386"/>
      <c r="J309" s="386"/>
      <c r="K309" s="386"/>
      <c r="L309" s="386"/>
      <c r="M309" s="386"/>
      <c r="N309" s="386"/>
      <c r="O309" s="386"/>
      <c r="P309" s="386"/>
      <c r="Q309" s="386"/>
      <c r="R309" s="386"/>
      <c r="S309" s="386"/>
      <c r="T309" s="386"/>
      <c r="U309" s="386"/>
      <c r="V309" s="386"/>
      <c r="W309" s="386"/>
      <c r="X309" s="386"/>
      <c r="Y309" s="386"/>
      <c r="Z309" s="386"/>
      <c r="AA309" s="386"/>
      <c r="AB309" s="386"/>
      <c r="AC309" s="386"/>
      <c r="AD309" s="386"/>
      <c r="AE309" s="386"/>
      <c r="AF309" s="386"/>
      <c r="AG309" s="386"/>
      <c r="AH309" s="386"/>
      <c r="AI309" s="386"/>
      <c r="AJ309" s="386"/>
      <c r="AK309" s="386"/>
      <c r="AL309" s="386"/>
      <c r="AM309" s="386"/>
      <c r="AN309" s="386"/>
      <c r="AO309" s="386"/>
      <c r="AP309" s="386"/>
      <c r="AQ309" s="386"/>
      <c r="AR309" s="386"/>
      <c r="AS309" s="386"/>
      <c r="AT309" s="386"/>
      <c r="AU309" s="386"/>
      <c r="AV309" s="386"/>
      <c r="AW309" s="386"/>
      <c r="AX309" s="386"/>
      <c r="AY309" s="386"/>
      <c r="AZ309" s="386"/>
      <c r="BA309" s="386"/>
      <c r="BB309" s="386"/>
      <c r="BC309" s="386"/>
      <c r="BD309" s="386"/>
      <c r="BE309" s="386"/>
      <c r="BF309" s="386"/>
      <c r="BG309" s="386"/>
      <c r="BH309" s="387"/>
      <c r="BI309" s="367"/>
      <c r="BJ309" s="87"/>
      <c r="BK309" s="86"/>
      <c r="BL309" s="85"/>
      <c r="BM309" s="84"/>
      <c r="BN309" s="84"/>
    </row>
    <row r="310" spans="1:66" s="88" customFormat="1" x14ac:dyDescent="1.4">
      <c r="A310" s="393"/>
      <c r="B310" s="92"/>
      <c r="C310" s="91"/>
      <c r="D310" s="90"/>
      <c r="E310" s="93"/>
      <c r="F310" s="385"/>
      <c r="G310" s="386"/>
      <c r="H310" s="386"/>
      <c r="I310" s="386"/>
      <c r="J310" s="386"/>
      <c r="K310" s="386"/>
      <c r="L310" s="386"/>
      <c r="M310" s="386"/>
      <c r="N310" s="386"/>
      <c r="O310" s="386"/>
      <c r="P310" s="386"/>
      <c r="Q310" s="386"/>
      <c r="R310" s="386"/>
      <c r="S310" s="386"/>
      <c r="T310" s="386"/>
      <c r="U310" s="386"/>
      <c r="V310" s="386"/>
      <c r="W310" s="386"/>
      <c r="X310" s="386"/>
      <c r="Y310" s="386"/>
      <c r="Z310" s="386"/>
      <c r="AA310" s="386"/>
      <c r="AB310" s="386"/>
      <c r="AC310" s="386"/>
      <c r="AD310" s="386"/>
      <c r="AE310" s="386"/>
      <c r="AF310" s="386"/>
      <c r="AG310" s="386"/>
      <c r="AH310" s="386"/>
      <c r="AI310" s="386"/>
      <c r="AJ310" s="386"/>
      <c r="AK310" s="386"/>
      <c r="AL310" s="386"/>
      <c r="AM310" s="386"/>
      <c r="AN310" s="386"/>
      <c r="AO310" s="386"/>
      <c r="AP310" s="386"/>
      <c r="AQ310" s="386"/>
      <c r="AR310" s="386"/>
      <c r="AS310" s="386"/>
      <c r="AT310" s="386"/>
      <c r="AU310" s="386"/>
      <c r="AV310" s="386"/>
      <c r="AW310" s="386"/>
      <c r="AX310" s="386"/>
      <c r="AY310" s="386"/>
      <c r="AZ310" s="386"/>
      <c r="BA310" s="386"/>
      <c r="BB310" s="386"/>
      <c r="BC310" s="386"/>
      <c r="BD310" s="386"/>
      <c r="BE310" s="386"/>
      <c r="BF310" s="386"/>
      <c r="BG310" s="386"/>
      <c r="BH310" s="387"/>
      <c r="BI310" s="367"/>
      <c r="BJ310" s="87"/>
      <c r="BK310" s="86"/>
      <c r="BL310" s="85"/>
      <c r="BM310" s="84"/>
      <c r="BN310" s="84"/>
    </row>
    <row r="311" spans="1:66" s="88" customFormat="1" x14ac:dyDescent="1.4">
      <c r="A311" s="393"/>
      <c r="B311" s="92"/>
      <c r="C311" s="91"/>
      <c r="D311" s="90"/>
      <c r="E311" s="93"/>
      <c r="F311" s="385"/>
      <c r="G311" s="386"/>
      <c r="H311" s="386"/>
      <c r="I311" s="386"/>
      <c r="J311" s="386"/>
      <c r="K311" s="386"/>
      <c r="L311" s="386"/>
      <c r="M311" s="386"/>
      <c r="N311" s="386"/>
      <c r="O311" s="386"/>
      <c r="P311" s="386"/>
      <c r="Q311" s="386"/>
      <c r="R311" s="386"/>
      <c r="S311" s="386"/>
      <c r="T311" s="386"/>
      <c r="U311" s="386"/>
      <c r="V311" s="386"/>
      <c r="W311" s="386"/>
      <c r="X311" s="386"/>
      <c r="Y311" s="386"/>
      <c r="Z311" s="386"/>
      <c r="AA311" s="386"/>
      <c r="AB311" s="386"/>
      <c r="AC311" s="386"/>
      <c r="AD311" s="386"/>
      <c r="AE311" s="386"/>
      <c r="AF311" s="386"/>
      <c r="AG311" s="386"/>
      <c r="AH311" s="386"/>
      <c r="AI311" s="386"/>
      <c r="AJ311" s="386"/>
      <c r="AK311" s="386"/>
      <c r="AL311" s="386"/>
      <c r="AM311" s="386"/>
      <c r="AN311" s="386"/>
      <c r="AO311" s="386"/>
      <c r="AP311" s="386"/>
      <c r="AQ311" s="386"/>
      <c r="AR311" s="386"/>
      <c r="AS311" s="386"/>
      <c r="AT311" s="386"/>
      <c r="AU311" s="386"/>
      <c r="AV311" s="386"/>
      <c r="AW311" s="386"/>
      <c r="AX311" s="386"/>
      <c r="AY311" s="386"/>
      <c r="AZ311" s="386"/>
      <c r="BA311" s="386"/>
      <c r="BB311" s="386"/>
      <c r="BC311" s="386"/>
      <c r="BD311" s="386"/>
      <c r="BE311" s="386"/>
      <c r="BF311" s="386"/>
      <c r="BG311" s="386"/>
      <c r="BH311" s="387"/>
      <c r="BI311" s="367"/>
      <c r="BJ311" s="87"/>
      <c r="BK311" s="86"/>
      <c r="BL311" s="85"/>
      <c r="BM311" s="84"/>
      <c r="BN311" s="84"/>
    </row>
    <row r="312" spans="1:66" s="88" customFormat="1" x14ac:dyDescent="1.4">
      <c r="A312" s="393"/>
      <c r="B312" s="92"/>
      <c r="C312" s="91"/>
      <c r="D312" s="90"/>
      <c r="E312" s="93"/>
      <c r="F312" s="385"/>
      <c r="G312" s="386"/>
      <c r="H312" s="386"/>
      <c r="I312" s="386"/>
      <c r="J312" s="386"/>
      <c r="K312" s="386"/>
      <c r="L312" s="386"/>
      <c r="M312" s="386"/>
      <c r="N312" s="386"/>
      <c r="O312" s="386"/>
      <c r="P312" s="386"/>
      <c r="Q312" s="386"/>
      <c r="R312" s="386"/>
      <c r="S312" s="386"/>
      <c r="T312" s="386"/>
      <c r="U312" s="386"/>
      <c r="V312" s="386"/>
      <c r="W312" s="386"/>
      <c r="X312" s="386"/>
      <c r="Y312" s="386"/>
      <c r="Z312" s="386"/>
      <c r="AA312" s="386"/>
      <c r="AB312" s="386"/>
      <c r="AC312" s="386"/>
      <c r="AD312" s="386"/>
      <c r="AE312" s="386"/>
      <c r="AF312" s="386"/>
      <c r="AG312" s="386"/>
      <c r="AH312" s="386"/>
      <c r="AI312" s="386"/>
      <c r="AJ312" s="386"/>
      <c r="AK312" s="386"/>
      <c r="AL312" s="386"/>
      <c r="AM312" s="386"/>
      <c r="AN312" s="386"/>
      <c r="AO312" s="386"/>
      <c r="AP312" s="386"/>
      <c r="AQ312" s="386"/>
      <c r="AR312" s="386"/>
      <c r="AS312" s="386"/>
      <c r="AT312" s="386"/>
      <c r="AU312" s="386"/>
      <c r="AV312" s="386"/>
      <c r="AW312" s="386"/>
      <c r="AX312" s="386"/>
      <c r="AY312" s="386"/>
      <c r="AZ312" s="386"/>
      <c r="BA312" s="386"/>
      <c r="BB312" s="386"/>
      <c r="BC312" s="386"/>
      <c r="BD312" s="386"/>
      <c r="BE312" s="386"/>
      <c r="BF312" s="386"/>
      <c r="BG312" s="386"/>
      <c r="BH312" s="387"/>
      <c r="BI312" s="367"/>
      <c r="BJ312" s="87"/>
      <c r="BK312" s="86"/>
      <c r="BL312" s="85"/>
      <c r="BM312" s="84"/>
      <c r="BN312" s="84"/>
    </row>
    <row r="313" spans="1:66" s="88" customFormat="1" x14ac:dyDescent="1.4">
      <c r="A313" s="393"/>
      <c r="B313" s="92"/>
      <c r="C313" s="91"/>
      <c r="D313" s="90"/>
      <c r="E313" s="93"/>
      <c r="F313" s="385"/>
      <c r="G313" s="386"/>
      <c r="H313" s="386"/>
      <c r="I313" s="386"/>
      <c r="J313" s="386"/>
      <c r="K313" s="386"/>
      <c r="L313" s="386"/>
      <c r="M313" s="386"/>
      <c r="N313" s="386"/>
      <c r="O313" s="386"/>
      <c r="P313" s="386"/>
      <c r="Q313" s="386"/>
      <c r="R313" s="386"/>
      <c r="S313" s="386"/>
      <c r="T313" s="386"/>
      <c r="U313" s="386"/>
      <c r="V313" s="386"/>
      <c r="W313" s="386"/>
      <c r="X313" s="386"/>
      <c r="Y313" s="386"/>
      <c r="Z313" s="386"/>
      <c r="AA313" s="386"/>
      <c r="AB313" s="386"/>
      <c r="AC313" s="386"/>
      <c r="AD313" s="386"/>
      <c r="AE313" s="386"/>
      <c r="AF313" s="386"/>
      <c r="AG313" s="386"/>
      <c r="AH313" s="386"/>
      <c r="AI313" s="386"/>
      <c r="AJ313" s="386"/>
      <c r="AK313" s="386"/>
      <c r="AL313" s="386"/>
      <c r="AM313" s="386"/>
      <c r="AN313" s="386"/>
      <c r="AO313" s="386"/>
      <c r="AP313" s="386"/>
      <c r="AQ313" s="386"/>
      <c r="AR313" s="386"/>
      <c r="AS313" s="386"/>
      <c r="AT313" s="386"/>
      <c r="AU313" s="386"/>
      <c r="AV313" s="386"/>
      <c r="AW313" s="386"/>
      <c r="AX313" s="386"/>
      <c r="AY313" s="386"/>
      <c r="AZ313" s="386"/>
      <c r="BA313" s="386"/>
      <c r="BB313" s="386"/>
      <c r="BC313" s="386"/>
      <c r="BD313" s="386"/>
      <c r="BE313" s="386"/>
      <c r="BF313" s="386"/>
      <c r="BG313" s="386"/>
      <c r="BH313" s="387"/>
      <c r="BI313" s="367"/>
      <c r="BJ313" s="87"/>
      <c r="BK313" s="86"/>
      <c r="BL313" s="85"/>
      <c r="BM313" s="84"/>
      <c r="BN313" s="84"/>
    </row>
    <row r="314" spans="1:66" s="88" customFormat="1" x14ac:dyDescent="1.4">
      <c r="A314" s="393"/>
      <c r="B314" s="92"/>
      <c r="C314" s="91"/>
      <c r="D314" s="90"/>
      <c r="E314" s="93"/>
      <c r="F314" s="385"/>
      <c r="G314" s="386"/>
      <c r="H314" s="386"/>
      <c r="I314" s="386"/>
      <c r="J314" s="386"/>
      <c r="K314" s="386"/>
      <c r="L314" s="386"/>
      <c r="M314" s="386"/>
      <c r="N314" s="386"/>
      <c r="O314" s="386"/>
      <c r="P314" s="386"/>
      <c r="Q314" s="386"/>
      <c r="R314" s="386"/>
      <c r="S314" s="386"/>
      <c r="T314" s="386"/>
      <c r="U314" s="386"/>
      <c r="V314" s="386"/>
      <c r="W314" s="386"/>
      <c r="X314" s="386"/>
      <c r="Y314" s="386"/>
      <c r="Z314" s="386"/>
      <c r="AA314" s="386"/>
      <c r="AB314" s="386"/>
      <c r="AC314" s="386"/>
      <c r="AD314" s="386"/>
      <c r="AE314" s="386"/>
      <c r="AF314" s="386"/>
      <c r="AG314" s="386"/>
      <c r="AH314" s="386"/>
      <c r="AI314" s="386"/>
      <c r="AJ314" s="386"/>
      <c r="AK314" s="386"/>
      <c r="AL314" s="386"/>
      <c r="AM314" s="386"/>
      <c r="AN314" s="386"/>
      <c r="AO314" s="386"/>
      <c r="AP314" s="386"/>
      <c r="AQ314" s="386"/>
      <c r="AR314" s="386"/>
      <c r="AS314" s="386"/>
      <c r="AT314" s="386"/>
      <c r="AU314" s="386"/>
      <c r="AV314" s="386"/>
      <c r="AW314" s="386"/>
      <c r="AX314" s="386"/>
      <c r="AY314" s="386"/>
      <c r="AZ314" s="386"/>
      <c r="BA314" s="386"/>
      <c r="BB314" s="386"/>
      <c r="BC314" s="386"/>
      <c r="BD314" s="386"/>
      <c r="BE314" s="386"/>
      <c r="BF314" s="386"/>
      <c r="BG314" s="386"/>
      <c r="BH314" s="387"/>
      <c r="BI314" s="367"/>
      <c r="BJ314" s="87"/>
      <c r="BK314" s="86"/>
      <c r="BL314" s="85"/>
      <c r="BM314" s="84"/>
      <c r="BN314" s="84"/>
    </row>
    <row r="315" spans="1:66" s="88" customFormat="1" x14ac:dyDescent="1.4">
      <c r="A315" s="393"/>
      <c r="B315" s="92"/>
      <c r="C315" s="91"/>
      <c r="D315" s="90"/>
      <c r="E315" s="93"/>
      <c r="F315" s="385"/>
      <c r="G315" s="386"/>
      <c r="H315" s="386"/>
      <c r="I315" s="386"/>
      <c r="J315" s="386"/>
      <c r="K315" s="386"/>
      <c r="L315" s="386"/>
      <c r="M315" s="386"/>
      <c r="N315" s="386"/>
      <c r="O315" s="386"/>
      <c r="P315" s="386"/>
      <c r="Q315" s="386"/>
      <c r="R315" s="386"/>
      <c r="S315" s="386"/>
      <c r="T315" s="386"/>
      <c r="U315" s="386"/>
      <c r="V315" s="386"/>
      <c r="W315" s="386"/>
      <c r="X315" s="386"/>
      <c r="Y315" s="386"/>
      <c r="Z315" s="386"/>
      <c r="AA315" s="386"/>
      <c r="AB315" s="386"/>
      <c r="AC315" s="386"/>
      <c r="AD315" s="386"/>
      <c r="AE315" s="386"/>
      <c r="AF315" s="386"/>
      <c r="AG315" s="386"/>
      <c r="AH315" s="386"/>
      <c r="AI315" s="386"/>
      <c r="AJ315" s="386"/>
      <c r="AK315" s="386"/>
      <c r="AL315" s="386"/>
      <c r="AM315" s="386"/>
      <c r="AN315" s="386"/>
      <c r="AO315" s="386"/>
      <c r="AP315" s="386"/>
      <c r="AQ315" s="386"/>
      <c r="AR315" s="386"/>
      <c r="AS315" s="386"/>
      <c r="AT315" s="386"/>
      <c r="AU315" s="386"/>
      <c r="AV315" s="386"/>
      <c r="AW315" s="386"/>
      <c r="AX315" s="386"/>
      <c r="AY315" s="386"/>
      <c r="AZ315" s="386"/>
      <c r="BA315" s="386"/>
      <c r="BB315" s="386"/>
      <c r="BC315" s="386"/>
      <c r="BD315" s="386"/>
      <c r="BE315" s="386"/>
      <c r="BF315" s="386"/>
      <c r="BG315" s="386"/>
      <c r="BH315" s="387"/>
      <c r="BI315" s="367"/>
      <c r="BJ315" s="87"/>
      <c r="BK315" s="86"/>
      <c r="BL315" s="85"/>
      <c r="BM315" s="84"/>
      <c r="BN315" s="84"/>
    </row>
    <row r="316" spans="1:66" s="88" customFormat="1" x14ac:dyDescent="1.4">
      <c r="A316" s="393"/>
      <c r="B316" s="92"/>
      <c r="C316" s="91"/>
      <c r="D316" s="90"/>
      <c r="E316" s="93"/>
      <c r="F316" s="385"/>
      <c r="G316" s="386"/>
      <c r="H316" s="386"/>
      <c r="I316" s="386"/>
      <c r="J316" s="386"/>
      <c r="K316" s="386"/>
      <c r="L316" s="386"/>
      <c r="M316" s="386"/>
      <c r="N316" s="386"/>
      <c r="O316" s="386"/>
      <c r="P316" s="386"/>
      <c r="Q316" s="386"/>
      <c r="R316" s="386"/>
      <c r="S316" s="386"/>
      <c r="T316" s="386"/>
      <c r="U316" s="386"/>
      <c r="V316" s="386"/>
      <c r="W316" s="386"/>
      <c r="X316" s="386"/>
      <c r="Y316" s="386"/>
      <c r="Z316" s="386"/>
      <c r="AA316" s="386"/>
      <c r="AB316" s="386"/>
      <c r="AC316" s="386"/>
      <c r="AD316" s="386"/>
      <c r="AE316" s="386"/>
      <c r="AF316" s="386"/>
      <c r="AG316" s="386"/>
      <c r="AH316" s="386"/>
      <c r="AI316" s="386"/>
      <c r="AJ316" s="386"/>
      <c r="AK316" s="386"/>
      <c r="AL316" s="386"/>
      <c r="AM316" s="386"/>
      <c r="AN316" s="386"/>
      <c r="AO316" s="386"/>
      <c r="AP316" s="386"/>
      <c r="AQ316" s="386"/>
      <c r="AR316" s="386"/>
      <c r="AS316" s="386"/>
      <c r="AT316" s="386"/>
      <c r="AU316" s="386"/>
      <c r="AV316" s="386"/>
      <c r="AW316" s="386"/>
      <c r="AX316" s="386"/>
      <c r="AY316" s="386"/>
      <c r="AZ316" s="386"/>
      <c r="BA316" s="386"/>
      <c r="BB316" s="386"/>
      <c r="BC316" s="386"/>
      <c r="BD316" s="386"/>
      <c r="BE316" s="386"/>
      <c r="BF316" s="386"/>
      <c r="BG316" s="386"/>
      <c r="BH316" s="387"/>
      <c r="BI316" s="367"/>
      <c r="BJ316" s="87"/>
      <c r="BK316" s="86"/>
      <c r="BL316" s="85"/>
      <c r="BM316" s="84"/>
      <c r="BN316" s="84"/>
    </row>
    <row r="317" spans="1:66" s="88" customFormat="1" x14ac:dyDescent="1.4">
      <c r="A317" s="393"/>
      <c r="B317" s="92"/>
      <c r="C317" s="91"/>
      <c r="D317" s="90"/>
      <c r="E317" s="93"/>
      <c r="F317" s="385"/>
      <c r="G317" s="386"/>
      <c r="H317" s="386"/>
      <c r="I317" s="386"/>
      <c r="J317" s="386"/>
      <c r="K317" s="386"/>
      <c r="L317" s="386"/>
      <c r="M317" s="386"/>
      <c r="N317" s="386"/>
      <c r="O317" s="386"/>
      <c r="P317" s="386"/>
      <c r="Q317" s="386"/>
      <c r="R317" s="386"/>
      <c r="S317" s="386"/>
      <c r="T317" s="386"/>
      <c r="U317" s="386"/>
      <c r="V317" s="386"/>
      <c r="W317" s="386"/>
      <c r="X317" s="386"/>
      <c r="Y317" s="386"/>
      <c r="Z317" s="386"/>
      <c r="AA317" s="386"/>
      <c r="AB317" s="386"/>
      <c r="AC317" s="386"/>
      <c r="AD317" s="386"/>
      <c r="AE317" s="386"/>
      <c r="AF317" s="386"/>
      <c r="AG317" s="386"/>
      <c r="AH317" s="386"/>
      <c r="AI317" s="386"/>
      <c r="AJ317" s="386"/>
      <c r="AK317" s="386"/>
      <c r="AL317" s="386"/>
      <c r="AM317" s="386"/>
      <c r="AN317" s="386"/>
      <c r="AO317" s="386"/>
      <c r="AP317" s="386"/>
      <c r="AQ317" s="386"/>
      <c r="AR317" s="386"/>
      <c r="AS317" s="386"/>
      <c r="AT317" s="386"/>
      <c r="AU317" s="386"/>
      <c r="AV317" s="386"/>
      <c r="AW317" s="386"/>
      <c r="AX317" s="386"/>
      <c r="AY317" s="386"/>
      <c r="AZ317" s="386"/>
      <c r="BA317" s="386"/>
      <c r="BB317" s="386"/>
      <c r="BC317" s="386"/>
      <c r="BD317" s="386"/>
      <c r="BE317" s="386"/>
      <c r="BF317" s="386"/>
      <c r="BG317" s="386"/>
      <c r="BH317" s="387"/>
      <c r="BI317" s="367"/>
      <c r="BJ317" s="87"/>
      <c r="BK317" s="86"/>
      <c r="BL317" s="85"/>
      <c r="BM317" s="84"/>
      <c r="BN317" s="84"/>
    </row>
    <row r="318" spans="1:66" s="88" customFormat="1" x14ac:dyDescent="1.4">
      <c r="A318" s="393"/>
      <c r="B318" s="92"/>
      <c r="C318" s="91"/>
      <c r="D318" s="90"/>
      <c r="E318" s="93"/>
      <c r="F318" s="385"/>
      <c r="G318" s="386"/>
      <c r="H318" s="386"/>
      <c r="I318" s="386"/>
      <c r="J318" s="386"/>
      <c r="K318" s="386"/>
      <c r="L318" s="386"/>
      <c r="M318" s="386"/>
      <c r="N318" s="386"/>
      <c r="O318" s="386"/>
      <c r="P318" s="386"/>
      <c r="Q318" s="386"/>
      <c r="R318" s="386"/>
      <c r="S318" s="386"/>
      <c r="T318" s="386"/>
      <c r="U318" s="386"/>
      <c r="V318" s="386"/>
      <c r="W318" s="386"/>
      <c r="X318" s="386"/>
      <c r="Y318" s="386"/>
      <c r="Z318" s="386"/>
      <c r="AA318" s="386"/>
      <c r="AB318" s="386"/>
      <c r="AC318" s="386"/>
      <c r="AD318" s="386"/>
      <c r="AE318" s="386"/>
      <c r="AF318" s="386"/>
      <c r="AG318" s="386"/>
      <c r="AH318" s="386"/>
      <c r="AI318" s="386"/>
      <c r="AJ318" s="386"/>
      <c r="AK318" s="386"/>
      <c r="AL318" s="386"/>
      <c r="AM318" s="386"/>
      <c r="AN318" s="386"/>
      <c r="AO318" s="386"/>
      <c r="AP318" s="386"/>
      <c r="AQ318" s="386"/>
      <c r="AR318" s="386"/>
      <c r="AS318" s="386"/>
      <c r="AT318" s="386"/>
      <c r="AU318" s="386"/>
      <c r="AV318" s="386"/>
      <c r="AW318" s="386"/>
      <c r="AX318" s="386"/>
      <c r="AY318" s="386"/>
      <c r="AZ318" s="386"/>
      <c r="BA318" s="386"/>
      <c r="BB318" s="386"/>
      <c r="BC318" s="386"/>
      <c r="BD318" s="386"/>
      <c r="BE318" s="386"/>
      <c r="BF318" s="386"/>
      <c r="BG318" s="386"/>
      <c r="BH318" s="387"/>
      <c r="BI318" s="367"/>
      <c r="BJ318" s="87"/>
      <c r="BK318" s="86"/>
      <c r="BL318" s="85"/>
      <c r="BM318" s="84"/>
      <c r="BN318" s="84"/>
    </row>
    <row r="319" spans="1:66" s="88" customFormat="1" x14ac:dyDescent="1.4">
      <c r="A319" s="393"/>
      <c r="B319" s="92"/>
      <c r="C319" s="91"/>
      <c r="D319" s="90"/>
      <c r="E319" s="93"/>
      <c r="F319" s="385"/>
      <c r="G319" s="386"/>
      <c r="H319" s="386"/>
      <c r="I319" s="386"/>
      <c r="J319" s="386"/>
      <c r="K319" s="386"/>
      <c r="L319" s="386"/>
      <c r="M319" s="386"/>
      <c r="N319" s="386"/>
      <c r="O319" s="386"/>
      <c r="P319" s="386"/>
      <c r="Q319" s="386"/>
      <c r="R319" s="386"/>
      <c r="S319" s="386"/>
      <c r="T319" s="386"/>
      <c r="U319" s="386"/>
      <c r="V319" s="386"/>
      <c r="W319" s="386"/>
      <c r="X319" s="386"/>
      <c r="Y319" s="386"/>
      <c r="Z319" s="386"/>
      <c r="AA319" s="386"/>
      <c r="AB319" s="386"/>
      <c r="AC319" s="386"/>
      <c r="AD319" s="386"/>
      <c r="AE319" s="386"/>
      <c r="AF319" s="386"/>
      <c r="AG319" s="386"/>
      <c r="AH319" s="386"/>
      <c r="AI319" s="386"/>
      <c r="AJ319" s="386"/>
      <c r="AK319" s="386"/>
      <c r="AL319" s="386"/>
      <c r="AM319" s="386"/>
      <c r="AN319" s="386"/>
      <c r="AO319" s="386"/>
      <c r="AP319" s="386"/>
      <c r="AQ319" s="386"/>
      <c r="AR319" s="386"/>
      <c r="AS319" s="386"/>
      <c r="AT319" s="386"/>
      <c r="AU319" s="386"/>
      <c r="AV319" s="386"/>
      <c r="AW319" s="386"/>
      <c r="AX319" s="386"/>
      <c r="AY319" s="386"/>
      <c r="AZ319" s="386"/>
      <c r="BA319" s="386"/>
      <c r="BB319" s="386"/>
      <c r="BC319" s="386"/>
      <c r="BD319" s="386"/>
      <c r="BE319" s="386"/>
      <c r="BF319" s="386"/>
      <c r="BG319" s="386"/>
      <c r="BH319" s="387"/>
      <c r="BI319" s="367"/>
      <c r="BJ319" s="87"/>
      <c r="BK319" s="86"/>
      <c r="BL319" s="85"/>
      <c r="BM319" s="84"/>
      <c r="BN319" s="84"/>
    </row>
    <row r="320" spans="1:66" s="88" customFormat="1" x14ac:dyDescent="1.4">
      <c r="A320" s="393"/>
      <c r="B320" s="92"/>
      <c r="C320" s="91"/>
      <c r="D320" s="90"/>
      <c r="E320" s="93"/>
      <c r="F320" s="385"/>
      <c r="G320" s="386"/>
      <c r="H320" s="386"/>
      <c r="I320" s="386"/>
      <c r="J320" s="386"/>
      <c r="K320" s="386"/>
      <c r="L320" s="386"/>
      <c r="M320" s="386"/>
      <c r="N320" s="386"/>
      <c r="O320" s="386"/>
      <c r="P320" s="386"/>
      <c r="Q320" s="386"/>
      <c r="R320" s="386"/>
      <c r="S320" s="386"/>
      <c r="T320" s="386"/>
      <c r="U320" s="386"/>
      <c r="V320" s="386"/>
      <c r="W320" s="386"/>
      <c r="X320" s="386"/>
      <c r="Y320" s="386"/>
      <c r="Z320" s="386"/>
      <c r="AA320" s="386"/>
      <c r="AB320" s="386"/>
      <c r="AC320" s="386"/>
      <c r="AD320" s="386"/>
      <c r="AE320" s="386"/>
      <c r="AF320" s="386"/>
      <c r="AG320" s="386"/>
      <c r="AH320" s="386"/>
      <c r="AI320" s="386"/>
      <c r="AJ320" s="386"/>
      <c r="AK320" s="386"/>
      <c r="AL320" s="386"/>
      <c r="AM320" s="386"/>
      <c r="AN320" s="386"/>
      <c r="AO320" s="386"/>
      <c r="AP320" s="386"/>
      <c r="AQ320" s="386"/>
      <c r="AR320" s="386"/>
      <c r="AS320" s="386"/>
      <c r="AT320" s="386"/>
      <c r="AU320" s="386"/>
      <c r="AV320" s="386"/>
      <c r="AW320" s="386"/>
      <c r="AX320" s="386"/>
      <c r="AY320" s="386"/>
      <c r="AZ320" s="386"/>
      <c r="BA320" s="386"/>
      <c r="BB320" s="386"/>
      <c r="BC320" s="386"/>
      <c r="BD320" s="386"/>
      <c r="BE320" s="386"/>
      <c r="BF320" s="386"/>
      <c r="BG320" s="386"/>
      <c r="BH320" s="387"/>
      <c r="BI320" s="367"/>
      <c r="BJ320" s="87"/>
      <c r="BK320" s="86"/>
      <c r="BL320" s="85"/>
      <c r="BM320" s="84"/>
      <c r="BN320" s="84"/>
    </row>
    <row r="321" spans="1:66" s="88" customFormat="1" x14ac:dyDescent="1.4">
      <c r="A321" s="393"/>
      <c r="B321" s="92"/>
      <c r="C321" s="91"/>
      <c r="D321" s="90"/>
      <c r="E321" s="93"/>
      <c r="F321" s="385"/>
      <c r="G321" s="386"/>
      <c r="H321" s="386"/>
      <c r="I321" s="386"/>
      <c r="J321" s="386"/>
      <c r="K321" s="386"/>
      <c r="L321" s="386"/>
      <c r="M321" s="386"/>
      <c r="N321" s="386"/>
      <c r="O321" s="386"/>
      <c r="P321" s="386"/>
      <c r="Q321" s="386"/>
      <c r="R321" s="386"/>
      <c r="S321" s="386"/>
      <c r="T321" s="386"/>
      <c r="U321" s="386"/>
      <c r="V321" s="386"/>
      <c r="W321" s="386"/>
      <c r="X321" s="386"/>
      <c r="Y321" s="386"/>
      <c r="Z321" s="386"/>
      <c r="AA321" s="386"/>
      <c r="AB321" s="386"/>
      <c r="AC321" s="386"/>
      <c r="AD321" s="386"/>
      <c r="AE321" s="386"/>
      <c r="AF321" s="386"/>
      <c r="AG321" s="386"/>
      <c r="AH321" s="386"/>
      <c r="AI321" s="386"/>
      <c r="AJ321" s="386"/>
      <c r="AK321" s="386"/>
      <c r="AL321" s="386"/>
      <c r="AM321" s="386"/>
      <c r="AN321" s="386"/>
      <c r="AO321" s="386"/>
      <c r="AP321" s="386"/>
      <c r="AQ321" s="386"/>
      <c r="AR321" s="386"/>
      <c r="AS321" s="386"/>
      <c r="AT321" s="386"/>
      <c r="AU321" s="386"/>
      <c r="AV321" s="386"/>
      <c r="AW321" s="386"/>
      <c r="AX321" s="386"/>
      <c r="AY321" s="386"/>
      <c r="AZ321" s="386"/>
      <c r="BA321" s="386"/>
      <c r="BB321" s="386"/>
      <c r="BC321" s="386"/>
      <c r="BD321" s="386"/>
      <c r="BE321" s="386"/>
      <c r="BF321" s="386"/>
      <c r="BG321" s="386"/>
      <c r="BH321" s="387"/>
      <c r="BI321" s="367"/>
      <c r="BJ321" s="87"/>
      <c r="BK321" s="86"/>
      <c r="BL321" s="85"/>
      <c r="BM321" s="84"/>
      <c r="BN321" s="84"/>
    </row>
    <row r="322" spans="1:66" s="88" customFormat="1" x14ac:dyDescent="1.4">
      <c r="A322" s="393"/>
      <c r="B322" s="92"/>
      <c r="C322" s="91"/>
      <c r="D322" s="90"/>
      <c r="E322" s="93"/>
      <c r="F322" s="385"/>
      <c r="G322" s="386"/>
      <c r="H322" s="386"/>
      <c r="I322" s="386"/>
      <c r="J322" s="386"/>
      <c r="K322" s="386"/>
      <c r="L322" s="386"/>
      <c r="M322" s="386"/>
      <c r="N322" s="386"/>
      <c r="O322" s="386"/>
      <c r="P322" s="386"/>
      <c r="Q322" s="386"/>
      <c r="R322" s="386"/>
      <c r="S322" s="386"/>
      <c r="T322" s="386"/>
      <c r="U322" s="386"/>
      <c r="V322" s="386"/>
      <c r="W322" s="386"/>
      <c r="X322" s="386"/>
      <c r="Y322" s="386"/>
      <c r="Z322" s="386"/>
      <c r="AA322" s="386"/>
      <c r="AB322" s="386"/>
      <c r="AC322" s="386"/>
      <c r="AD322" s="386"/>
      <c r="AE322" s="386"/>
      <c r="AF322" s="386"/>
      <c r="AG322" s="386"/>
      <c r="AH322" s="386"/>
      <c r="AI322" s="386"/>
      <c r="AJ322" s="386"/>
      <c r="AK322" s="386"/>
      <c r="AL322" s="386"/>
      <c r="AM322" s="386"/>
      <c r="AN322" s="386"/>
      <c r="AO322" s="386"/>
      <c r="AP322" s="386"/>
      <c r="AQ322" s="386"/>
      <c r="AR322" s="386"/>
      <c r="AS322" s="386"/>
      <c r="AT322" s="386"/>
      <c r="AU322" s="386"/>
      <c r="AV322" s="386"/>
      <c r="AW322" s="386"/>
      <c r="AX322" s="386"/>
      <c r="AY322" s="386"/>
      <c r="AZ322" s="386"/>
      <c r="BA322" s="386"/>
      <c r="BB322" s="386"/>
      <c r="BC322" s="386"/>
      <c r="BD322" s="386"/>
      <c r="BE322" s="386"/>
      <c r="BF322" s="386"/>
      <c r="BG322" s="386"/>
      <c r="BH322" s="387"/>
      <c r="BI322" s="367"/>
      <c r="BJ322" s="87"/>
      <c r="BK322" s="86"/>
      <c r="BL322" s="85"/>
      <c r="BM322" s="84"/>
      <c r="BN322" s="84"/>
    </row>
    <row r="323" spans="1:66" s="88" customFormat="1" x14ac:dyDescent="1.4">
      <c r="A323" s="393"/>
      <c r="B323" s="92"/>
      <c r="C323" s="91"/>
      <c r="D323" s="90"/>
      <c r="E323" s="93"/>
      <c r="F323" s="385"/>
      <c r="G323" s="386"/>
      <c r="H323" s="386"/>
      <c r="I323" s="386"/>
      <c r="J323" s="386"/>
      <c r="K323" s="386"/>
      <c r="L323" s="386"/>
      <c r="M323" s="386"/>
      <c r="N323" s="386"/>
      <c r="O323" s="386"/>
      <c r="P323" s="386"/>
      <c r="Q323" s="386"/>
      <c r="R323" s="386"/>
      <c r="S323" s="386"/>
      <c r="T323" s="386"/>
      <c r="U323" s="386"/>
      <c r="V323" s="386"/>
      <c r="W323" s="386"/>
      <c r="X323" s="386"/>
      <c r="Y323" s="386"/>
      <c r="Z323" s="386"/>
      <c r="AA323" s="386"/>
      <c r="AB323" s="386"/>
      <c r="AC323" s="386"/>
      <c r="AD323" s="386"/>
      <c r="AE323" s="386"/>
      <c r="AF323" s="386"/>
      <c r="AG323" s="386"/>
      <c r="AH323" s="386"/>
      <c r="AI323" s="386"/>
      <c r="AJ323" s="386"/>
      <c r="AK323" s="386"/>
      <c r="AL323" s="386"/>
      <c r="AM323" s="386"/>
      <c r="AN323" s="386"/>
      <c r="AO323" s="386"/>
      <c r="AP323" s="386"/>
      <c r="AQ323" s="386"/>
      <c r="AR323" s="386"/>
      <c r="AS323" s="386"/>
      <c r="AT323" s="386"/>
      <c r="AU323" s="386"/>
      <c r="AV323" s="386"/>
      <c r="AW323" s="386"/>
      <c r="AX323" s="386"/>
      <c r="AY323" s="386"/>
      <c r="AZ323" s="386"/>
      <c r="BA323" s="386"/>
      <c r="BB323" s="386"/>
      <c r="BC323" s="386"/>
      <c r="BD323" s="386"/>
      <c r="BE323" s="386"/>
      <c r="BF323" s="386"/>
      <c r="BG323" s="386"/>
      <c r="BH323" s="387"/>
      <c r="BI323" s="367"/>
      <c r="BJ323" s="87"/>
      <c r="BK323" s="86"/>
      <c r="BL323" s="85"/>
      <c r="BM323" s="84"/>
      <c r="BN323" s="84"/>
    </row>
    <row r="324" spans="1:66" s="88" customFormat="1" x14ac:dyDescent="1.4">
      <c r="A324" s="393"/>
      <c r="B324" s="92"/>
      <c r="C324" s="91"/>
      <c r="D324" s="90"/>
      <c r="E324" s="93"/>
      <c r="F324" s="385"/>
      <c r="G324" s="386"/>
      <c r="H324" s="386"/>
      <c r="I324" s="386"/>
      <c r="J324" s="386"/>
      <c r="K324" s="386"/>
      <c r="L324" s="386"/>
      <c r="M324" s="386"/>
      <c r="N324" s="386"/>
      <c r="O324" s="386"/>
      <c r="P324" s="386"/>
      <c r="Q324" s="386"/>
      <c r="R324" s="386"/>
      <c r="S324" s="386"/>
      <c r="T324" s="386"/>
      <c r="U324" s="386"/>
      <c r="V324" s="386"/>
      <c r="W324" s="386"/>
      <c r="X324" s="386"/>
      <c r="Y324" s="386"/>
      <c r="Z324" s="386"/>
      <c r="AA324" s="386"/>
      <c r="AB324" s="386"/>
      <c r="AC324" s="386"/>
      <c r="AD324" s="386"/>
      <c r="AE324" s="386"/>
      <c r="AF324" s="386"/>
      <c r="AG324" s="386"/>
      <c r="AH324" s="386"/>
      <c r="AI324" s="386"/>
      <c r="AJ324" s="386"/>
      <c r="AK324" s="386"/>
      <c r="AL324" s="386"/>
      <c r="AM324" s="386"/>
      <c r="AN324" s="386"/>
      <c r="AO324" s="386"/>
      <c r="AP324" s="386"/>
      <c r="AQ324" s="386"/>
      <c r="AR324" s="386"/>
      <c r="AS324" s="386"/>
      <c r="AT324" s="386"/>
      <c r="AU324" s="386"/>
      <c r="AV324" s="386"/>
      <c r="AW324" s="386"/>
      <c r="AX324" s="386"/>
      <c r="AY324" s="386"/>
      <c r="AZ324" s="386"/>
      <c r="BA324" s="386"/>
      <c r="BB324" s="386"/>
      <c r="BC324" s="386"/>
      <c r="BD324" s="386"/>
      <c r="BE324" s="386"/>
      <c r="BF324" s="386"/>
      <c r="BG324" s="386"/>
      <c r="BH324" s="387"/>
      <c r="BI324" s="367"/>
      <c r="BJ324" s="87"/>
      <c r="BK324" s="86"/>
      <c r="BL324" s="85"/>
      <c r="BM324" s="84"/>
      <c r="BN324" s="84"/>
    </row>
    <row r="325" spans="1:66" s="88" customFormat="1" x14ac:dyDescent="1.4">
      <c r="A325" s="393"/>
      <c r="B325" s="92"/>
      <c r="C325" s="91"/>
      <c r="D325" s="90"/>
      <c r="E325" s="93"/>
      <c r="F325" s="385"/>
      <c r="G325" s="386"/>
      <c r="H325" s="386"/>
      <c r="I325" s="386"/>
      <c r="J325" s="386"/>
      <c r="K325" s="386"/>
      <c r="L325" s="386"/>
      <c r="M325" s="386"/>
      <c r="N325" s="386"/>
      <c r="O325" s="386"/>
      <c r="P325" s="386"/>
      <c r="Q325" s="386"/>
      <c r="R325" s="386"/>
      <c r="S325" s="386"/>
      <c r="T325" s="386"/>
      <c r="U325" s="386"/>
      <c r="V325" s="386"/>
      <c r="W325" s="386"/>
      <c r="X325" s="386"/>
      <c r="Y325" s="386"/>
      <c r="Z325" s="386"/>
      <c r="AA325" s="386"/>
      <c r="AB325" s="386"/>
      <c r="AC325" s="386"/>
      <c r="AD325" s="386"/>
      <c r="AE325" s="386"/>
      <c r="AF325" s="386"/>
      <c r="AG325" s="386"/>
      <c r="AH325" s="386"/>
      <c r="AI325" s="386"/>
      <c r="AJ325" s="386"/>
      <c r="AK325" s="386"/>
      <c r="AL325" s="386"/>
      <c r="AM325" s="386"/>
      <c r="AN325" s="386"/>
      <c r="AO325" s="386"/>
      <c r="AP325" s="386"/>
      <c r="AQ325" s="386"/>
      <c r="AR325" s="386"/>
      <c r="AS325" s="386"/>
      <c r="AT325" s="386"/>
      <c r="AU325" s="386"/>
      <c r="AV325" s="386"/>
      <c r="AW325" s="386"/>
      <c r="AX325" s="386"/>
      <c r="AY325" s="386"/>
      <c r="AZ325" s="386"/>
      <c r="BA325" s="386"/>
      <c r="BB325" s="386"/>
      <c r="BC325" s="386"/>
      <c r="BD325" s="386"/>
      <c r="BE325" s="386"/>
      <c r="BF325" s="386"/>
      <c r="BG325" s="386"/>
      <c r="BH325" s="387"/>
      <c r="BI325" s="367"/>
      <c r="BJ325" s="87"/>
      <c r="BK325" s="86"/>
      <c r="BL325" s="85"/>
      <c r="BM325" s="84"/>
      <c r="BN325" s="84"/>
    </row>
    <row r="326" spans="1:66" s="88" customFormat="1" x14ac:dyDescent="1.4">
      <c r="A326" s="393"/>
      <c r="B326" s="92"/>
      <c r="C326" s="91"/>
      <c r="D326" s="90"/>
      <c r="E326" s="93"/>
      <c r="F326" s="385"/>
      <c r="G326" s="386"/>
      <c r="H326" s="386"/>
      <c r="I326" s="386"/>
      <c r="J326" s="386"/>
      <c r="K326" s="386"/>
      <c r="L326" s="386"/>
      <c r="M326" s="386"/>
      <c r="N326" s="386"/>
      <c r="O326" s="386"/>
      <c r="P326" s="386"/>
      <c r="Q326" s="386"/>
      <c r="R326" s="386"/>
      <c r="S326" s="386"/>
      <c r="T326" s="386"/>
      <c r="U326" s="386"/>
      <c r="V326" s="386"/>
      <c r="W326" s="386"/>
      <c r="X326" s="386"/>
      <c r="Y326" s="386"/>
      <c r="Z326" s="386"/>
      <c r="AA326" s="386"/>
      <c r="AB326" s="386"/>
      <c r="AC326" s="386"/>
      <c r="AD326" s="386"/>
      <c r="AE326" s="386"/>
      <c r="AF326" s="386"/>
      <c r="AG326" s="386"/>
      <c r="AH326" s="386"/>
      <c r="AI326" s="386"/>
      <c r="AJ326" s="386"/>
      <c r="AK326" s="386"/>
      <c r="AL326" s="386"/>
      <c r="AM326" s="386"/>
      <c r="AN326" s="386"/>
      <c r="AO326" s="386"/>
      <c r="AP326" s="386"/>
      <c r="AQ326" s="386"/>
      <c r="AR326" s="386"/>
      <c r="AS326" s="386"/>
      <c r="AT326" s="386"/>
      <c r="AU326" s="386"/>
      <c r="AV326" s="386"/>
      <c r="AW326" s="386"/>
      <c r="AX326" s="386"/>
      <c r="AY326" s="386"/>
      <c r="AZ326" s="386"/>
      <c r="BA326" s="386"/>
      <c r="BB326" s="386"/>
      <c r="BC326" s="386"/>
      <c r="BD326" s="386"/>
      <c r="BE326" s="386"/>
      <c r="BF326" s="386"/>
      <c r="BG326" s="386"/>
      <c r="BH326" s="387"/>
      <c r="BI326" s="367"/>
      <c r="BJ326" s="87"/>
      <c r="BK326" s="86"/>
      <c r="BL326" s="85"/>
      <c r="BM326" s="84"/>
      <c r="BN326" s="84"/>
    </row>
    <row r="327" spans="1:66" s="88" customFormat="1" x14ac:dyDescent="1.4">
      <c r="A327" s="393"/>
      <c r="B327" s="92"/>
      <c r="C327" s="91"/>
      <c r="D327" s="90"/>
      <c r="E327" s="93"/>
      <c r="F327" s="385"/>
      <c r="G327" s="386"/>
      <c r="H327" s="386"/>
      <c r="I327" s="386"/>
      <c r="J327" s="386"/>
      <c r="K327" s="386"/>
      <c r="L327" s="386"/>
      <c r="M327" s="386"/>
      <c r="N327" s="386"/>
      <c r="O327" s="386"/>
      <c r="P327" s="386"/>
      <c r="Q327" s="386"/>
      <c r="R327" s="386"/>
      <c r="S327" s="386"/>
      <c r="T327" s="386"/>
      <c r="U327" s="386"/>
      <c r="V327" s="386"/>
      <c r="W327" s="386"/>
      <c r="X327" s="386"/>
      <c r="Y327" s="386"/>
      <c r="Z327" s="386"/>
      <c r="AA327" s="386"/>
      <c r="AB327" s="386"/>
      <c r="AC327" s="386"/>
      <c r="AD327" s="386"/>
      <c r="AE327" s="386"/>
      <c r="AF327" s="386"/>
      <c r="AG327" s="386"/>
      <c r="AH327" s="386"/>
      <c r="AI327" s="386"/>
      <c r="AJ327" s="386"/>
      <c r="AK327" s="386"/>
      <c r="AL327" s="386"/>
      <c r="AM327" s="386"/>
      <c r="AN327" s="386"/>
      <c r="AO327" s="386"/>
      <c r="AP327" s="386"/>
      <c r="AQ327" s="386"/>
      <c r="AR327" s="386"/>
      <c r="AS327" s="386"/>
      <c r="AT327" s="386"/>
      <c r="AU327" s="386"/>
      <c r="AV327" s="386"/>
      <c r="AW327" s="386"/>
      <c r="AX327" s="386"/>
      <c r="AY327" s="386"/>
      <c r="AZ327" s="386"/>
      <c r="BA327" s="386"/>
      <c r="BB327" s="386"/>
      <c r="BC327" s="386"/>
      <c r="BD327" s="386"/>
      <c r="BE327" s="386"/>
      <c r="BF327" s="386"/>
      <c r="BG327" s="386"/>
      <c r="BH327" s="387"/>
      <c r="BI327" s="367"/>
      <c r="BJ327" s="87"/>
      <c r="BK327" s="86"/>
      <c r="BL327" s="85"/>
      <c r="BM327" s="84"/>
      <c r="BN327" s="84"/>
    </row>
    <row r="328" spans="1:66" s="88" customFormat="1" x14ac:dyDescent="1.4">
      <c r="A328" s="393"/>
      <c r="B328" s="92"/>
      <c r="C328" s="91"/>
      <c r="D328" s="90"/>
      <c r="E328" s="93"/>
      <c r="F328" s="385"/>
      <c r="G328" s="386"/>
      <c r="H328" s="386"/>
      <c r="I328" s="386"/>
      <c r="J328" s="386"/>
      <c r="K328" s="386"/>
      <c r="L328" s="386"/>
      <c r="M328" s="386"/>
      <c r="N328" s="386"/>
      <c r="O328" s="386"/>
      <c r="P328" s="386"/>
      <c r="Q328" s="386"/>
      <c r="R328" s="386"/>
      <c r="S328" s="386"/>
      <c r="T328" s="386"/>
      <c r="U328" s="386"/>
      <c r="V328" s="386"/>
      <c r="W328" s="386"/>
      <c r="X328" s="386"/>
      <c r="Y328" s="386"/>
      <c r="Z328" s="386"/>
      <c r="AA328" s="386"/>
      <c r="AB328" s="386"/>
      <c r="AC328" s="386"/>
      <c r="AD328" s="386"/>
      <c r="AE328" s="386"/>
      <c r="AF328" s="386"/>
      <c r="AG328" s="386"/>
      <c r="AH328" s="386"/>
      <c r="AI328" s="386"/>
      <c r="AJ328" s="386"/>
      <c r="AK328" s="386"/>
      <c r="AL328" s="386"/>
      <c r="AM328" s="386"/>
      <c r="AN328" s="386"/>
      <c r="AO328" s="386"/>
      <c r="AP328" s="386"/>
      <c r="AQ328" s="386"/>
      <c r="AR328" s="386"/>
      <c r="AS328" s="386"/>
      <c r="AT328" s="386"/>
      <c r="AU328" s="386"/>
      <c r="AV328" s="386"/>
      <c r="AW328" s="386"/>
      <c r="AX328" s="386"/>
      <c r="AY328" s="386"/>
      <c r="AZ328" s="386"/>
      <c r="BA328" s="386"/>
      <c r="BB328" s="386"/>
      <c r="BC328" s="386"/>
      <c r="BD328" s="386"/>
      <c r="BE328" s="386"/>
      <c r="BF328" s="386"/>
      <c r="BG328" s="386"/>
      <c r="BH328" s="387"/>
      <c r="BI328" s="367"/>
      <c r="BJ328" s="87"/>
      <c r="BK328" s="86"/>
      <c r="BL328" s="85"/>
      <c r="BM328" s="84"/>
      <c r="BN328" s="84"/>
    </row>
    <row r="329" spans="1:66" s="88" customFormat="1" x14ac:dyDescent="1.4">
      <c r="A329" s="393"/>
      <c r="B329" s="92"/>
      <c r="C329" s="91"/>
      <c r="D329" s="90"/>
      <c r="E329" s="93"/>
      <c r="F329" s="385"/>
      <c r="G329" s="386"/>
      <c r="H329" s="386"/>
      <c r="I329" s="386"/>
      <c r="J329" s="386"/>
      <c r="K329" s="386"/>
      <c r="L329" s="386"/>
      <c r="M329" s="386"/>
      <c r="N329" s="386"/>
      <c r="O329" s="386"/>
      <c r="P329" s="386"/>
      <c r="Q329" s="386"/>
      <c r="R329" s="386"/>
      <c r="S329" s="386"/>
      <c r="T329" s="386"/>
      <c r="U329" s="386"/>
      <c r="V329" s="386"/>
      <c r="W329" s="386"/>
      <c r="X329" s="386"/>
      <c r="Y329" s="386"/>
      <c r="Z329" s="386"/>
      <c r="AA329" s="386"/>
      <c r="AB329" s="386"/>
      <c r="AC329" s="386"/>
      <c r="AD329" s="386"/>
      <c r="AE329" s="386"/>
      <c r="AF329" s="386"/>
      <c r="AG329" s="386"/>
      <c r="AH329" s="386"/>
      <c r="AI329" s="386"/>
      <c r="AJ329" s="386"/>
      <c r="AK329" s="386"/>
      <c r="AL329" s="386"/>
      <c r="AM329" s="386"/>
      <c r="AN329" s="386"/>
      <c r="AO329" s="386"/>
      <c r="AP329" s="386"/>
      <c r="AQ329" s="386"/>
      <c r="AR329" s="386"/>
      <c r="AS329" s="386"/>
      <c r="AT329" s="386"/>
      <c r="AU329" s="386"/>
      <c r="AV329" s="386"/>
      <c r="AW329" s="386"/>
      <c r="AX329" s="386"/>
      <c r="AY329" s="386"/>
      <c r="AZ329" s="386"/>
      <c r="BA329" s="386"/>
      <c r="BB329" s="386"/>
      <c r="BC329" s="386"/>
      <c r="BD329" s="386"/>
      <c r="BE329" s="386"/>
      <c r="BF329" s="386"/>
      <c r="BG329" s="386"/>
      <c r="BH329" s="387"/>
      <c r="BI329" s="367"/>
      <c r="BJ329" s="87"/>
      <c r="BK329" s="86"/>
      <c r="BL329" s="85"/>
      <c r="BM329" s="84"/>
      <c r="BN329" s="84"/>
    </row>
    <row r="330" spans="1:66" s="88" customFormat="1" x14ac:dyDescent="1.4">
      <c r="A330" s="393"/>
      <c r="B330" s="92"/>
      <c r="C330" s="91"/>
      <c r="D330" s="90"/>
      <c r="E330" s="93"/>
      <c r="F330" s="385"/>
      <c r="G330" s="386"/>
      <c r="H330" s="386"/>
      <c r="I330" s="386"/>
      <c r="J330" s="386"/>
      <c r="K330" s="386"/>
      <c r="L330" s="386"/>
      <c r="M330" s="386"/>
      <c r="N330" s="386"/>
      <c r="O330" s="386"/>
      <c r="P330" s="386"/>
      <c r="Q330" s="386"/>
      <c r="R330" s="386"/>
      <c r="S330" s="386"/>
      <c r="T330" s="386"/>
      <c r="U330" s="386"/>
      <c r="V330" s="386"/>
      <c r="W330" s="386"/>
      <c r="X330" s="386"/>
      <c r="Y330" s="386"/>
      <c r="Z330" s="386"/>
      <c r="AA330" s="386"/>
      <c r="AB330" s="386"/>
      <c r="AC330" s="386"/>
      <c r="AD330" s="386"/>
      <c r="AE330" s="386"/>
      <c r="AF330" s="386"/>
      <c r="AG330" s="386"/>
      <c r="AH330" s="386"/>
      <c r="AI330" s="386"/>
      <c r="AJ330" s="386"/>
      <c r="AK330" s="386"/>
      <c r="AL330" s="386"/>
      <c r="AM330" s="386"/>
      <c r="AN330" s="386"/>
      <c r="AO330" s="386"/>
      <c r="AP330" s="386"/>
      <c r="AQ330" s="386"/>
      <c r="AR330" s="386"/>
      <c r="AS330" s="386"/>
      <c r="AT330" s="386"/>
      <c r="AU330" s="386"/>
      <c r="AV330" s="386"/>
      <c r="AW330" s="386"/>
      <c r="AX330" s="386"/>
      <c r="AY330" s="386"/>
      <c r="AZ330" s="386"/>
      <c r="BA330" s="386"/>
      <c r="BB330" s="386"/>
      <c r="BC330" s="386"/>
      <c r="BD330" s="386"/>
      <c r="BE330" s="386"/>
      <c r="BF330" s="386"/>
      <c r="BG330" s="386"/>
      <c r="BH330" s="387"/>
      <c r="BI330" s="367"/>
      <c r="BJ330" s="87"/>
      <c r="BK330" s="86"/>
      <c r="BL330" s="85"/>
      <c r="BM330" s="84"/>
      <c r="BN330" s="84"/>
    </row>
    <row r="331" spans="1:66" s="88" customFormat="1" x14ac:dyDescent="1.4">
      <c r="A331" s="393"/>
      <c r="B331" s="92"/>
      <c r="C331" s="91"/>
      <c r="D331" s="90"/>
      <c r="E331" s="93"/>
      <c r="F331" s="385"/>
      <c r="G331" s="386"/>
      <c r="H331" s="386"/>
      <c r="I331" s="386"/>
      <c r="J331" s="386"/>
      <c r="K331" s="386"/>
      <c r="L331" s="386"/>
      <c r="M331" s="386"/>
      <c r="N331" s="386"/>
      <c r="O331" s="386"/>
      <c r="P331" s="386"/>
      <c r="Q331" s="386"/>
      <c r="R331" s="386"/>
      <c r="S331" s="386"/>
      <c r="T331" s="386"/>
      <c r="U331" s="386"/>
      <c r="V331" s="386"/>
      <c r="W331" s="386"/>
      <c r="X331" s="386"/>
      <c r="Y331" s="386"/>
      <c r="Z331" s="386"/>
      <c r="AA331" s="386"/>
      <c r="AB331" s="386"/>
      <c r="AC331" s="386"/>
      <c r="AD331" s="386"/>
      <c r="AE331" s="386"/>
      <c r="AF331" s="386"/>
      <c r="AG331" s="386"/>
      <c r="AH331" s="386"/>
      <c r="AI331" s="386"/>
      <c r="AJ331" s="386"/>
      <c r="AK331" s="386"/>
      <c r="AL331" s="386"/>
      <c r="AM331" s="386"/>
      <c r="AN331" s="386"/>
      <c r="AO331" s="386"/>
      <c r="AP331" s="386"/>
      <c r="AQ331" s="386"/>
      <c r="AR331" s="386"/>
      <c r="AS331" s="386"/>
      <c r="AT331" s="386"/>
      <c r="AU331" s="386"/>
      <c r="AV331" s="386"/>
      <c r="AW331" s="386"/>
      <c r="AX331" s="386"/>
      <c r="AY331" s="386"/>
      <c r="AZ331" s="386"/>
      <c r="BA331" s="386"/>
      <c r="BB331" s="386"/>
      <c r="BC331" s="386"/>
      <c r="BD331" s="386"/>
      <c r="BE331" s="386"/>
      <c r="BF331" s="386"/>
      <c r="BG331" s="386"/>
      <c r="BH331" s="387"/>
      <c r="BI331" s="367"/>
      <c r="BJ331" s="87"/>
      <c r="BK331" s="86"/>
      <c r="BL331" s="85"/>
      <c r="BM331" s="84"/>
      <c r="BN331" s="84"/>
    </row>
    <row r="332" spans="1:66" s="88" customFormat="1" x14ac:dyDescent="1.4">
      <c r="A332" s="393"/>
      <c r="B332" s="92"/>
      <c r="C332" s="91"/>
      <c r="D332" s="90"/>
      <c r="E332" s="93"/>
      <c r="F332" s="385"/>
      <c r="G332" s="386"/>
      <c r="H332" s="386"/>
      <c r="I332" s="386"/>
      <c r="J332" s="386"/>
      <c r="K332" s="386"/>
      <c r="L332" s="386"/>
      <c r="M332" s="386"/>
      <c r="N332" s="386"/>
      <c r="O332" s="386"/>
      <c r="P332" s="386"/>
      <c r="Q332" s="386"/>
      <c r="R332" s="386"/>
      <c r="S332" s="386"/>
      <c r="T332" s="386"/>
      <c r="U332" s="386"/>
      <c r="V332" s="386"/>
      <c r="W332" s="386"/>
      <c r="X332" s="386"/>
      <c r="Y332" s="386"/>
      <c r="Z332" s="386"/>
      <c r="AA332" s="386"/>
      <c r="AB332" s="386"/>
      <c r="AC332" s="386"/>
      <c r="AD332" s="386"/>
      <c r="AE332" s="386"/>
      <c r="AF332" s="386"/>
      <c r="AG332" s="386"/>
      <c r="AH332" s="386"/>
      <c r="AI332" s="386"/>
      <c r="AJ332" s="386"/>
      <c r="AK332" s="386"/>
      <c r="AL332" s="386"/>
      <c r="AM332" s="386"/>
      <c r="AN332" s="386"/>
      <c r="AO332" s="386"/>
      <c r="AP332" s="386"/>
      <c r="AQ332" s="386"/>
      <c r="AR332" s="386"/>
      <c r="AS332" s="386"/>
      <c r="AT332" s="386"/>
      <c r="AU332" s="386"/>
      <c r="AV332" s="386"/>
      <c r="AW332" s="386"/>
      <c r="AX332" s="386"/>
      <c r="AY332" s="386"/>
      <c r="AZ332" s="386"/>
      <c r="BA332" s="386"/>
      <c r="BB332" s="386"/>
      <c r="BC332" s="386"/>
      <c r="BD332" s="386"/>
      <c r="BE332" s="386"/>
      <c r="BF332" s="386"/>
      <c r="BG332" s="386"/>
      <c r="BH332" s="387"/>
      <c r="BI332" s="367"/>
      <c r="BJ332" s="87"/>
      <c r="BK332" s="86"/>
      <c r="BL332" s="85"/>
      <c r="BM332" s="84"/>
      <c r="BN332" s="84"/>
    </row>
    <row r="333" spans="1:66" x14ac:dyDescent="1.4">
      <c r="E333" s="93"/>
    </row>
    <row r="334" spans="1:66" x14ac:dyDescent="1.4">
      <c r="E334" s="93"/>
    </row>
    <row r="335" spans="1:66" x14ac:dyDescent="1.4">
      <c r="E335" s="93"/>
    </row>
    <row r="336" spans="1:66" x14ac:dyDescent="1.4">
      <c r="E336" s="93"/>
    </row>
  </sheetData>
  <mergeCells count="79">
    <mergeCell ref="D10:D11"/>
    <mergeCell ref="B12:B13"/>
    <mergeCell ref="A12:A13"/>
    <mergeCell ref="A14:A15"/>
    <mergeCell ref="C12:C13"/>
    <mergeCell ref="D12:D13"/>
    <mergeCell ref="B14:B15"/>
    <mergeCell ref="C14:C15"/>
    <mergeCell ref="D14:D15"/>
    <mergeCell ref="BI1:BJ5"/>
    <mergeCell ref="A2:D3"/>
    <mergeCell ref="V2:AN2"/>
    <mergeCell ref="K3:AO3"/>
    <mergeCell ref="X4:AM4"/>
    <mergeCell ref="E5:Q5"/>
    <mergeCell ref="T5:AM5"/>
    <mergeCell ref="A1:D1"/>
    <mergeCell ref="E1:U2"/>
    <mergeCell ref="V1:AM1"/>
    <mergeCell ref="G6:BH6"/>
    <mergeCell ref="BI6:BI7"/>
    <mergeCell ref="BJ6:BJ7"/>
    <mergeCell ref="A22:A23"/>
    <mergeCell ref="B22:B23"/>
    <mergeCell ref="C22:C23"/>
    <mergeCell ref="D22:D23"/>
    <mergeCell ref="A6:A7"/>
    <mergeCell ref="B6:B7"/>
    <mergeCell ref="C6:C7"/>
    <mergeCell ref="D6:D7"/>
    <mergeCell ref="E6:E7"/>
    <mergeCell ref="F6:F7"/>
    <mergeCell ref="A10:A11"/>
    <mergeCell ref="B10:B11"/>
    <mergeCell ref="C10:C11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57:H59"/>
    <mergeCell ref="C54:C55"/>
    <mergeCell ref="N57:AT59"/>
    <mergeCell ref="A50:A51"/>
    <mergeCell ref="B50:B51"/>
    <mergeCell ref="C50:C51"/>
    <mergeCell ref="D50:D51"/>
    <mergeCell ref="A52:A53"/>
    <mergeCell ref="B52:B53"/>
    <mergeCell ref="C52:C53"/>
    <mergeCell ref="D52:D53"/>
    <mergeCell ref="E19:E20"/>
    <mergeCell ref="A19:A20"/>
    <mergeCell ref="B19:B20"/>
    <mergeCell ref="C19:C20"/>
    <mergeCell ref="D19:D20"/>
  </mergeCells>
  <printOptions horizontalCentered="1" verticalCentered="1"/>
  <pageMargins left="0" right="0" top="0.19685039370078741" bottom="0" header="0" footer="0"/>
  <pageSetup paperSize="8" scale="11" fitToHeight="0" orientation="landscape" r:id="rId1"/>
  <rowBreaks count="1" manualBreakCount="1">
    <brk id="37" max="61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6">
    <tabColor theme="8" tint="-0.499984740745262"/>
  </sheetPr>
  <dimension ref="A1:AJ97"/>
  <sheetViews>
    <sheetView rightToLeft="1" view="pageBreakPreview" zoomScale="10" zoomScaleNormal="10" zoomScaleSheetLayoutView="10" zoomScalePageLayoutView="10" workbookViewId="0">
      <selection activeCell="F10" sqref="F10:F11"/>
    </sheetView>
  </sheetViews>
  <sheetFormatPr defaultColWidth="9" defaultRowHeight="75.75" x14ac:dyDescent="1"/>
  <cols>
    <col min="1" max="1" width="46.85546875" style="307" customWidth="1"/>
    <col min="2" max="2" width="255.140625" style="309" customWidth="1"/>
    <col min="3" max="3" width="214.85546875" style="310" customWidth="1"/>
    <col min="4" max="4" width="51" style="311" customWidth="1"/>
    <col min="5" max="5" width="80.140625" style="312" customWidth="1"/>
    <col min="6" max="6" width="103.140625" style="312" customWidth="1"/>
    <col min="7" max="7" width="76.5703125" style="312" customWidth="1"/>
    <col min="8" max="8" width="38.28515625" style="307" customWidth="1"/>
    <col min="9" max="9" width="111.140625" style="307" customWidth="1"/>
    <col min="10" max="10" width="126.140625" style="307" customWidth="1"/>
    <col min="11" max="11" width="153.7109375" style="307" customWidth="1"/>
    <col min="12" max="12" width="134.42578125" style="460" customWidth="1"/>
    <col min="13" max="13" width="101" style="313" customWidth="1"/>
    <col min="14" max="14" width="184.7109375" style="460" customWidth="1"/>
    <col min="15" max="15" width="150.140625" style="460" customWidth="1"/>
    <col min="16" max="16" width="68.85546875" style="312" customWidth="1"/>
    <col min="17" max="17" width="108.42578125" style="308" customWidth="1"/>
    <col min="18" max="18" width="142.28515625" style="308" customWidth="1"/>
    <col min="19" max="19" width="127.42578125" style="308" customWidth="1"/>
    <col min="20" max="20" width="51.140625" style="308" bestFit="1" customWidth="1"/>
    <col min="21" max="258" width="9" style="308"/>
    <col min="259" max="259" width="11.42578125" style="308" customWidth="1"/>
    <col min="260" max="260" width="75.42578125" style="308" customWidth="1"/>
    <col min="261" max="261" width="7.5703125" style="308" customWidth="1"/>
    <col min="262" max="262" width="12.140625" style="308" customWidth="1"/>
    <col min="263" max="263" width="13.5703125" style="308" customWidth="1"/>
    <col min="264" max="264" width="14.140625" style="308" customWidth="1"/>
    <col min="265" max="265" width="18.5703125" style="308" customWidth="1"/>
    <col min="266" max="266" width="16.5703125" style="308" customWidth="1"/>
    <col min="267" max="267" width="17.5703125" style="308" customWidth="1"/>
    <col min="268" max="268" width="20" style="308" customWidth="1"/>
    <col min="269" max="269" width="9.140625" style="308" customWidth="1"/>
    <col min="270" max="270" width="17.28515625" style="308" customWidth="1"/>
    <col min="271" max="271" width="24.85546875" style="308" customWidth="1"/>
    <col min="272" max="272" width="23" style="308" customWidth="1"/>
    <col min="273" max="273" width="6" style="308" customWidth="1"/>
    <col min="274" max="274" width="19.28515625" style="308" customWidth="1"/>
    <col min="275" max="514" width="9" style="308"/>
    <col min="515" max="515" width="11.42578125" style="308" customWidth="1"/>
    <col min="516" max="516" width="75.42578125" style="308" customWidth="1"/>
    <col min="517" max="517" width="7.5703125" style="308" customWidth="1"/>
    <col min="518" max="518" width="12.140625" style="308" customWidth="1"/>
    <col min="519" max="519" width="13.5703125" style="308" customWidth="1"/>
    <col min="520" max="520" width="14.140625" style="308" customWidth="1"/>
    <col min="521" max="521" width="18.5703125" style="308" customWidth="1"/>
    <col min="522" max="522" width="16.5703125" style="308" customWidth="1"/>
    <col min="523" max="523" width="17.5703125" style="308" customWidth="1"/>
    <col min="524" max="524" width="20" style="308" customWidth="1"/>
    <col min="525" max="525" width="9.140625" style="308" customWidth="1"/>
    <col min="526" max="526" width="17.28515625" style="308" customWidth="1"/>
    <col min="527" max="527" width="24.85546875" style="308" customWidth="1"/>
    <col min="528" max="528" width="23" style="308" customWidth="1"/>
    <col min="529" max="529" width="6" style="308" customWidth="1"/>
    <col min="530" max="530" width="19.28515625" style="308" customWidth="1"/>
    <col min="531" max="770" width="9" style="308"/>
    <col min="771" max="771" width="11.42578125" style="308" customWidth="1"/>
    <col min="772" max="772" width="75.42578125" style="308" customWidth="1"/>
    <col min="773" max="773" width="7.5703125" style="308" customWidth="1"/>
    <col min="774" max="774" width="12.140625" style="308" customWidth="1"/>
    <col min="775" max="775" width="13.5703125" style="308" customWidth="1"/>
    <col min="776" max="776" width="14.140625" style="308" customWidth="1"/>
    <col min="777" max="777" width="18.5703125" style="308" customWidth="1"/>
    <col min="778" max="778" width="16.5703125" style="308" customWidth="1"/>
    <col min="779" max="779" width="17.5703125" style="308" customWidth="1"/>
    <col min="780" max="780" width="20" style="308" customWidth="1"/>
    <col min="781" max="781" width="9.140625" style="308" customWidth="1"/>
    <col min="782" max="782" width="17.28515625" style="308" customWidth="1"/>
    <col min="783" max="783" width="24.85546875" style="308" customWidth="1"/>
    <col min="784" max="784" width="23" style="308" customWidth="1"/>
    <col min="785" max="785" width="6" style="308" customWidth="1"/>
    <col min="786" max="786" width="19.28515625" style="308" customWidth="1"/>
    <col min="787" max="1026" width="9" style="308"/>
    <col min="1027" max="1027" width="11.42578125" style="308" customWidth="1"/>
    <col min="1028" max="1028" width="75.42578125" style="308" customWidth="1"/>
    <col min="1029" max="1029" width="7.5703125" style="308" customWidth="1"/>
    <col min="1030" max="1030" width="12.140625" style="308" customWidth="1"/>
    <col min="1031" max="1031" width="13.5703125" style="308" customWidth="1"/>
    <col min="1032" max="1032" width="14.140625" style="308" customWidth="1"/>
    <col min="1033" max="1033" width="18.5703125" style="308" customWidth="1"/>
    <col min="1034" max="1034" width="16.5703125" style="308" customWidth="1"/>
    <col min="1035" max="1035" width="17.5703125" style="308" customWidth="1"/>
    <col min="1036" max="1036" width="20" style="308" customWidth="1"/>
    <col min="1037" max="1037" width="9.140625" style="308" customWidth="1"/>
    <col min="1038" max="1038" width="17.28515625" style="308" customWidth="1"/>
    <col min="1039" max="1039" width="24.85546875" style="308" customWidth="1"/>
    <col min="1040" max="1040" width="23" style="308" customWidth="1"/>
    <col min="1041" max="1041" width="6" style="308" customWidth="1"/>
    <col min="1042" max="1042" width="19.28515625" style="308" customWidth="1"/>
    <col min="1043" max="1282" width="9" style="308"/>
    <col min="1283" max="1283" width="11.42578125" style="308" customWidth="1"/>
    <col min="1284" max="1284" width="75.42578125" style="308" customWidth="1"/>
    <col min="1285" max="1285" width="7.5703125" style="308" customWidth="1"/>
    <col min="1286" max="1286" width="12.140625" style="308" customWidth="1"/>
    <col min="1287" max="1287" width="13.5703125" style="308" customWidth="1"/>
    <col min="1288" max="1288" width="14.140625" style="308" customWidth="1"/>
    <col min="1289" max="1289" width="18.5703125" style="308" customWidth="1"/>
    <col min="1290" max="1290" width="16.5703125" style="308" customWidth="1"/>
    <col min="1291" max="1291" width="17.5703125" style="308" customWidth="1"/>
    <col min="1292" max="1292" width="20" style="308" customWidth="1"/>
    <col min="1293" max="1293" width="9.140625" style="308" customWidth="1"/>
    <col min="1294" max="1294" width="17.28515625" style="308" customWidth="1"/>
    <col min="1295" max="1295" width="24.85546875" style="308" customWidth="1"/>
    <col min="1296" max="1296" width="23" style="308" customWidth="1"/>
    <col min="1297" max="1297" width="6" style="308" customWidth="1"/>
    <col min="1298" max="1298" width="19.28515625" style="308" customWidth="1"/>
    <col min="1299" max="1538" width="9" style="308"/>
    <col min="1539" max="1539" width="11.42578125" style="308" customWidth="1"/>
    <col min="1540" max="1540" width="75.42578125" style="308" customWidth="1"/>
    <col min="1541" max="1541" width="7.5703125" style="308" customWidth="1"/>
    <col min="1542" max="1542" width="12.140625" style="308" customWidth="1"/>
    <col min="1543" max="1543" width="13.5703125" style="308" customWidth="1"/>
    <col min="1544" max="1544" width="14.140625" style="308" customWidth="1"/>
    <col min="1545" max="1545" width="18.5703125" style="308" customWidth="1"/>
    <col min="1546" max="1546" width="16.5703125" style="308" customWidth="1"/>
    <col min="1547" max="1547" width="17.5703125" style="308" customWidth="1"/>
    <col min="1548" max="1548" width="20" style="308" customWidth="1"/>
    <col min="1549" max="1549" width="9.140625" style="308" customWidth="1"/>
    <col min="1550" max="1550" width="17.28515625" style="308" customWidth="1"/>
    <col min="1551" max="1551" width="24.85546875" style="308" customWidth="1"/>
    <col min="1552" max="1552" width="23" style="308" customWidth="1"/>
    <col min="1553" max="1553" width="6" style="308" customWidth="1"/>
    <col min="1554" max="1554" width="19.28515625" style="308" customWidth="1"/>
    <col min="1555" max="1794" width="9" style="308"/>
    <col min="1795" max="1795" width="11.42578125" style="308" customWidth="1"/>
    <col min="1796" max="1796" width="75.42578125" style="308" customWidth="1"/>
    <col min="1797" max="1797" width="7.5703125" style="308" customWidth="1"/>
    <col min="1798" max="1798" width="12.140625" style="308" customWidth="1"/>
    <col min="1799" max="1799" width="13.5703125" style="308" customWidth="1"/>
    <col min="1800" max="1800" width="14.140625" style="308" customWidth="1"/>
    <col min="1801" max="1801" width="18.5703125" style="308" customWidth="1"/>
    <col min="1802" max="1802" width="16.5703125" style="308" customWidth="1"/>
    <col min="1803" max="1803" width="17.5703125" style="308" customWidth="1"/>
    <col min="1804" max="1804" width="20" style="308" customWidth="1"/>
    <col min="1805" max="1805" width="9.140625" style="308" customWidth="1"/>
    <col min="1806" max="1806" width="17.28515625" style="308" customWidth="1"/>
    <col min="1807" max="1807" width="24.85546875" style="308" customWidth="1"/>
    <col min="1808" max="1808" width="23" style="308" customWidth="1"/>
    <col min="1809" max="1809" width="6" style="308" customWidth="1"/>
    <col min="1810" max="1810" width="19.28515625" style="308" customWidth="1"/>
    <col min="1811" max="2050" width="9" style="308"/>
    <col min="2051" max="2051" width="11.42578125" style="308" customWidth="1"/>
    <col min="2052" max="2052" width="75.42578125" style="308" customWidth="1"/>
    <col min="2053" max="2053" width="7.5703125" style="308" customWidth="1"/>
    <col min="2054" max="2054" width="12.140625" style="308" customWidth="1"/>
    <col min="2055" max="2055" width="13.5703125" style="308" customWidth="1"/>
    <col min="2056" max="2056" width="14.140625" style="308" customWidth="1"/>
    <col min="2057" max="2057" width="18.5703125" style="308" customWidth="1"/>
    <col min="2058" max="2058" width="16.5703125" style="308" customWidth="1"/>
    <col min="2059" max="2059" width="17.5703125" style="308" customWidth="1"/>
    <col min="2060" max="2060" width="20" style="308" customWidth="1"/>
    <col min="2061" max="2061" width="9.140625" style="308" customWidth="1"/>
    <col min="2062" max="2062" width="17.28515625" style="308" customWidth="1"/>
    <col min="2063" max="2063" width="24.85546875" style="308" customWidth="1"/>
    <col min="2064" max="2064" width="23" style="308" customWidth="1"/>
    <col min="2065" max="2065" width="6" style="308" customWidth="1"/>
    <col min="2066" max="2066" width="19.28515625" style="308" customWidth="1"/>
    <col min="2067" max="2306" width="9" style="308"/>
    <col min="2307" max="2307" width="11.42578125" style="308" customWidth="1"/>
    <col min="2308" max="2308" width="75.42578125" style="308" customWidth="1"/>
    <col min="2309" max="2309" width="7.5703125" style="308" customWidth="1"/>
    <col min="2310" max="2310" width="12.140625" style="308" customWidth="1"/>
    <col min="2311" max="2311" width="13.5703125" style="308" customWidth="1"/>
    <col min="2312" max="2312" width="14.140625" style="308" customWidth="1"/>
    <col min="2313" max="2313" width="18.5703125" style="308" customWidth="1"/>
    <col min="2314" max="2314" width="16.5703125" style="308" customWidth="1"/>
    <col min="2315" max="2315" width="17.5703125" style="308" customWidth="1"/>
    <col min="2316" max="2316" width="20" style="308" customWidth="1"/>
    <col min="2317" max="2317" width="9.140625" style="308" customWidth="1"/>
    <col min="2318" max="2318" width="17.28515625" style="308" customWidth="1"/>
    <col min="2319" max="2319" width="24.85546875" style="308" customWidth="1"/>
    <col min="2320" max="2320" width="23" style="308" customWidth="1"/>
    <col min="2321" max="2321" width="6" style="308" customWidth="1"/>
    <col min="2322" max="2322" width="19.28515625" style="308" customWidth="1"/>
    <col min="2323" max="2562" width="9" style="308"/>
    <col min="2563" max="2563" width="11.42578125" style="308" customWidth="1"/>
    <col min="2564" max="2564" width="75.42578125" style="308" customWidth="1"/>
    <col min="2565" max="2565" width="7.5703125" style="308" customWidth="1"/>
    <col min="2566" max="2566" width="12.140625" style="308" customWidth="1"/>
    <col min="2567" max="2567" width="13.5703125" style="308" customWidth="1"/>
    <col min="2568" max="2568" width="14.140625" style="308" customWidth="1"/>
    <col min="2569" max="2569" width="18.5703125" style="308" customWidth="1"/>
    <col min="2570" max="2570" width="16.5703125" style="308" customWidth="1"/>
    <col min="2571" max="2571" width="17.5703125" style="308" customWidth="1"/>
    <col min="2572" max="2572" width="20" style="308" customWidth="1"/>
    <col min="2573" max="2573" width="9.140625" style="308" customWidth="1"/>
    <col min="2574" max="2574" width="17.28515625" style="308" customWidth="1"/>
    <col min="2575" max="2575" width="24.85546875" style="308" customWidth="1"/>
    <col min="2576" max="2576" width="23" style="308" customWidth="1"/>
    <col min="2577" max="2577" width="6" style="308" customWidth="1"/>
    <col min="2578" max="2578" width="19.28515625" style="308" customWidth="1"/>
    <col min="2579" max="2818" width="9" style="308"/>
    <col min="2819" max="2819" width="11.42578125" style="308" customWidth="1"/>
    <col min="2820" max="2820" width="75.42578125" style="308" customWidth="1"/>
    <col min="2821" max="2821" width="7.5703125" style="308" customWidth="1"/>
    <col min="2822" max="2822" width="12.140625" style="308" customWidth="1"/>
    <col min="2823" max="2823" width="13.5703125" style="308" customWidth="1"/>
    <col min="2824" max="2824" width="14.140625" style="308" customWidth="1"/>
    <col min="2825" max="2825" width="18.5703125" style="308" customWidth="1"/>
    <col min="2826" max="2826" width="16.5703125" style="308" customWidth="1"/>
    <col min="2827" max="2827" width="17.5703125" style="308" customWidth="1"/>
    <col min="2828" max="2828" width="20" style="308" customWidth="1"/>
    <col min="2829" max="2829" width="9.140625" style="308" customWidth="1"/>
    <col min="2830" max="2830" width="17.28515625" style="308" customWidth="1"/>
    <col min="2831" max="2831" width="24.85546875" style="308" customWidth="1"/>
    <col min="2832" max="2832" width="23" style="308" customWidth="1"/>
    <col min="2833" max="2833" width="6" style="308" customWidth="1"/>
    <col min="2834" max="2834" width="19.28515625" style="308" customWidth="1"/>
    <col min="2835" max="3074" width="9" style="308"/>
    <col min="3075" max="3075" width="11.42578125" style="308" customWidth="1"/>
    <col min="3076" max="3076" width="75.42578125" style="308" customWidth="1"/>
    <col min="3077" max="3077" width="7.5703125" style="308" customWidth="1"/>
    <col min="3078" max="3078" width="12.140625" style="308" customWidth="1"/>
    <col min="3079" max="3079" width="13.5703125" style="308" customWidth="1"/>
    <col min="3080" max="3080" width="14.140625" style="308" customWidth="1"/>
    <col min="3081" max="3081" width="18.5703125" style="308" customWidth="1"/>
    <col min="3082" max="3082" width="16.5703125" style="308" customWidth="1"/>
    <col min="3083" max="3083" width="17.5703125" style="308" customWidth="1"/>
    <col min="3084" max="3084" width="20" style="308" customWidth="1"/>
    <col min="3085" max="3085" width="9.140625" style="308" customWidth="1"/>
    <col min="3086" max="3086" width="17.28515625" style="308" customWidth="1"/>
    <col min="3087" max="3087" width="24.85546875" style="308" customWidth="1"/>
    <col min="3088" max="3088" width="23" style="308" customWidth="1"/>
    <col min="3089" max="3089" width="6" style="308" customWidth="1"/>
    <col min="3090" max="3090" width="19.28515625" style="308" customWidth="1"/>
    <col min="3091" max="3330" width="9" style="308"/>
    <col min="3331" max="3331" width="11.42578125" style="308" customWidth="1"/>
    <col min="3332" max="3332" width="75.42578125" style="308" customWidth="1"/>
    <col min="3333" max="3333" width="7.5703125" style="308" customWidth="1"/>
    <col min="3334" max="3334" width="12.140625" style="308" customWidth="1"/>
    <col min="3335" max="3335" width="13.5703125" style="308" customWidth="1"/>
    <col min="3336" max="3336" width="14.140625" style="308" customWidth="1"/>
    <col min="3337" max="3337" width="18.5703125" style="308" customWidth="1"/>
    <col min="3338" max="3338" width="16.5703125" style="308" customWidth="1"/>
    <col min="3339" max="3339" width="17.5703125" style="308" customWidth="1"/>
    <col min="3340" max="3340" width="20" style="308" customWidth="1"/>
    <col min="3341" max="3341" width="9.140625" style="308" customWidth="1"/>
    <col min="3342" max="3342" width="17.28515625" style="308" customWidth="1"/>
    <col min="3343" max="3343" width="24.85546875" style="308" customWidth="1"/>
    <col min="3344" max="3344" width="23" style="308" customWidth="1"/>
    <col min="3345" max="3345" width="6" style="308" customWidth="1"/>
    <col min="3346" max="3346" width="19.28515625" style="308" customWidth="1"/>
    <col min="3347" max="3586" width="9" style="308"/>
    <col min="3587" max="3587" width="11.42578125" style="308" customWidth="1"/>
    <col min="3588" max="3588" width="75.42578125" style="308" customWidth="1"/>
    <col min="3589" max="3589" width="7.5703125" style="308" customWidth="1"/>
    <col min="3590" max="3590" width="12.140625" style="308" customWidth="1"/>
    <col min="3591" max="3591" width="13.5703125" style="308" customWidth="1"/>
    <col min="3592" max="3592" width="14.140625" style="308" customWidth="1"/>
    <col min="3593" max="3593" width="18.5703125" style="308" customWidth="1"/>
    <col min="3594" max="3594" width="16.5703125" style="308" customWidth="1"/>
    <col min="3595" max="3595" width="17.5703125" style="308" customWidth="1"/>
    <col min="3596" max="3596" width="20" style="308" customWidth="1"/>
    <col min="3597" max="3597" width="9.140625" style="308" customWidth="1"/>
    <col min="3598" max="3598" width="17.28515625" style="308" customWidth="1"/>
    <col min="3599" max="3599" width="24.85546875" style="308" customWidth="1"/>
    <col min="3600" max="3600" width="23" style="308" customWidth="1"/>
    <col min="3601" max="3601" width="6" style="308" customWidth="1"/>
    <col min="3602" max="3602" width="19.28515625" style="308" customWidth="1"/>
    <col min="3603" max="3842" width="9" style="308"/>
    <col min="3843" max="3843" width="11.42578125" style="308" customWidth="1"/>
    <col min="3844" max="3844" width="75.42578125" style="308" customWidth="1"/>
    <col min="3845" max="3845" width="7.5703125" style="308" customWidth="1"/>
    <col min="3846" max="3846" width="12.140625" style="308" customWidth="1"/>
    <col min="3847" max="3847" width="13.5703125" style="308" customWidth="1"/>
    <col min="3848" max="3848" width="14.140625" style="308" customWidth="1"/>
    <col min="3849" max="3849" width="18.5703125" style="308" customWidth="1"/>
    <col min="3850" max="3850" width="16.5703125" style="308" customWidth="1"/>
    <col min="3851" max="3851" width="17.5703125" style="308" customWidth="1"/>
    <col min="3852" max="3852" width="20" style="308" customWidth="1"/>
    <col min="3853" max="3853" width="9.140625" style="308" customWidth="1"/>
    <col min="3854" max="3854" width="17.28515625" style="308" customWidth="1"/>
    <col min="3855" max="3855" width="24.85546875" style="308" customWidth="1"/>
    <col min="3856" max="3856" width="23" style="308" customWidth="1"/>
    <col min="3857" max="3857" width="6" style="308" customWidth="1"/>
    <col min="3858" max="3858" width="19.28515625" style="308" customWidth="1"/>
    <col min="3859" max="4098" width="9" style="308"/>
    <col min="4099" max="4099" width="11.42578125" style="308" customWidth="1"/>
    <col min="4100" max="4100" width="75.42578125" style="308" customWidth="1"/>
    <col min="4101" max="4101" width="7.5703125" style="308" customWidth="1"/>
    <col min="4102" max="4102" width="12.140625" style="308" customWidth="1"/>
    <col min="4103" max="4103" width="13.5703125" style="308" customWidth="1"/>
    <col min="4104" max="4104" width="14.140625" style="308" customWidth="1"/>
    <col min="4105" max="4105" width="18.5703125" style="308" customWidth="1"/>
    <col min="4106" max="4106" width="16.5703125" style="308" customWidth="1"/>
    <col min="4107" max="4107" width="17.5703125" style="308" customWidth="1"/>
    <col min="4108" max="4108" width="20" style="308" customWidth="1"/>
    <col min="4109" max="4109" width="9.140625" style="308" customWidth="1"/>
    <col min="4110" max="4110" width="17.28515625" style="308" customWidth="1"/>
    <col min="4111" max="4111" width="24.85546875" style="308" customWidth="1"/>
    <col min="4112" max="4112" width="23" style="308" customWidth="1"/>
    <col min="4113" max="4113" width="6" style="308" customWidth="1"/>
    <col min="4114" max="4114" width="19.28515625" style="308" customWidth="1"/>
    <col min="4115" max="4354" width="9" style="308"/>
    <col min="4355" max="4355" width="11.42578125" style="308" customWidth="1"/>
    <col min="4356" max="4356" width="75.42578125" style="308" customWidth="1"/>
    <col min="4357" max="4357" width="7.5703125" style="308" customWidth="1"/>
    <col min="4358" max="4358" width="12.140625" style="308" customWidth="1"/>
    <col min="4359" max="4359" width="13.5703125" style="308" customWidth="1"/>
    <col min="4360" max="4360" width="14.140625" style="308" customWidth="1"/>
    <col min="4361" max="4361" width="18.5703125" style="308" customWidth="1"/>
    <col min="4362" max="4362" width="16.5703125" style="308" customWidth="1"/>
    <col min="4363" max="4363" width="17.5703125" style="308" customWidth="1"/>
    <col min="4364" max="4364" width="20" style="308" customWidth="1"/>
    <col min="4365" max="4365" width="9.140625" style="308" customWidth="1"/>
    <col min="4366" max="4366" width="17.28515625" style="308" customWidth="1"/>
    <col min="4367" max="4367" width="24.85546875" style="308" customWidth="1"/>
    <col min="4368" max="4368" width="23" style="308" customWidth="1"/>
    <col min="4369" max="4369" width="6" style="308" customWidth="1"/>
    <col min="4370" max="4370" width="19.28515625" style="308" customWidth="1"/>
    <col min="4371" max="4610" width="9" style="308"/>
    <col min="4611" max="4611" width="11.42578125" style="308" customWidth="1"/>
    <col min="4612" max="4612" width="75.42578125" style="308" customWidth="1"/>
    <col min="4613" max="4613" width="7.5703125" style="308" customWidth="1"/>
    <col min="4614" max="4614" width="12.140625" style="308" customWidth="1"/>
    <col min="4615" max="4615" width="13.5703125" style="308" customWidth="1"/>
    <col min="4616" max="4616" width="14.140625" style="308" customWidth="1"/>
    <col min="4617" max="4617" width="18.5703125" style="308" customWidth="1"/>
    <col min="4618" max="4618" width="16.5703125" style="308" customWidth="1"/>
    <col min="4619" max="4619" width="17.5703125" style="308" customWidth="1"/>
    <col min="4620" max="4620" width="20" style="308" customWidth="1"/>
    <col min="4621" max="4621" width="9.140625" style="308" customWidth="1"/>
    <col min="4622" max="4622" width="17.28515625" style="308" customWidth="1"/>
    <col min="4623" max="4623" width="24.85546875" style="308" customWidth="1"/>
    <col min="4624" max="4624" width="23" style="308" customWidth="1"/>
    <col min="4625" max="4625" width="6" style="308" customWidth="1"/>
    <col min="4626" max="4626" width="19.28515625" style="308" customWidth="1"/>
    <col min="4627" max="4866" width="9" style="308"/>
    <col min="4867" max="4867" width="11.42578125" style="308" customWidth="1"/>
    <col min="4868" max="4868" width="75.42578125" style="308" customWidth="1"/>
    <col min="4869" max="4869" width="7.5703125" style="308" customWidth="1"/>
    <col min="4870" max="4870" width="12.140625" style="308" customWidth="1"/>
    <col min="4871" max="4871" width="13.5703125" style="308" customWidth="1"/>
    <col min="4872" max="4872" width="14.140625" style="308" customWidth="1"/>
    <col min="4873" max="4873" width="18.5703125" style="308" customWidth="1"/>
    <col min="4874" max="4874" width="16.5703125" style="308" customWidth="1"/>
    <col min="4875" max="4875" width="17.5703125" style="308" customWidth="1"/>
    <col min="4876" max="4876" width="20" style="308" customWidth="1"/>
    <col min="4877" max="4877" width="9.140625" style="308" customWidth="1"/>
    <col min="4878" max="4878" width="17.28515625" style="308" customWidth="1"/>
    <col min="4879" max="4879" width="24.85546875" style="308" customWidth="1"/>
    <col min="4880" max="4880" width="23" style="308" customWidth="1"/>
    <col min="4881" max="4881" width="6" style="308" customWidth="1"/>
    <col min="4882" max="4882" width="19.28515625" style="308" customWidth="1"/>
    <col min="4883" max="5122" width="9" style="308"/>
    <col min="5123" max="5123" width="11.42578125" style="308" customWidth="1"/>
    <col min="5124" max="5124" width="75.42578125" style="308" customWidth="1"/>
    <col min="5125" max="5125" width="7.5703125" style="308" customWidth="1"/>
    <col min="5126" max="5126" width="12.140625" style="308" customWidth="1"/>
    <col min="5127" max="5127" width="13.5703125" style="308" customWidth="1"/>
    <col min="5128" max="5128" width="14.140625" style="308" customWidth="1"/>
    <col min="5129" max="5129" width="18.5703125" style="308" customWidth="1"/>
    <col min="5130" max="5130" width="16.5703125" style="308" customWidth="1"/>
    <col min="5131" max="5131" width="17.5703125" style="308" customWidth="1"/>
    <col min="5132" max="5132" width="20" style="308" customWidth="1"/>
    <col min="5133" max="5133" width="9.140625" style="308" customWidth="1"/>
    <col min="5134" max="5134" width="17.28515625" style="308" customWidth="1"/>
    <col min="5135" max="5135" width="24.85546875" style="308" customWidth="1"/>
    <col min="5136" max="5136" width="23" style="308" customWidth="1"/>
    <col min="5137" max="5137" width="6" style="308" customWidth="1"/>
    <col min="5138" max="5138" width="19.28515625" style="308" customWidth="1"/>
    <col min="5139" max="5378" width="9" style="308"/>
    <col min="5379" max="5379" width="11.42578125" style="308" customWidth="1"/>
    <col min="5380" max="5380" width="75.42578125" style="308" customWidth="1"/>
    <col min="5381" max="5381" width="7.5703125" style="308" customWidth="1"/>
    <col min="5382" max="5382" width="12.140625" style="308" customWidth="1"/>
    <col min="5383" max="5383" width="13.5703125" style="308" customWidth="1"/>
    <col min="5384" max="5384" width="14.140625" style="308" customWidth="1"/>
    <col min="5385" max="5385" width="18.5703125" style="308" customWidth="1"/>
    <col min="5386" max="5386" width="16.5703125" style="308" customWidth="1"/>
    <col min="5387" max="5387" width="17.5703125" style="308" customWidth="1"/>
    <col min="5388" max="5388" width="20" style="308" customWidth="1"/>
    <col min="5389" max="5389" width="9.140625" style="308" customWidth="1"/>
    <col min="5390" max="5390" width="17.28515625" style="308" customWidth="1"/>
    <col min="5391" max="5391" width="24.85546875" style="308" customWidth="1"/>
    <col min="5392" max="5392" width="23" style="308" customWidth="1"/>
    <col min="5393" max="5393" width="6" style="308" customWidth="1"/>
    <col min="5394" max="5394" width="19.28515625" style="308" customWidth="1"/>
    <col min="5395" max="5634" width="9" style="308"/>
    <col min="5635" max="5635" width="11.42578125" style="308" customWidth="1"/>
    <col min="5636" max="5636" width="75.42578125" style="308" customWidth="1"/>
    <col min="5637" max="5637" width="7.5703125" style="308" customWidth="1"/>
    <col min="5638" max="5638" width="12.140625" style="308" customWidth="1"/>
    <col min="5639" max="5639" width="13.5703125" style="308" customWidth="1"/>
    <col min="5640" max="5640" width="14.140625" style="308" customWidth="1"/>
    <col min="5641" max="5641" width="18.5703125" style="308" customWidth="1"/>
    <col min="5642" max="5642" width="16.5703125" style="308" customWidth="1"/>
    <col min="5643" max="5643" width="17.5703125" style="308" customWidth="1"/>
    <col min="5644" max="5644" width="20" style="308" customWidth="1"/>
    <col min="5645" max="5645" width="9.140625" style="308" customWidth="1"/>
    <col min="5646" max="5646" width="17.28515625" style="308" customWidth="1"/>
    <col min="5647" max="5647" width="24.85546875" style="308" customWidth="1"/>
    <col min="5648" max="5648" width="23" style="308" customWidth="1"/>
    <col min="5649" max="5649" width="6" style="308" customWidth="1"/>
    <col min="5650" max="5650" width="19.28515625" style="308" customWidth="1"/>
    <col min="5651" max="5890" width="9" style="308"/>
    <col min="5891" max="5891" width="11.42578125" style="308" customWidth="1"/>
    <col min="5892" max="5892" width="75.42578125" style="308" customWidth="1"/>
    <col min="5893" max="5893" width="7.5703125" style="308" customWidth="1"/>
    <col min="5894" max="5894" width="12.140625" style="308" customWidth="1"/>
    <col min="5895" max="5895" width="13.5703125" style="308" customWidth="1"/>
    <col min="5896" max="5896" width="14.140625" style="308" customWidth="1"/>
    <col min="5897" max="5897" width="18.5703125" style="308" customWidth="1"/>
    <col min="5898" max="5898" width="16.5703125" style="308" customWidth="1"/>
    <col min="5899" max="5899" width="17.5703125" style="308" customWidth="1"/>
    <col min="5900" max="5900" width="20" style="308" customWidth="1"/>
    <col min="5901" max="5901" width="9.140625" style="308" customWidth="1"/>
    <col min="5902" max="5902" width="17.28515625" style="308" customWidth="1"/>
    <col min="5903" max="5903" width="24.85546875" style="308" customWidth="1"/>
    <col min="5904" max="5904" width="23" style="308" customWidth="1"/>
    <col min="5905" max="5905" width="6" style="308" customWidth="1"/>
    <col min="5906" max="5906" width="19.28515625" style="308" customWidth="1"/>
    <col min="5907" max="6146" width="9" style="308"/>
    <col min="6147" max="6147" width="11.42578125" style="308" customWidth="1"/>
    <col min="6148" max="6148" width="75.42578125" style="308" customWidth="1"/>
    <col min="6149" max="6149" width="7.5703125" style="308" customWidth="1"/>
    <col min="6150" max="6150" width="12.140625" style="308" customWidth="1"/>
    <col min="6151" max="6151" width="13.5703125" style="308" customWidth="1"/>
    <col min="6152" max="6152" width="14.140625" style="308" customWidth="1"/>
    <col min="6153" max="6153" width="18.5703125" style="308" customWidth="1"/>
    <col min="6154" max="6154" width="16.5703125" style="308" customWidth="1"/>
    <col min="6155" max="6155" width="17.5703125" style="308" customWidth="1"/>
    <col min="6156" max="6156" width="20" style="308" customWidth="1"/>
    <col min="6157" max="6157" width="9.140625" style="308" customWidth="1"/>
    <col min="6158" max="6158" width="17.28515625" style="308" customWidth="1"/>
    <col min="6159" max="6159" width="24.85546875" style="308" customWidth="1"/>
    <col min="6160" max="6160" width="23" style="308" customWidth="1"/>
    <col min="6161" max="6161" width="6" style="308" customWidth="1"/>
    <col min="6162" max="6162" width="19.28515625" style="308" customWidth="1"/>
    <col min="6163" max="6402" width="9" style="308"/>
    <col min="6403" max="6403" width="11.42578125" style="308" customWidth="1"/>
    <col min="6404" max="6404" width="75.42578125" style="308" customWidth="1"/>
    <col min="6405" max="6405" width="7.5703125" style="308" customWidth="1"/>
    <col min="6406" max="6406" width="12.140625" style="308" customWidth="1"/>
    <col min="6407" max="6407" width="13.5703125" style="308" customWidth="1"/>
    <col min="6408" max="6408" width="14.140625" style="308" customWidth="1"/>
    <col min="6409" max="6409" width="18.5703125" style="308" customWidth="1"/>
    <col min="6410" max="6410" width="16.5703125" style="308" customWidth="1"/>
    <col min="6411" max="6411" width="17.5703125" style="308" customWidth="1"/>
    <col min="6412" max="6412" width="20" style="308" customWidth="1"/>
    <col min="6413" max="6413" width="9.140625" style="308" customWidth="1"/>
    <col min="6414" max="6414" width="17.28515625" style="308" customWidth="1"/>
    <col min="6415" max="6415" width="24.85546875" style="308" customWidth="1"/>
    <col min="6416" max="6416" width="23" style="308" customWidth="1"/>
    <col min="6417" max="6417" width="6" style="308" customWidth="1"/>
    <col min="6418" max="6418" width="19.28515625" style="308" customWidth="1"/>
    <col min="6419" max="6658" width="9" style="308"/>
    <col min="6659" max="6659" width="11.42578125" style="308" customWidth="1"/>
    <col min="6660" max="6660" width="75.42578125" style="308" customWidth="1"/>
    <col min="6661" max="6661" width="7.5703125" style="308" customWidth="1"/>
    <col min="6662" max="6662" width="12.140625" style="308" customWidth="1"/>
    <col min="6663" max="6663" width="13.5703125" style="308" customWidth="1"/>
    <col min="6664" max="6664" width="14.140625" style="308" customWidth="1"/>
    <col min="6665" max="6665" width="18.5703125" style="308" customWidth="1"/>
    <col min="6666" max="6666" width="16.5703125" style="308" customWidth="1"/>
    <col min="6667" max="6667" width="17.5703125" style="308" customWidth="1"/>
    <col min="6668" max="6668" width="20" style="308" customWidth="1"/>
    <col min="6669" max="6669" width="9.140625" style="308" customWidth="1"/>
    <col min="6670" max="6670" width="17.28515625" style="308" customWidth="1"/>
    <col min="6671" max="6671" width="24.85546875" style="308" customWidth="1"/>
    <col min="6672" max="6672" width="23" style="308" customWidth="1"/>
    <col min="6673" max="6673" width="6" style="308" customWidth="1"/>
    <col min="6674" max="6674" width="19.28515625" style="308" customWidth="1"/>
    <col min="6675" max="6914" width="9" style="308"/>
    <col min="6915" max="6915" width="11.42578125" style="308" customWidth="1"/>
    <col min="6916" max="6916" width="75.42578125" style="308" customWidth="1"/>
    <col min="6917" max="6917" width="7.5703125" style="308" customWidth="1"/>
    <col min="6918" max="6918" width="12.140625" style="308" customWidth="1"/>
    <col min="6919" max="6919" width="13.5703125" style="308" customWidth="1"/>
    <col min="6920" max="6920" width="14.140625" style="308" customWidth="1"/>
    <col min="6921" max="6921" width="18.5703125" style="308" customWidth="1"/>
    <col min="6922" max="6922" width="16.5703125" style="308" customWidth="1"/>
    <col min="6923" max="6923" width="17.5703125" style="308" customWidth="1"/>
    <col min="6924" max="6924" width="20" style="308" customWidth="1"/>
    <col min="6925" max="6925" width="9.140625" style="308" customWidth="1"/>
    <col min="6926" max="6926" width="17.28515625" style="308" customWidth="1"/>
    <col min="6927" max="6927" width="24.85546875" style="308" customWidth="1"/>
    <col min="6928" max="6928" width="23" style="308" customWidth="1"/>
    <col min="6929" max="6929" width="6" style="308" customWidth="1"/>
    <col min="6930" max="6930" width="19.28515625" style="308" customWidth="1"/>
    <col min="6931" max="7170" width="9" style="308"/>
    <col min="7171" max="7171" width="11.42578125" style="308" customWidth="1"/>
    <col min="7172" max="7172" width="75.42578125" style="308" customWidth="1"/>
    <col min="7173" max="7173" width="7.5703125" style="308" customWidth="1"/>
    <col min="7174" max="7174" width="12.140625" style="308" customWidth="1"/>
    <col min="7175" max="7175" width="13.5703125" style="308" customWidth="1"/>
    <col min="7176" max="7176" width="14.140625" style="308" customWidth="1"/>
    <col min="7177" max="7177" width="18.5703125" style="308" customWidth="1"/>
    <col min="7178" max="7178" width="16.5703125" style="308" customWidth="1"/>
    <col min="7179" max="7179" width="17.5703125" style="308" customWidth="1"/>
    <col min="7180" max="7180" width="20" style="308" customWidth="1"/>
    <col min="7181" max="7181" width="9.140625" style="308" customWidth="1"/>
    <col min="7182" max="7182" width="17.28515625" style="308" customWidth="1"/>
    <col min="7183" max="7183" width="24.85546875" style="308" customWidth="1"/>
    <col min="7184" max="7184" width="23" style="308" customWidth="1"/>
    <col min="7185" max="7185" width="6" style="308" customWidth="1"/>
    <col min="7186" max="7186" width="19.28515625" style="308" customWidth="1"/>
    <col min="7187" max="7426" width="9" style="308"/>
    <col min="7427" max="7427" width="11.42578125" style="308" customWidth="1"/>
    <col min="7428" max="7428" width="75.42578125" style="308" customWidth="1"/>
    <col min="7429" max="7429" width="7.5703125" style="308" customWidth="1"/>
    <col min="7430" max="7430" width="12.140625" style="308" customWidth="1"/>
    <col min="7431" max="7431" width="13.5703125" style="308" customWidth="1"/>
    <col min="7432" max="7432" width="14.140625" style="308" customWidth="1"/>
    <col min="7433" max="7433" width="18.5703125" style="308" customWidth="1"/>
    <col min="7434" max="7434" width="16.5703125" style="308" customWidth="1"/>
    <col min="7435" max="7435" width="17.5703125" style="308" customWidth="1"/>
    <col min="7436" max="7436" width="20" style="308" customWidth="1"/>
    <col min="7437" max="7437" width="9.140625" style="308" customWidth="1"/>
    <col min="7438" max="7438" width="17.28515625" style="308" customWidth="1"/>
    <col min="7439" max="7439" width="24.85546875" style="308" customWidth="1"/>
    <col min="7440" max="7440" width="23" style="308" customWidth="1"/>
    <col min="7441" max="7441" width="6" style="308" customWidth="1"/>
    <col min="7442" max="7442" width="19.28515625" style="308" customWidth="1"/>
    <col min="7443" max="7682" width="9" style="308"/>
    <col min="7683" max="7683" width="11.42578125" style="308" customWidth="1"/>
    <col min="7684" max="7684" width="75.42578125" style="308" customWidth="1"/>
    <col min="7685" max="7685" width="7.5703125" style="308" customWidth="1"/>
    <col min="7686" max="7686" width="12.140625" style="308" customWidth="1"/>
    <col min="7687" max="7687" width="13.5703125" style="308" customWidth="1"/>
    <col min="7688" max="7688" width="14.140625" style="308" customWidth="1"/>
    <col min="7689" max="7689" width="18.5703125" style="308" customWidth="1"/>
    <col min="7690" max="7690" width="16.5703125" style="308" customWidth="1"/>
    <col min="7691" max="7691" width="17.5703125" style="308" customWidth="1"/>
    <col min="7692" max="7692" width="20" style="308" customWidth="1"/>
    <col min="7693" max="7693" width="9.140625" style="308" customWidth="1"/>
    <col min="7694" max="7694" width="17.28515625" style="308" customWidth="1"/>
    <col min="7695" max="7695" width="24.85546875" style="308" customWidth="1"/>
    <col min="7696" max="7696" width="23" style="308" customWidth="1"/>
    <col min="7697" max="7697" width="6" style="308" customWidth="1"/>
    <col min="7698" max="7698" width="19.28515625" style="308" customWidth="1"/>
    <col min="7699" max="7938" width="9" style="308"/>
    <col min="7939" max="7939" width="11.42578125" style="308" customWidth="1"/>
    <col min="7940" max="7940" width="75.42578125" style="308" customWidth="1"/>
    <col min="7941" max="7941" width="7.5703125" style="308" customWidth="1"/>
    <col min="7942" max="7942" width="12.140625" style="308" customWidth="1"/>
    <col min="7943" max="7943" width="13.5703125" style="308" customWidth="1"/>
    <col min="7944" max="7944" width="14.140625" style="308" customWidth="1"/>
    <col min="7945" max="7945" width="18.5703125" style="308" customWidth="1"/>
    <col min="7946" max="7946" width="16.5703125" style="308" customWidth="1"/>
    <col min="7947" max="7947" width="17.5703125" style="308" customWidth="1"/>
    <col min="7948" max="7948" width="20" style="308" customWidth="1"/>
    <col min="7949" max="7949" width="9.140625" style="308" customWidth="1"/>
    <col min="7950" max="7950" width="17.28515625" style="308" customWidth="1"/>
    <col min="7951" max="7951" width="24.85546875" style="308" customWidth="1"/>
    <col min="7952" max="7952" width="23" style="308" customWidth="1"/>
    <col min="7953" max="7953" width="6" style="308" customWidth="1"/>
    <col min="7954" max="7954" width="19.28515625" style="308" customWidth="1"/>
    <col min="7955" max="8194" width="9" style="308"/>
    <col min="8195" max="8195" width="11.42578125" style="308" customWidth="1"/>
    <col min="8196" max="8196" width="75.42578125" style="308" customWidth="1"/>
    <col min="8197" max="8197" width="7.5703125" style="308" customWidth="1"/>
    <col min="8198" max="8198" width="12.140625" style="308" customWidth="1"/>
    <col min="8199" max="8199" width="13.5703125" style="308" customWidth="1"/>
    <col min="8200" max="8200" width="14.140625" style="308" customWidth="1"/>
    <col min="8201" max="8201" width="18.5703125" style="308" customWidth="1"/>
    <col min="8202" max="8202" width="16.5703125" style="308" customWidth="1"/>
    <col min="8203" max="8203" width="17.5703125" style="308" customWidth="1"/>
    <col min="8204" max="8204" width="20" style="308" customWidth="1"/>
    <col min="8205" max="8205" width="9.140625" style="308" customWidth="1"/>
    <col min="8206" max="8206" width="17.28515625" style="308" customWidth="1"/>
    <col min="8207" max="8207" width="24.85546875" style="308" customWidth="1"/>
    <col min="8208" max="8208" width="23" style="308" customWidth="1"/>
    <col min="8209" max="8209" width="6" style="308" customWidth="1"/>
    <col min="8210" max="8210" width="19.28515625" style="308" customWidth="1"/>
    <col min="8211" max="8450" width="9" style="308"/>
    <col min="8451" max="8451" width="11.42578125" style="308" customWidth="1"/>
    <col min="8452" max="8452" width="75.42578125" style="308" customWidth="1"/>
    <col min="8453" max="8453" width="7.5703125" style="308" customWidth="1"/>
    <col min="8454" max="8454" width="12.140625" style="308" customWidth="1"/>
    <col min="8455" max="8455" width="13.5703125" style="308" customWidth="1"/>
    <col min="8456" max="8456" width="14.140625" style="308" customWidth="1"/>
    <col min="8457" max="8457" width="18.5703125" style="308" customWidth="1"/>
    <col min="8458" max="8458" width="16.5703125" style="308" customWidth="1"/>
    <col min="8459" max="8459" width="17.5703125" style="308" customWidth="1"/>
    <col min="8460" max="8460" width="20" style="308" customWidth="1"/>
    <col min="8461" max="8461" width="9.140625" style="308" customWidth="1"/>
    <col min="8462" max="8462" width="17.28515625" style="308" customWidth="1"/>
    <col min="8463" max="8463" width="24.85546875" style="308" customWidth="1"/>
    <col min="8464" max="8464" width="23" style="308" customWidth="1"/>
    <col min="8465" max="8465" width="6" style="308" customWidth="1"/>
    <col min="8466" max="8466" width="19.28515625" style="308" customWidth="1"/>
    <col min="8467" max="8706" width="9" style="308"/>
    <col min="8707" max="8707" width="11.42578125" style="308" customWidth="1"/>
    <col min="8708" max="8708" width="75.42578125" style="308" customWidth="1"/>
    <col min="8709" max="8709" width="7.5703125" style="308" customWidth="1"/>
    <col min="8710" max="8710" width="12.140625" style="308" customWidth="1"/>
    <col min="8711" max="8711" width="13.5703125" style="308" customWidth="1"/>
    <col min="8712" max="8712" width="14.140625" style="308" customWidth="1"/>
    <col min="8713" max="8713" width="18.5703125" style="308" customWidth="1"/>
    <col min="8714" max="8714" width="16.5703125" style="308" customWidth="1"/>
    <col min="8715" max="8715" width="17.5703125" style="308" customWidth="1"/>
    <col min="8716" max="8716" width="20" style="308" customWidth="1"/>
    <col min="8717" max="8717" width="9.140625" style="308" customWidth="1"/>
    <col min="8718" max="8718" width="17.28515625" style="308" customWidth="1"/>
    <col min="8719" max="8719" width="24.85546875" style="308" customWidth="1"/>
    <col min="8720" max="8720" width="23" style="308" customWidth="1"/>
    <col min="8721" max="8721" width="6" style="308" customWidth="1"/>
    <col min="8722" max="8722" width="19.28515625" style="308" customWidth="1"/>
    <col min="8723" max="8962" width="9" style="308"/>
    <col min="8963" max="8963" width="11.42578125" style="308" customWidth="1"/>
    <col min="8964" max="8964" width="75.42578125" style="308" customWidth="1"/>
    <col min="8965" max="8965" width="7.5703125" style="308" customWidth="1"/>
    <col min="8966" max="8966" width="12.140625" style="308" customWidth="1"/>
    <col min="8967" max="8967" width="13.5703125" style="308" customWidth="1"/>
    <col min="8968" max="8968" width="14.140625" style="308" customWidth="1"/>
    <col min="8969" max="8969" width="18.5703125" style="308" customWidth="1"/>
    <col min="8970" max="8970" width="16.5703125" style="308" customWidth="1"/>
    <col min="8971" max="8971" width="17.5703125" style="308" customWidth="1"/>
    <col min="8972" max="8972" width="20" style="308" customWidth="1"/>
    <col min="8973" max="8973" width="9.140625" style="308" customWidth="1"/>
    <col min="8974" max="8974" width="17.28515625" style="308" customWidth="1"/>
    <col min="8975" max="8975" width="24.85546875" style="308" customWidth="1"/>
    <col min="8976" max="8976" width="23" style="308" customWidth="1"/>
    <col min="8977" max="8977" width="6" style="308" customWidth="1"/>
    <col min="8978" max="8978" width="19.28515625" style="308" customWidth="1"/>
    <col min="8979" max="9218" width="9" style="308"/>
    <col min="9219" max="9219" width="11.42578125" style="308" customWidth="1"/>
    <col min="9220" max="9220" width="75.42578125" style="308" customWidth="1"/>
    <col min="9221" max="9221" width="7.5703125" style="308" customWidth="1"/>
    <col min="9222" max="9222" width="12.140625" style="308" customWidth="1"/>
    <col min="9223" max="9223" width="13.5703125" style="308" customWidth="1"/>
    <col min="9224" max="9224" width="14.140625" style="308" customWidth="1"/>
    <col min="9225" max="9225" width="18.5703125" style="308" customWidth="1"/>
    <col min="9226" max="9226" width="16.5703125" style="308" customWidth="1"/>
    <col min="9227" max="9227" width="17.5703125" style="308" customWidth="1"/>
    <col min="9228" max="9228" width="20" style="308" customWidth="1"/>
    <col min="9229" max="9229" width="9.140625" style="308" customWidth="1"/>
    <col min="9230" max="9230" width="17.28515625" style="308" customWidth="1"/>
    <col min="9231" max="9231" width="24.85546875" style="308" customWidth="1"/>
    <col min="9232" max="9232" width="23" style="308" customWidth="1"/>
    <col min="9233" max="9233" width="6" style="308" customWidth="1"/>
    <col min="9234" max="9234" width="19.28515625" style="308" customWidth="1"/>
    <col min="9235" max="9474" width="9" style="308"/>
    <col min="9475" max="9475" width="11.42578125" style="308" customWidth="1"/>
    <col min="9476" max="9476" width="75.42578125" style="308" customWidth="1"/>
    <col min="9477" max="9477" width="7.5703125" style="308" customWidth="1"/>
    <col min="9478" max="9478" width="12.140625" style="308" customWidth="1"/>
    <col min="9479" max="9479" width="13.5703125" style="308" customWidth="1"/>
    <col min="9480" max="9480" width="14.140625" style="308" customWidth="1"/>
    <col min="9481" max="9481" width="18.5703125" style="308" customWidth="1"/>
    <col min="9482" max="9482" width="16.5703125" style="308" customWidth="1"/>
    <col min="9483" max="9483" width="17.5703125" style="308" customWidth="1"/>
    <col min="9484" max="9484" width="20" style="308" customWidth="1"/>
    <col min="9485" max="9485" width="9.140625" style="308" customWidth="1"/>
    <col min="9486" max="9486" width="17.28515625" style="308" customWidth="1"/>
    <col min="9487" max="9487" width="24.85546875" style="308" customWidth="1"/>
    <col min="9488" max="9488" width="23" style="308" customWidth="1"/>
    <col min="9489" max="9489" width="6" style="308" customWidth="1"/>
    <col min="9490" max="9490" width="19.28515625" style="308" customWidth="1"/>
    <col min="9491" max="9730" width="9" style="308"/>
    <col min="9731" max="9731" width="11.42578125" style="308" customWidth="1"/>
    <col min="9732" max="9732" width="75.42578125" style="308" customWidth="1"/>
    <col min="9733" max="9733" width="7.5703125" style="308" customWidth="1"/>
    <col min="9734" max="9734" width="12.140625" style="308" customWidth="1"/>
    <col min="9735" max="9735" width="13.5703125" style="308" customWidth="1"/>
    <col min="9736" max="9736" width="14.140625" style="308" customWidth="1"/>
    <col min="9737" max="9737" width="18.5703125" style="308" customWidth="1"/>
    <col min="9738" max="9738" width="16.5703125" style="308" customWidth="1"/>
    <col min="9739" max="9739" width="17.5703125" style="308" customWidth="1"/>
    <col min="9740" max="9740" width="20" style="308" customWidth="1"/>
    <col min="9741" max="9741" width="9.140625" style="308" customWidth="1"/>
    <col min="9742" max="9742" width="17.28515625" style="308" customWidth="1"/>
    <col min="9743" max="9743" width="24.85546875" style="308" customWidth="1"/>
    <col min="9744" max="9744" width="23" style="308" customWidth="1"/>
    <col min="9745" max="9745" width="6" style="308" customWidth="1"/>
    <col min="9746" max="9746" width="19.28515625" style="308" customWidth="1"/>
    <col min="9747" max="9986" width="9" style="308"/>
    <col min="9987" max="9987" width="11.42578125" style="308" customWidth="1"/>
    <col min="9988" max="9988" width="75.42578125" style="308" customWidth="1"/>
    <col min="9989" max="9989" width="7.5703125" style="308" customWidth="1"/>
    <col min="9990" max="9990" width="12.140625" style="308" customWidth="1"/>
    <col min="9991" max="9991" width="13.5703125" style="308" customWidth="1"/>
    <col min="9992" max="9992" width="14.140625" style="308" customWidth="1"/>
    <col min="9993" max="9993" width="18.5703125" style="308" customWidth="1"/>
    <col min="9994" max="9994" width="16.5703125" style="308" customWidth="1"/>
    <col min="9995" max="9995" width="17.5703125" style="308" customWidth="1"/>
    <col min="9996" max="9996" width="20" style="308" customWidth="1"/>
    <col min="9997" max="9997" width="9.140625" style="308" customWidth="1"/>
    <col min="9998" max="9998" width="17.28515625" style="308" customWidth="1"/>
    <col min="9999" max="9999" width="24.85546875" style="308" customWidth="1"/>
    <col min="10000" max="10000" width="23" style="308" customWidth="1"/>
    <col min="10001" max="10001" width="6" style="308" customWidth="1"/>
    <col min="10002" max="10002" width="19.28515625" style="308" customWidth="1"/>
    <col min="10003" max="10242" width="9" style="308"/>
    <col min="10243" max="10243" width="11.42578125" style="308" customWidth="1"/>
    <col min="10244" max="10244" width="75.42578125" style="308" customWidth="1"/>
    <col min="10245" max="10245" width="7.5703125" style="308" customWidth="1"/>
    <col min="10246" max="10246" width="12.140625" style="308" customWidth="1"/>
    <col min="10247" max="10247" width="13.5703125" style="308" customWidth="1"/>
    <col min="10248" max="10248" width="14.140625" style="308" customWidth="1"/>
    <col min="10249" max="10249" width="18.5703125" style="308" customWidth="1"/>
    <col min="10250" max="10250" width="16.5703125" style="308" customWidth="1"/>
    <col min="10251" max="10251" width="17.5703125" style="308" customWidth="1"/>
    <col min="10252" max="10252" width="20" style="308" customWidth="1"/>
    <col min="10253" max="10253" width="9.140625" style="308" customWidth="1"/>
    <col min="10254" max="10254" width="17.28515625" style="308" customWidth="1"/>
    <col min="10255" max="10255" width="24.85546875" style="308" customWidth="1"/>
    <col min="10256" max="10256" width="23" style="308" customWidth="1"/>
    <col min="10257" max="10257" width="6" style="308" customWidth="1"/>
    <col min="10258" max="10258" width="19.28515625" style="308" customWidth="1"/>
    <col min="10259" max="10498" width="9" style="308"/>
    <col min="10499" max="10499" width="11.42578125" style="308" customWidth="1"/>
    <col min="10500" max="10500" width="75.42578125" style="308" customWidth="1"/>
    <col min="10501" max="10501" width="7.5703125" style="308" customWidth="1"/>
    <col min="10502" max="10502" width="12.140625" style="308" customWidth="1"/>
    <col min="10503" max="10503" width="13.5703125" style="308" customWidth="1"/>
    <col min="10504" max="10504" width="14.140625" style="308" customWidth="1"/>
    <col min="10505" max="10505" width="18.5703125" style="308" customWidth="1"/>
    <col min="10506" max="10506" width="16.5703125" style="308" customWidth="1"/>
    <col min="10507" max="10507" width="17.5703125" style="308" customWidth="1"/>
    <col min="10508" max="10508" width="20" style="308" customWidth="1"/>
    <col min="10509" max="10509" width="9.140625" style="308" customWidth="1"/>
    <col min="10510" max="10510" width="17.28515625" style="308" customWidth="1"/>
    <col min="10511" max="10511" width="24.85546875" style="308" customWidth="1"/>
    <col min="10512" max="10512" width="23" style="308" customWidth="1"/>
    <col min="10513" max="10513" width="6" style="308" customWidth="1"/>
    <col min="10514" max="10514" width="19.28515625" style="308" customWidth="1"/>
    <col min="10515" max="10754" width="9" style="308"/>
    <col min="10755" max="10755" width="11.42578125" style="308" customWidth="1"/>
    <col min="10756" max="10756" width="75.42578125" style="308" customWidth="1"/>
    <col min="10757" max="10757" width="7.5703125" style="308" customWidth="1"/>
    <col min="10758" max="10758" width="12.140625" style="308" customWidth="1"/>
    <col min="10759" max="10759" width="13.5703125" style="308" customWidth="1"/>
    <col min="10760" max="10760" width="14.140625" style="308" customWidth="1"/>
    <col min="10761" max="10761" width="18.5703125" style="308" customWidth="1"/>
    <col min="10762" max="10762" width="16.5703125" style="308" customWidth="1"/>
    <col min="10763" max="10763" width="17.5703125" style="308" customWidth="1"/>
    <col min="10764" max="10764" width="20" style="308" customWidth="1"/>
    <col min="10765" max="10765" width="9.140625" style="308" customWidth="1"/>
    <col min="10766" max="10766" width="17.28515625" style="308" customWidth="1"/>
    <col min="10767" max="10767" width="24.85546875" style="308" customWidth="1"/>
    <col min="10768" max="10768" width="23" style="308" customWidth="1"/>
    <col min="10769" max="10769" width="6" style="308" customWidth="1"/>
    <col min="10770" max="10770" width="19.28515625" style="308" customWidth="1"/>
    <col min="10771" max="11010" width="9" style="308"/>
    <col min="11011" max="11011" width="11.42578125" style="308" customWidth="1"/>
    <col min="11012" max="11012" width="75.42578125" style="308" customWidth="1"/>
    <col min="11013" max="11013" width="7.5703125" style="308" customWidth="1"/>
    <col min="11014" max="11014" width="12.140625" style="308" customWidth="1"/>
    <col min="11015" max="11015" width="13.5703125" style="308" customWidth="1"/>
    <col min="11016" max="11016" width="14.140625" style="308" customWidth="1"/>
    <col min="11017" max="11017" width="18.5703125" style="308" customWidth="1"/>
    <col min="11018" max="11018" width="16.5703125" style="308" customWidth="1"/>
    <col min="11019" max="11019" width="17.5703125" style="308" customWidth="1"/>
    <col min="11020" max="11020" width="20" style="308" customWidth="1"/>
    <col min="11021" max="11021" width="9.140625" style="308" customWidth="1"/>
    <col min="11022" max="11022" width="17.28515625" style="308" customWidth="1"/>
    <col min="11023" max="11023" width="24.85546875" style="308" customWidth="1"/>
    <col min="11024" max="11024" width="23" style="308" customWidth="1"/>
    <col min="11025" max="11025" width="6" style="308" customWidth="1"/>
    <col min="11026" max="11026" width="19.28515625" style="308" customWidth="1"/>
    <col min="11027" max="11266" width="9" style="308"/>
    <col min="11267" max="11267" width="11.42578125" style="308" customWidth="1"/>
    <col min="11268" max="11268" width="75.42578125" style="308" customWidth="1"/>
    <col min="11269" max="11269" width="7.5703125" style="308" customWidth="1"/>
    <col min="11270" max="11270" width="12.140625" style="308" customWidth="1"/>
    <col min="11271" max="11271" width="13.5703125" style="308" customWidth="1"/>
    <col min="11272" max="11272" width="14.140625" style="308" customWidth="1"/>
    <col min="11273" max="11273" width="18.5703125" style="308" customWidth="1"/>
    <col min="11274" max="11274" width="16.5703125" style="308" customWidth="1"/>
    <col min="11275" max="11275" width="17.5703125" style="308" customWidth="1"/>
    <col min="11276" max="11276" width="20" style="308" customWidth="1"/>
    <col min="11277" max="11277" width="9.140625" style="308" customWidth="1"/>
    <col min="11278" max="11278" width="17.28515625" style="308" customWidth="1"/>
    <col min="11279" max="11279" width="24.85546875" style="308" customWidth="1"/>
    <col min="11280" max="11280" width="23" style="308" customWidth="1"/>
    <col min="11281" max="11281" width="6" style="308" customWidth="1"/>
    <col min="11282" max="11282" width="19.28515625" style="308" customWidth="1"/>
    <col min="11283" max="11522" width="9" style="308"/>
    <col min="11523" max="11523" width="11.42578125" style="308" customWidth="1"/>
    <col min="11524" max="11524" width="75.42578125" style="308" customWidth="1"/>
    <col min="11525" max="11525" width="7.5703125" style="308" customWidth="1"/>
    <col min="11526" max="11526" width="12.140625" style="308" customWidth="1"/>
    <col min="11527" max="11527" width="13.5703125" style="308" customWidth="1"/>
    <col min="11528" max="11528" width="14.140625" style="308" customWidth="1"/>
    <col min="11529" max="11529" width="18.5703125" style="308" customWidth="1"/>
    <col min="11530" max="11530" width="16.5703125" style="308" customWidth="1"/>
    <col min="11531" max="11531" width="17.5703125" style="308" customWidth="1"/>
    <col min="11532" max="11532" width="20" style="308" customWidth="1"/>
    <col min="11533" max="11533" width="9.140625" style="308" customWidth="1"/>
    <col min="11534" max="11534" width="17.28515625" style="308" customWidth="1"/>
    <col min="11535" max="11535" width="24.85546875" style="308" customWidth="1"/>
    <col min="11536" max="11536" width="23" style="308" customWidth="1"/>
    <col min="11537" max="11537" width="6" style="308" customWidth="1"/>
    <col min="11538" max="11538" width="19.28515625" style="308" customWidth="1"/>
    <col min="11539" max="11778" width="9" style="308"/>
    <col min="11779" max="11779" width="11.42578125" style="308" customWidth="1"/>
    <col min="11780" max="11780" width="75.42578125" style="308" customWidth="1"/>
    <col min="11781" max="11781" width="7.5703125" style="308" customWidth="1"/>
    <col min="11782" max="11782" width="12.140625" style="308" customWidth="1"/>
    <col min="11783" max="11783" width="13.5703125" style="308" customWidth="1"/>
    <col min="11784" max="11784" width="14.140625" style="308" customWidth="1"/>
    <col min="11785" max="11785" width="18.5703125" style="308" customWidth="1"/>
    <col min="11786" max="11786" width="16.5703125" style="308" customWidth="1"/>
    <col min="11787" max="11787" width="17.5703125" style="308" customWidth="1"/>
    <col min="11788" max="11788" width="20" style="308" customWidth="1"/>
    <col min="11789" max="11789" width="9.140625" style="308" customWidth="1"/>
    <col min="11790" max="11790" width="17.28515625" style="308" customWidth="1"/>
    <col min="11791" max="11791" width="24.85546875" style="308" customWidth="1"/>
    <col min="11792" max="11792" width="23" style="308" customWidth="1"/>
    <col min="11793" max="11793" width="6" style="308" customWidth="1"/>
    <col min="11794" max="11794" width="19.28515625" style="308" customWidth="1"/>
    <col min="11795" max="12034" width="9" style="308"/>
    <col min="12035" max="12035" width="11.42578125" style="308" customWidth="1"/>
    <col min="12036" max="12036" width="75.42578125" style="308" customWidth="1"/>
    <col min="12037" max="12037" width="7.5703125" style="308" customWidth="1"/>
    <col min="12038" max="12038" width="12.140625" style="308" customWidth="1"/>
    <col min="12039" max="12039" width="13.5703125" style="308" customWidth="1"/>
    <col min="12040" max="12040" width="14.140625" style="308" customWidth="1"/>
    <col min="12041" max="12041" width="18.5703125" style="308" customWidth="1"/>
    <col min="12042" max="12042" width="16.5703125" style="308" customWidth="1"/>
    <col min="12043" max="12043" width="17.5703125" style="308" customWidth="1"/>
    <col min="12044" max="12044" width="20" style="308" customWidth="1"/>
    <col min="12045" max="12045" width="9.140625" style="308" customWidth="1"/>
    <col min="12046" max="12046" width="17.28515625" style="308" customWidth="1"/>
    <col min="12047" max="12047" width="24.85546875" style="308" customWidth="1"/>
    <col min="12048" max="12048" width="23" style="308" customWidth="1"/>
    <col min="12049" max="12049" width="6" style="308" customWidth="1"/>
    <col min="12050" max="12050" width="19.28515625" style="308" customWidth="1"/>
    <col min="12051" max="12290" width="9" style="308"/>
    <col min="12291" max="12291" width="11.42578125" style="308" customWidth="1"/>
    <col min="12292" max="12292" width="75.42578125" style="308" customWidth="1"/>
    <col min="12293" max="12293" width="7.5703125" style="308" customWidth="1"/>
    <col min="12294" max="12294" width="12.140625" style="308" customWidth="1"/>
    <col min="12295" max="12295" width="13.5703125" style="308" customWidth="1"/>
    <col min="12296" max="12296" width="14.140625" style="308" customWidth="1"/>
    <col min="12297" max="12297" width="18.5703125" style="308" customWidth="1"/>
    <col min="12298" max="12298" width="16.5703125" style="308" customWidth="1"/>
    <col min="12299" max="12299" width="17.5703125" style="308" customWidth="1"/>
    <col min="12300" max="12300" width="20" style="308" customWidth="1"/>
    <col min="12301" max="12301" width="9.140625" style="308" customWidth="1"/>
    <col min="12302" max="12302" width="17.28515625" style="308" customWidth="1"/>
    <col min="12303" max="12303" width="24.85546875" style="308" customWidth="1"/>
    <col min="12304" max="12304" width="23" style="308" customWidth="1"/>
    <col min="12305" max="12305" width="6" style="308" customWidth="1"/>
    <col min="12306" max="12306" width="19.28515625" style="308" customWidth="1"/>
    <col min="12307" max="12546" width="9" style="308"/>
    <col min="12547" max="12547" width="11.42578125" style="308" customWidth="1"/>
    <col min="12548" max="12548" width="75.42578125" style="308" customWidth="1"/>
    <col min="12549" max="12549" width="7.5703125" style="308" customWidth="1"/>
    <col min="12550" max="12550" width="12.140625" style="308" customWidth="1"/>
    <col min="12551" max="12551" width="13.5703125" style="308" customWidth="1"/>
    <col min="12552" max="12552" width="14.140625" style="308" customWidth="1"/>
    <col min="12553" max="12553" width="18.5703125" style="308" customWidth="1"/>
    <col min="12554" max="12554" width="16.5703125" style="308" customWidth="1"/>
    <col min="12555" max="12555" width="17.5703125" style="308" customWidth="1"/>
    <col min="12556" max="12556" width="20" style="308" customWidth="1"/>
    <col min="12557" max="12557" width="9.140625" style="308" customWidth="1"/>
    <col min="12558" max="12558" width="17.28515625" style="308" customWidth="1"/>
    <col min="12559" max="12559" width="24.85546875" style="308" customWidth="1"/>
    <col min="12560" max="12560" width="23" style="308" customWidth="1"/>
    <col min="12561" max="12561" width="6" style="308" customWidth="1"/>
    <col min="12562" max="12562" width="19.28515625" style="308" customWidth="1"/>
    <col min="12563" max="12802" width="9" style="308"/>
    <col min="12803" max="12803" width="11.42578125" style="308" customWidth="1"/>
    <col min="12804" max="12804" width="75.42578125" style="308" customWidth="1"/>
    <col min="12805" max="12805" width="7.5703125" style="308" customWidth="1"/>
    <col min="12806" max="12806" width="12.140625" style="308" customWidth="1"/>
    <col min="12807" max="12807" width="13.5703125" style="308" customWidth="1"/>
    <col min="12808" max="12808" width="14.140625" style="308" customWidth="1"/>
    <col min="12809" max="12809" width="18.5703125" style="308" customWidth="1"/>
    <col min="12810" max="12810" width="16.5703125" style="308" customWidth="1"/>
    <col min="12811" max="12811" width="17.5703125" style="308" customWidth="1"/>
    <col min="12812" max="12812" width="20" style="308" customWidth="1"/>
    <col min="12813" max="12813" width="9.140625" style="308" customWidth="1"/>
    <col min="12814" max="12814" width="17.28515625" style="308" customWidth="1"/>
    <col min="12815" max="12815" width="24.85546875" style="308" customWidth="1"/>
    <col min="12816" max="12816" width="23" style="308" customWidth="1"/>
    <col min="12817" max="12817" width="6" style="308" customWidth="1"/>
    <col min="12818" max="12818" width="19.28515625" style="308" customWidth="1"/>
    <col min="12819" max="13058" width="9" style="308"/>
    <col min="13059" max="13059" width="11.42578125" style="308" customWidth="1"/>
    <col min="13060" max="13060" width="75.42578125" style="308" customWidth="1"/>
    <col min="13061" max="13061" width="7.5703125" style="308" customWidth="1"/>
    <col min="13062" max="13062" width="12.140625" style="308" customWidth="1"/>
    <col min="13063" max="13063" width="13.5703125" style="308" customWidth="1"/>
    <col min="13064" max="13064" width="14.140625" style="308" customWidth="1"/>
    <col min="13065" max="13065" width="18.5703125" style="308" customWidth="1"/>
    <col min="13066" max="13066" width="16.5703125" style="308" customWidth="1"/>
    <col min="13067" max="13067" width="17.5703125" style="308" customWidth="1"/>
    <col min="13068" max="13068" width="20" style="308" customWidth="1"/>
    <col min="13069" max="13069" width="9.140625" style="308" customWidth="1"/>
    <col min="13070" max="13070" width="17.28515625" style="308" customWidth="1"/>
    <col min="13071" max="13071" width="24.85546875" style="308" customWidth="1"/>
    <col min="13072" max="13072" width="23" style="308" customWidth="1"/>
    <col min="13073" max="13073" width="6" style="308" customWidth="1"/>
    <col min="13074" max="13074" width="19.28515625" style="308" customWidth="1"/>
    <col min="13075" max="13314" width="9" style="308"/>
    <col min="13315" max="13315" width="11.42578125" style="308" customWidth="1"/>
    <col min="13316" max="13316" width="75.42578125" style="308" customWidth="1"/>
    <col min="13317" max="13317" width="7.5703125" style="308" customWidth="1"/>
    <col min="13318" max="13318" width="12.140625" style="308" customWidth="1"/>
    <col min="13319" max="13319" width="13.5703125" style="308" customWidth="1"/>
    <col min="13320" max="13320" width="14.140625" style="308" customWidth="1"/>
    <col min="13321" max="13321" width="18.5703125" style="308" customWidth="1"/>
    <col min="13322" max="13322" width="16.5703125" style="308" customWidth="1"/>
    <col min="13323" max="13323" width="17.5703125" style="308" customWidth="1"/>
    <col min="13324" max="13324" width="20" style="308" customWidth="1"/>
    <col min="13325" max="13325" width="9.140625" style="308" customWidth="1"/>
    <col min="13326" max="13326" width="17.28515625" style="308" customWidth="1"/>
    <col min="13327" max="13327" width="24.85546875" style="308" customWidth="1"/>
    <col min="13328" max="13328" width="23" style="308" customWidth="1"/>
    <col min="13329" max="13329" width="6" style="308" customWidth="1"/>
    <col min="13330" max="13330" width="19.28515625" style="308" customWidth="1"/>
    <col min="13331" max="13570" width="9" style="308"/>
    <col min="13571" max="13571" width="11.42578125" style="308" customWidth="1"/>
    <col min="13572" max="13572" width="75.42578125" style="308" customWidth="1"/>
    <col min="13573" max="13573" width="7.5703125" style="308" customWidth="1"/>
    <col min="13574" max="13574" width="12.140625" style="308" customWidth="1"/>
    <col min="13575" max="13575" width="13.5703125" style="308" customWidth="1"/>
    <col min="13576" max="13576" width="14.140625" style="308" customWidth="1"/>
    <col min="13577" max="13577" width="18.5703125" style="308" customWidth="1"/>
    <col min="13578" max="13578" width="16.5703125" style="308" customWidth="1"/>
    <col min="13579" max="13579" width="17.5703125" style="308" customWidth="1"/>
    <col min="13580" max="13580" width="20" style="308" customWidth="1"/>
    <col min="13581" max="13581" width="9.140625" style="308" customWidth="1"/>
    <col min="13582" max="13582" width="17.28515625" style="308" customWidth="1"/>
    <col min="13583" max="13583" width="24.85546875" style="308" customWidth="1"/>
    <col min="13584" max="13584" width="23" style="308" customWidth="1"/>
    <col min="13585" max="13585" width="6" style="308" customWidth="1"/>
    <col min="13586" max="13586" width="19.28515625" style="308" customWidth="1"/>
    <col min="13587" max="13826" width="9" style="308"/>
    <col min="13827" max="13827" width="11.42578125" style="308" customWidth="1"/>
    <col min="13828" max="13828" width="75.42578125" style="308" customWidth="1"/>
    <col min="13829" max="13829" width="7.5703125" style="308" customWidth="1"/>
    <col min="13830" max="13830" width="12.140625" style="308" customWidth="1"/>
    <col min="13831" max="13831" width="13.5703125" style="308" customWidth="1"/>
    <col min="13832" max="13832" width="14.140625" style="308" customWidth="1"/>
    <col min="13833" max="13833" width="18.5703125" style="308" customWidth="1"/>
    <col min="13834" max="13834" width="16.5703125" style="308" customWidth="1"/>
    <col min="13835" max="13835" width="17.5703125" style="308" customWidth="1"/>
    <col min="13836" max="13836" width="20" style="308" customWidth="1"/>
    <col min="13837" max="13837" width="9.140625" style="308" customWidth="1"/>
    <col min="13838" max="13838" width="17.28515625" style="308" customWidth="1"/>
    <col min="13839" max="13839" width="24.85546875" style="308" customWidth="1"/>
    <col min="13840" max="13840" width="23" style="308" customWidth="1"/>
    <col min="13841" max="13841" width="6" style="308" customWidth="1"/>
    <col min="13842" max="13842" width="19.28515625" style="308" customWidth="1"/>
    <col min="13843" max="14082" width="9" style="308"/>
    <col min="14083" max="14083" width="11.42578125" style="308" customWidth="1"/>
    <col min="14084" max="14084" width="75.42578125" style="308" customWidth="1"/>
    <col min="14085" max="14085" width="7.5703125" style="308" customWidth="1"/>
    <col min="14086" max="14086" width="12.140625" style="308" customWidth="1"/>
    <col min="14087" max="14087" width="13.5703125" style="308" customWidth="1"/>
    <col min="14088" max="14088" width="14.140625" style="308" customWidth="1"/>
    <col min="14089" max="14089" width="18.5703125" style="308" customWidth="1"/>
    <col min="14090" max="14090" width="16.5703125" style="308" customWidth="1"/>
    <col min="14091" max="14091" width="17.5703125" style="308" customWidth="1"/>
    <col min="14092" max="14092" width="20" style="308" customWidth="1"/>
    <col min="14093" max="14093" width="9.140625" style="308" customWidth="1"/>
    <col min="14094" max="14094" width="17.28515625" style="308" customWidth="1"/>
    <col min="14095" max="14095" width="24.85546875" style="308" customWidth="1"/>
    <col min="14096" max="14096" width="23" style="308" customWidth="1"/>
    <col min="14097" max="14097" width="6" style="308" customWidth="1"/>
    <col min="14098" max="14098" width="19.28515625" style="308" customWidth="1"/>
    <col min="14099" max="14338" width="9" style="308"/>
    <col min="14339" max="14339" width="11.42578125" style="308" customWidth="1"/>
    <col min="14340" max="14340" width="75.42578125" style="308" customWidth="1"/>
    <col min="14341" max="14341" width="7.5703125" style="308" customWidth="1"/>
    <col min="14342" max="14342" width="12.140625" style="308" customWidth="1"/>
    <col min="14343" max="14343" width="13.5703125" style="308" customWidth="1"/>
    <col min="14344" max="14344" width="14.140625" style="308" customWidth="1"/>
    <col min="14345" max="14345" width="18.5703125" style="308" customWidth="1"/>
    <col min="14346" max="14346" width="16.5703125" style="308" customWidth="1"/>
    <col min="14347" max="14347" width="17.5703125" style="308" customWidth="1"/>
    <col min="14348" max="14348" width="20" style="308" customWidth="1"/>
    <col min="14349" max="14349" width="9.140625" style="308" customWidth="1"/>
    <col min="14350" max="14350" width="17.28515625" style="308" customWidth="1"/>
    <col min="14351" max="14351" width="24.85546875" style="308" customWidth="1"/>
    <col min="14352" max="14352" width="23" style="308" customWidth="1"/>
    <col min="14353" max="14353" width="6" style="308" customWidth="1"/>
    <col min="14354" max="14354" width="19.28515625" style="308" customWidth="1"/>
    <col min="14355" max="14594" width="9" style="308"/>
    <col min="14595" max="14595" width="11.42578125" style="308" customWidth="1"/>
    <col min="14596" max="14596" width="75.42578125" style="308" customWidth="1"/>
    <col min="14597" max="14597" width="7.5703125" style="308" customWidth="1"/>
    <col min="14598" max="14598" width="12.140625" style="308" customWidth="1"/>
    <col min="14599" max="14599" width="13.5703125" style="308" customWidth="1"/>
    <col min="14600" max="14600" width="14.140625" style="308" customWidth="1"/>
    <col min="14601" max="14601" width="18.5703125" style="308" customWidth="1"/>
    <col min="14602" max="14602" width="16.5703125" style="308" customWidth="1"/>
    <col min="14603" max="14603" width="17.5703125" style="308" customWidth="1"/>
    <col min="14604" max="14604" width="20" style="308" customWidth="1"/>
    <col min="14605" max="14605" width="9.140625" style="308" customWidth="1"/>
    <col min="14606" max="14606" width="17.28515625" style="308" customWidth="1"/>
    <col min="14607" max="14607" width="24.85546875" style="308" customWidth="1"/>
    <col min="14608" max="14608" width="23" style="308" customWidth="1"/>
    <col min="14609" max="14609" width="6" style="308" customWidth="1"/>
    <col min="14610" max="14610" width="19.28515625" style="308" customWidth="1"/>
    <col min="14611" max="14850" width="9" style="308"/>
    <col min="14851" max="14851" width="11.42578125" style="308" customWidth="1"/>
    <col min="14852" max="14852" width="75.42578125" style="308" customWidth="1"/>
    <col min="14853" max="14853" width="7.5703125" style="308" customWidth="1"/>
    <col min="14854" max="14854" width="12.140625" style="308" customWidth="1"/>
    <col min="14855" max="14855" width="13.5703125" style="308" customWidth="1"/>
    <col min="14856" max="14856" width="14.140625" style="308" customWidth="1"/>
    <col min="14857" max="14857" width="18.5703125" style="308" customWidth="1"/>
    <col min="14858" max="14858" width="16.5703125" style="308" customWidth="1"/>
    <col min="14859" max="14859" width="17.5703125" style="308" customWidth="1"/>
    <col min="14860" max="14860" width="20" style="308" customWidth="1"/>
    <col min="14861" max="14861" width="9.140625" style="308" customWidth="1"/>
    <col min="14862" max="14862" width="17.28515625" style="308" customWidth="1"/>
    <col min="14863" max="14863" width="24.85546875" style="308" customWidth="1"/>
    <col min="14864" max="14864" width="23" style="308" customWidth="1"/>
    <col min="14865" max="14865" width="6" style="308" customWidth="1"/>
    <col min="14866" max="14866" width="19.28515625" style="308" customWidth="1"/>
    <col min="14867" max="15106" width="9" style="308"/>
    <col min="15107" max="15107" width="11.42578125" style="308" customWidth="1"/>
    <col min="15108" max="15108" width="75.42578125" style="308" customWidth="1"/>
    <col min="15109" max="15109" width="7.5703125" style="308" customWidth="1"/>
    <col min="15110" max="15110" width="12.140625" style="308" customWidth="1"/>
    <col min="15111" max="15111" width="13.5703125" style="308" customWidth="1"/>
    <col min="15112" max="15112" width="14.140625" style="308" customWidth="1"/>
    <col min="15113" max="15113" width="18.5703125" style="308" customWidth="1"/>
    <col min="15114" max="15114" width="16.5703125" style="308" customWidth="1"/>
    <col min="15115" max="15115" width="17.5703125" style="308" customWidth="1"/>
    <col min="15116" max="15116" width="20" style="308" customWidth="1"/>
    <col min="15117" max="15117" width="9.140625" style="308" customWidth="1"/>
    <col min="15118" max="15118" width="17.28515625" style="308" customWidth="1"/>
    <col min="15119" max="15119" width="24.85546875" style="308" customWidth="1"/>
    <col min="15120" max="15120" width="23" style="308" customWidth="1"/>
    <col min="15121" max="15121" width="6" style="308" customWidth="1"/>
    <col min="15122" max="15122" width="19.28515625" style="308" customWidth="1"/>
    <col min="15123" max="15362" width="9" style="308"/>
    <col min="15363" max="15363" width="11.42578125" style="308" customWidth="1"/>
    <col min="15364" max="15364" width="75.42578125" style="308" customWidth="1"/>
    <col min="15365" max="15365" width="7.5703125" style="308" customWidth="1"/>
    <col min="15366" max="15366" width="12.140625" style="308" customWidth="1"/>
    <col min="15367" max="15367" width="13.5703125" style="308" customWidth="1"/>
    <col min="15368" max="15368" width="14.140625" style="308" customWidth="1"/>
    <col min="15369" max="15369" width="18.5703125" style="308" customWidth="1"/>
    <col min="15370" max="15370" width="16.5703125" style="308" customWidth="1"/>
    <col min="15371" max="15371" width="17.5703125" style="308" customWidth="1"/>
    <col min="15372" max="15372" width="20" style="308" customWidth="1"/>
    <col min="15373" max="15373" width="9.140625" style="308" customWidth="1"/>
    <col min="15374" max="15374" width="17.28515625" style="308" customWidth="1"/>
    <col min="15375" max="15375" width="24.85546875" style="308" customWidth="1"/>
    <col min="15376" max="15376" width="23" style="308" customWidth="1"/>
    <col min="15377" max="15377" width="6" style="308" customWidth="1"/>
    <col min="15378" max="15378" width="19.28515625" style="308" customWidth="1"/>
    <col min="15379" max="15618" width="9" style="308"/>
    <col min="15619" max="15619" width="11.42578125" style="308" customWidth="1"/>
    <col min="15620" max="15620" width="75.42578125" style="308" customWidth="1"/>
    <col min="15621" max="15621" width="7.5703125" style="308" customWidth="1"/>
    <col min="15622" max="15622" width="12.140625" style="308" customWidth="1"/>
    <col min="15623" max="15623" width="13.5703125" style="308" customWidth="1"/>
    <col min="15624" max="15624" width="14.140625" style="308" customWidth="1"/>
    <col min="15625" max="15625" width="18.5703125" style="308" customWidth="1"/>
    <col min="15626" max="15626" width="16.5703125" style="308" customWidth="1"/>
    <col min="15627" max="15627" width="17.5703125" style="308" customWidth="1"/>
    <col min="15628" max="15628" width="20" style="308" customWidth="1"/>
    <col min="15629" max="15629" width="9.140625" style="308" customWidth="1"/>
    <col min="15630" max="15630" width="17.28515625" style="308" customWidth="1"/>
    <col min="15631" max="15631" width="24.85546875" style="308" customWidth="1"/>
    <col min="15632" max="15632" width="23" style="308" customWidth="1"/>
    <col min="15633" max="15633" width="6" style="308" customWidth="1"/>
    <col min="15634" max="15634" width="19.28515625" style="308" customWidth="1"/>
    <col min="15635" max="15874" width="9" style="308"/>
    <col min="15875" max="15875" width="11.42578125" style="308" customWidth="1"/>
    <col min="15876" max="15876" width="75.42578125" style="308" customWidth="1"/>
    <col min="15877" max="15877" width="7.5703125" style="308" customWidth="1"/>
    <col min="15878" max="15878" width="12.140625" style="308" customWidth="1"/>
    <col min="15879" max="15879" width="13.5703125" style="308" customWidth="1"/>
    <col min="15880" max="15880" width="14.140625" style="308" customWidth="1"/>
    <col min="15881" max="15881" width="18.5703125" style="308" customWidth="1"/>
    <col min="15882" max="15882" width="16.5703125" style="308" customWidth="1"/>
    <col min="15883" max="15883" width="17.5703125" style="308" customWidth="1"/>
    <col min="15884" max="15884" width="20" style="308" customWidth="1"/>
    <col min="15885" max="15885" width="9.140625" style="308" customWidth="1"/>
    <col min="15886" max="15886" width="17.28515625" style="308" customWidth="1"/>
    <col min="15887" max="15887" width="24.85546875" style="308" customWidth="1"/>
    <col min="15888" max="15888" width="23" style="308" customWidth="1"/>
    <col min="15889" max="15889" width="6" style="308" customWidth="1"/>
    <col min="15890" max="15890" width="19.28515625" style="308" customWidth="1"/>
    <col min="15891" max="16130" width="9" style="308"/>
    <col min="16131" max="16131" width="11.42578125" style="308" customWidth="1"/>
    <col min="16132" max="16132" width="75.42578125" style="308" customWidth="1"/>
    <col min="16133" max="16133" width="7.5703125" style="308" customWidth="1"/>
    <col min="16134" max="16134" width="12.140625" style="308" customWidth="1"/>
    <col min="16135" max="16135" width="13.5703125" style="308" customWidth="1"/>
    <col min="16136" max="16136" width="14.140625" style="308" customWidth="1"/>
    <col min="16137" max="16137" width="18.5703125" style="308" customWidth="1"/>
    <col min="16138" max="16138" width="16.5703125" style="308" customWidth="1"/>
    <col min="16139" max="16139" width="17.5703125" style="308" customWidth="1"/>
    <col min="16140" max="16140" width="20" style="308" customWidth="1"/>
    <col min="16141" max="16141" width="9.140625" style="308" customWidth="1"/>
    <col min="16142" max="16142" width="17.28515625" style="308" customWidth="1"/>
    <col min="16143" max="16143" width="24.85546875" style="308" customWidth="1"/>
    <col min="16144" max="16144" width="23" style="308" customWidth="1"/>
    <col min="16145" max="16145" width="6" style="308" customWidth="1"/>
    <col min="16146" max="16146" width="19.28515625" style="308" customWidth="1"/>
    <col min="16147" max="16384" width="9" style="308"/>
  </cols>
  <sheetData>
    <row r="1" spans="1:18" s="194" customFormat="1" ht="123.6" customHeight="1" thickTop="1" x14ac:dyDescent="1">
      <c r="A1" s="848" t="s">
        <v>0</v>
      </c>
      <c r="B1" s="849"/>
      <c r="C1" s="849"/>
      <c r="D1" s="852" t="s">
        <v>811</v>
      </c>
      <c r="E1" s="852"/>
      <c r="F1" s="852"/>
      <c r="G1" s="852"/>
      <c r="H1" s="852"/>
      <c r="I1" s="852"/>
      <c r="J1" s="852"/>
      <c r="K1" s="852"/>
      <c r="L1" s="849" t="s">
        <v>812</v>
      </c>
      <c r="M1" s="849"/>
      <c r="N1" s="849"/>
      <c r="O1" s="849"/>
      <c r="P1" s="853"/>
      <c r="Q1" s="192"/>
      <c r="R1" s="193" t="s">
        <v>1</v>
      </c>
    </row>
    <row r="2" spans="1:18" s="194" customFormat="1" ht="129.75" customHeight="1" x14ac:dyDescent="1">
      <c r="A2" s="850"/>
      <c r="B2" s="851"/>
      <c r="C2" s="851"/>
      <c r="D2" s="855" t="s">
        <v>611</v>
      </c>
      <c r="E2" s="855"/>
      <c r="F2" s="855"/>
      <c r="G2" s="855"/>
      <c r="H2" s="855"/>
      <c r="I2" s="855"/>
      <c r="J2" s="855"/>
      <c r="K2" s="855"/>
      <c r="L2" s="851"/>
      <c r="M2" s="851"/>
      <c r="N2" s="851"/>
      <c r="O2" s="851"/>
      <c r="P2" s="854"/>
      <c r="Q2" s="195"/>
      <c r="R2" s="856">
        <v>32</v>
      </c>
    </row>
    <row r="3" spans="1:18" s="194" customFormat="1" ht="129.75" customHeight="1" x14ac:dyDescent="1">
      <c r="A3" s="850" t="s">
        <v>2</v>
      </c>
      <c r="B3" s="851"/>
      <c r="C3" s="851"/>
      <c r="D3" s="855" t="s">
        <v>244</v>
      </c>
      <c r="E3" s="855"/>
      <c r="F3" s="855"/>
      <c r="G3" s="855"/>
      <c r="H3" s="855"/>
      <c r="I3" s="855"/>
      <c r="J3" s="855"/>
      <c r="K3" s="855"/>
      <c r="L3" s="851"/>
      <c r="M3" s="851"/>
      <c r="N3" s="851"/>
      <c r="O3" s="851"/>
      <c r="P3" s="854"/>
      <c r="Q3" s="195"/>
      <c r="R3" s="856"/>
    </row>
    <row r="4" spans="1:18" s="194" customFormat="1" ht="129.75" customHeight="1" x14ac:dyDescent="1.35">
      <c r="A4" s="850" t="s">
        <v>3</v>
      </c>
      <c r="B4" s="851"/>
      <c r="C4" s="851"/>
      <c r="D4" s="855" t="s">
        <v>245</v>
      </c>
      <c r="E4" s="855"/>
      <c r="F4" s="855"/>
      <c r="G4" s="855"/>
      <c r="H4" s="855"/>
      <c r="I4" s="855"/>
      <c r="J4" s="855"/>
      <c r="K4" s="855"/>
      <c r="L4" s="859" t="s">
        <v>755</v>
      </c>
      <c r="M4" s="859"/>
      <c r="N4" s="859"/>
      <c r="O4" s="859"/>
      <c r="P4" s="860"/>
      <c r="Q4" s="195"/>
      <c r="R4" s="196"/>
    </row>
    <row r="5" spans="1:18" s="194" customFormat="1" ht="102.6" customHeight="1" thickBot="1" x14ac:dyDescent="1.4">
      <c r="A5" s="857"/>
      <c r="B5" s="858"/>
      <c r="C5" s="858"/>
      <c r="D5" s="863" t="s">
        <v>246</v>
      </c>
      <c r="E5" s="863"/>
      <c r="F5" s="863"/>
      <c r="G5" s="863"/>
      <c r="H5" s="863"/>
      <c r="I5" s="863"/>
      <c r="J5" s="863"/>
      <c r="K5" s="863"/>
      <c r="L5" s="861"/>
      <c r="M5" s="861"/>
      <c r="N5" s="861"/>
      <c r="O5" s="861"/>
      <c r="P5" s="862"/>
      <c r="Q5" s="197"/>
      <c r="R5" s="196"/>
    </row>
    <row r="6" spans="1:18" s="200" customFormat="1" ht="144.6" customHeight="1" x14ac:dyDescent="1.35">
      <c r="A6" s="864" t="s">
        <v>4</v>
      </c>
      <c r="B6" s="866" t="s">
        <v>5</v>
      </c>
      <c r="C6" s="866"/>
      <c r="D6" s="868" t="s">
        <v>6</v>
      </c>
      <c r="E6" s="870" t="s">
        <v>7</v>
      </c>
      <c r="F6" s="870" t="s">
        <v>8</v>
      </c>
      <c r="G6" s="872" t="s">
        <v>9</v>
      </c>
      <c r="H6" s="873"/>
      <c r="I6" s="868" t="s">
        <v>10</v>
      </c>
      <c r="J6" s="868"/>
      <c r="K6" s="868"/>
      <c r="L6" s="455" t="s">
        <v>11</v>
      </c>
      <c r="M6" s="876" t="s">
        <v>12</v>
      </c>
      <c r="N6" s="878" t="s">
        <v>13</v>
      </c>
      <c r="O6" s="455" t="s">
        <v>14</v>
      </c>
      <c r="P6" s="885" t="s">
        <v>15</v>
      </c>
      <c r="Q6" s="198"/>
      <c r="R6" s="199"/>
    </row>
    <row r="7" spans="1:18" s="200" customFormat="1" ht="127.9" customHeight="1" thickBot="1" x14ac:dyDescent="1.4">
      <c r="A7" s="865"/>
      <c r="B7" s="867"/>
      <c r="C7" s="867"/>
      <c r="D7" s="869"/>
      <c r="E7" s="871"/>
      <c r="F7" s="871"/>
      <c r="G7" s="874"/>
      <c r="H7" s="875"/>
      <c r="I7" s="346" t="s">
        <v>16</v>
      </c>
      <c r="J7" s="346" t="s">
        <v>17</v>
      </c>
      <c r="K7" s="346" t="s">
        <v>18</v>
      </c>
      <c r="L7" s="456" t="s">
        <v>19</v>
      </c>
      <c r="M7" s="877"/>
      <c r="N7" s="879"/>
      <c r="O7" s="456" t="s">
        <v>19</v>
      </c>
      <c r="P7" s="886"/>
      <c r="Q7" s="201"/>
      <c r="R7" s="199"/>
    </row>
    <row r="8" spans="1:18" s="472" customFormat="1" ht="195" customHeight="1" thickBot="1" x14ac:dyDescent="1.65">
      <c r="A8" s="463">
        <v>1</v>
      </c>
      <c r="B8" s="883" t="s">
        <v>247</v>
      </c>
      <c r="C8" s="883"/>
      <c r="D8" s="464" t="s">
        <v>33</v>
      </c>
      <c r="E8" s="465">
        <v>1</v>
      </c>
      <c r="F8" s="465">
        <f>E8*54</f>
        <v>54</v>
      </c>
      <c r="G8" s="884">
        <v>8650</v>
      </c>
      <c r="H8" s="884"/>
      <c r="I8" s="466">
        <v>54</v>
      </c>
      <c r="J8" s="467">
        <f t="shared" ref="J8:J37" si="0">K8-I8</f>
        <v>0</v>
      </c>
      <c r="K8" s="466">
        <v>54</v>
      </c>
      <c r="L8" s="468">
        <f>G8*K8</f>
        <v>467100</v>
      </c>
      <c r="M8" s="469">
        <v>0.5</v>
      </c>
      <c r="N8" s="468">
        <f t="shared" ref="N8:N37" si="1">L8*(1-M8)</f>
        <v>233550</v>
      </c>
      <c r="O8" s="468">
        <f t="shared" ref="O8:O35" si="2">L8-N8</f>
        <v>233550</v>
      </c>
      <c r="P8" s="470"/>
      <c r="Q8" s="471"/>
      <c r="R8" s="472">
        <f>K8/E8</f>
        <v>54</v>
      </c>
    </row>
    <row r="9" spans="1:18" s="412" customFormat="1" ht="195" customHeight="1" thickBot="1" x14ac:dyDescent="1.65">
      <c r="A9" s="403">
        <v>2</v>
      </c>
      <c r="B9" s="880" t="s">
        <v>248</v>
      </c>
      <c r="C9" s="880"/>
      <c r="D9" s="404" t="s">
        <v>33</v>
      </c>
      <c r="E9" s="405">
        <v>12</v>
      </c>
      <c r="F9" s="405">
        <f>E9*54</f>
        <v>648</v>
      </c>
      <c r="G9" s="881">
        <v>320</v>
      </c>
      <c r="H9" s="881"/>
      <c r="I9" s="406">
        <v>648</v>
      </c>
      <c r="J9" s="407">
        <f t="shared" si="0"/>
        <v>0</v>
      </c>
      <c r="K9" s="406">
        <v>648</v>
      </c>
      <c r="L9" s="446">
        <f>G9*K9</f>
        <v>207360</v>
      </c>
      <c r="M9" s="408">
        <v>0.8</v>
      </c>
      <c r="N9" s="446">
        <f t="shared" si="1"/>
        <v>41471.999999999993</v>
      </c>
      <c r="O9" s="446">
        <f t="shared" si="2"/>
        <v>165888</v>
      </c>
      <c r="P9" s="409"/>
      <c r="Q9" s="411"/>
      <c r="R9" s="410">
        <f t="shared" ref="R9:R19" si="3">K9/E9</f>
        <v>54</v>
      </c>
    </row>
    <row r="10" spans="1:18" s="474" customFormat="1" ht="180" customHeight="1" thickBot="1" x14ac:dyDescent="1.65">
      <c r="A10" s="993">
        <v>3</v>
      </c>
      <c r="B10" s="909" t="s">
        <v>249</v>
      </c>
      <c r="C10" s="465" t="s">
        <v>250</v>
      </c>
      <c r="D10" s="905" t="s">
        <v>33</v>
      </c>
      <c r="E10" s="909">
        <v>24</v>
      </c>
      <c r="F10" s="909">
        <f>E10*54</f>
        <v>1296</v>
      </c>
      <c r="G10" s="999">
        <v>350</v>
      </c>
      <c r="H10" s="1000"/>
      <c r="I10" s="466">
        <v>0</v>
      </c>
      <c r="J10" s="467">
        <f t="shared" si="0"/>
        <v>0</v>
      </c>
      <c r="K10" s="466">
        <f>F10-K11</f>
        <v>0</v>
      </c>
      <c r="L10" s="468">
        <f>G10*K10</f>
        <v>0</v>
      </c>
      <c r="M10" s="469">
        <v>0.25</v>
      </c>
      <c r="N10" s="468">
        <f t="shared" si="1"/>
        <v>0</v>
      </c>
      <c r="O10" s="468">
        <f t="shared" si="2"/>
        <v>0</v>
      </c>
      <c r="P10" s="470"/>
      <c r="Q10" s="473"/>
      <c r="R10" s="472">
        <f t="shared" si="3"/>
        <v>0</v>
      </c>
    </row>
    <row r="11" spans="1:18" s="474" customFormat="1" ht="180" customHeight="1" thickBot="1" x14ac:dyDescent="1.65">
      <c r="A11" s="994"/>
      <c r="B11" s="910"/>
      <c r="C11" s="465" t="s">
        <v>251</v>
      </c>
      <c r="D11" s="906"/>
      <c r="E11" s="910"/>
      <c r="F11" s="910"/>
      <c r="G11" s="1001"/>
      <c r="H11" s="1002"/>
      <c r="I11" s="466">
        <v>1296</v>
      </c>
      <c r="J11" s="467">
        <f t="shared" si="0"/>
        <v>0</v>
      </c>
      <c r="K11" s="466">
        <f>54*24</f>
        <v>1296</v>
      </c>
      <c r="L11" s="468">
        <f>K11*G10</f>
        <v>453600</v>
      </c>
      <c r="M11" s="469">
        <v>0.95</v>
      </c>
      <c r="N11" s="468">
        <f t="shared" si="1"/>
        <v>22680.000000000022</v>
      </c>
      <c r="O11" s="468">
        <f t="shared" si="2"/>
        <v>430920</v>
      </c>
      <c r="P11" s="470"/>
      <c r="Q11" s="473"/>
      <c r="R11" s="472"/>
    </row>
    <row r="12" spans="1:18" s="412" customFormat="1" ht="180" customHeight="1" thickBot="1" x14ac:dyDescent="1.65">
      <c r="A12" s="995">
        <v>4</v>
      </c>
      <c r="B12" s="997" t="s">
        <v>252</v>
      </c>
      <c r="C12" s="405" t="s">
        <v>250</v>
      </c>
      <c r="D12" s="1007" t="s">
        <v>33</v>
      </c>
      <c r="E12" s="997">
        <v>24</v>
      </c>
      <c r="F12" s="997">
        <f>E12*54</f>
        <v>1296</v>
      </c>
      <c r="G12" s="1003">
        <v>725</v>
      </c>
      <c r="H12" s="1004"/>
      <c r="I12" s="406">
        <v>0</v>
      </c>
      <c r="J12" s="407">
        <f t="shared" si="0"/>
        <v>0</v>
      </c>
      <c r="K12" s="406">
        <f>F12-K13</f>
        <v>0</v>
      </c>
      <c r="L12" s="446">
        <f>G12*K12</f>
        <v>0</v>
      </c>
      <c r="M12" s="408">
        <v>0.25</v>
      </c>
      <c r="N12" s="446">
        <f t="shared" si="1"/>
        <v>0</v>
      </c>
      <c r="O12" s="446">
        <f t="shared" si="2"/>
        <v>0</v>
      </c>
      <c r="P12" s="409"/>
      <c r="Q12" s="411"/>
      <c r="R12" s="410">
        <f t="shared" si="3"/>
        <v>0</v>
      </c>
    </row>
    <row r="13" spans="1:18" s="412" customFormat="1" ht="180" customHeight="1" thickBot="1" x14ac:dyDescent="1.65">
      <c r="A13" s="996"/>
      <c r="B13" s="998"/>
      <c r="C13" s="405" t="s">
        <v>251</v>
      </c>
      <c r="D13" s="1008"/>
      <c r="E13" s="998"/>
      <c r="F13" s="998"/>
      <c r="G13" s="1005"/>
      <c r="H13" s="1006"/>
      <c r="I13" s="406">
        <v>1296</v>
      </c>
      <c r="J13" s="407">
        <f t="shared" si="0"/>
        <v>0</v>
      </c>
      <c r="K13" s="406">
        <f>54*E12</f>
        <v>1296</v>
      </c>
      <c r="L13" s="446">
        <f>K13*G12</f>
        <v>939600</v>
      </c>
      <c r="M13" s="408">
        <v>0.95</v>
      </c>
      <c r="N13" s="446">
        <f t="shared" si="1"/>
        <v>46980.000000000044</v>
      </c>
      <c r="O13" s="446">
        <f t="shared" si="2"/>
        <v>892620</v>
      </c>
      <c r="P13" s="409"/>
      <c r="Q13" s="411"/>
      <c r="R13" s="410"/>
    </row>
    <row r="14" spans="1:18" s="474" customFormat="1" ht="180" customHeight="1" thickBot="1" x14ac:dyDescent="1.65">
      <c r="A14" s="993">
        <v>5</v>
      </c>
      <c r="B14" s="909" t="s">
        <v>253</v>
      </c>
      <c r="C14" s="465" t="s">
        <v>250</v>
      </c>
      <c r="D14" s="905" t="s">
        <v>33</v>
      </c>
      <c r="E14" s="909">
        <v>1</v>
      </c>
      <c r="F14" s="909">
        <f>E14*54</f>
        <v>54</v>
      </c>
      <c r="G14" s="999">
        <v>535</v>
      </c>
      <c r="H14" s="1000"/>
      <c r="I14" s="466">
        <v>0</v>
      </c>
      <c r="J14" s="467">
        <f t="shared" si="0"/>
        <v>0</v>
      </c>
      <c r="K14" s="466">
        <f>F14-K15</f>
        <v>0</v>
      </c>
      <c r="L14" s="468">
        <f>K14*G14</f>
        <v>0</v>
      </c>
      <c r="M14" s="469">
        <v>0.25</v>
      </c>
      <c r="N14" s="468">
        <f t="shared" si="1"/>
        <v>0</v>
      </c>
      <c r="O14" s="468">
        <f t="shared" si="2"/>
        <v>0</v>
      </c>
      <c r="P14" s="470"/>
      <c r="Q14" s="473"/>
      <c r="R14" s="472">
        <f t="shared" si="3"/>
        <v>0</v>
      </c>
    </row>
    <row r="15" spans="1:18" s="474" customFormat="1" ht="180" customHeight="1" thickBot="1" x14ac:dyDescent="1.65">
      <c r="A15" s="994"/>
      <c r="B15" s="910"/>
      <c r="C15" s="465" t="s">
        <v>251</v>
      </c>
      <c r="D15" s="906"/>
      <c r="E15" s="910"/>
      <c r="F15" s="910"/>
      <c r="G15" s="1001"/>
      <c r="H15" s="1002"/>
      <c r="I15" s="466">
        <v>54</v>
      </c>
      <c r="J15" s="467">
        <f t="shared" si="0"/>
        <v>0</v>
      </c>
      <c r="K15" s="466">
        <v>54</v>
      </c>
      <c r="L15" s="468">
        <f>K15*G14</f>
        <v>28890</v>
      </c>
      <c r="M15" s="469">
        <v>0.95</v>
      </c>
      <c r="N15" s="468">
        <f t="shared" si="1"/>
        <v>1444.5000000000014</v>
      </c>
      <c r="O15" s="468">
        <f t="shared" si="2"/>
        <v>27445.5</v>
      </c>
      <c r="P15" s="470"/>
      <c r="Q15" s="473"/>
      <c r="R15" s="472"/>
    </row>
    <row r="16" spans="1:18" s="412" customFormat="1" ht="195" customHeight="1" thickBot="1" x14ac:dyDescent="1.65">
      <c r="A16" s="403">
        <v>6</v>
      </c>
      <c r="B16" s="882" t="s">
        <v>254</v>
      </c>
      <c r="C16" s="882"/>
      <c r="D16" s="404" t="s">
        <v>33</v>
      </c>
      <c r="E16" s="405">
        <v>24</v>
      </c>
      <c r="F16" s="405">
        <f t="shared" ref="F16:F22" si="4">E16*54</f>
        <v>1296</v>
      </c>
      <c r="G16" s="881">
        <v>310</v>
      </c>
      <c r="H16" s="881"/>
      <c r="I16" s="406">
        <v>1296</v>
      </c>
      <c r="J16" s="407">
        <f t="shared" si="0"/>
        <v>0</v>
      </c>
      <c r="K16" s="406">
        <v>1296</v>
      </c>
      <c r="L16" s="446">
        <f>G16*K16</f>
        <v>401760</v>
      </c>
      <c r="M16" s="408">
        <v>0.95</v>
      </c>
      <c r="N16" s="446">
        <f t="shared" si="1"/>
        <v>20088.000000000018</v>
      </c>
      <c r="O16" s="446">
        <f t="shared" si="2"/>
        <v>381672</v>
      </c>
      <c r="P16" s="409"/>
      <c r="Q16" s="411"/>
      <c r="R16" s="410">
        <f t="shared" si="3"/>
        <v>54</v>
      </c>
    </row>
    <row r="17" spans="1:36" s="474" customFormat="1" ht="195" customHeight="1" thickBot="1" x14ac:dyDescent="1.65">
      <c r="A17" s="463">
        <v>7</v>
      </c>
      <c r="B17" s="883" t="s">
        <v>684</v>
      </c>
      <c r="C17" s="883"/>
      <c r="D17" s="464" t="s">
        <v>34</v>
      </c>
      <c r="E17" s="465">
        <v>1</v>
      </c>
      <c r="F17" s="465">
        <f t="shared" si="4"/>
        <v>54</v>
      </c>
      <c r="G17" s="884">
        <v>800</v>
      </c>
      <c r="H17" s="884"/>
      <c r="I17" s="466">
        <v>54</v>
      </c>
      <c r="J17" s="467">
        <f t="shared" si="0"/>
        <v>0</v>
      </c>
      <c r="K17" s="466">
        <v>54</v>
      </c>
      <c r="L17" s="468">
        <f>G17*K17</f>
        <v>43200</v>
      </c>
      <c r="M17" s="469">
        <v>0.95</v>
      </c>
      <c r="N17" s="468">
        <f t="shared" si="1"/>
        <v>2160.0000000000018</v>
      </c>
      <c r="O17" s="468">
        <f t="shared" si="2"/>
        <v>41040</v>
      </c>
      <c r="P17" s="470"/>
      <c r="Q17" s="473"/>
      <c r="R17" s="472">
        <f t="shared" si="3"/>
        <v>54</v>
      </c>
    </row>
    <row r="18" spans="1:36" s="412" customFormat="1" ht="195" customHeight="1" thickBot="1" x14ac:dyDescent="1.65">
      <c r="A18" s="403">
        <v>8</v>
      </c>
      <c r="B18" s="880" t="s">
        <v>256</v>
      </c>
      <c r="C18" s="880"/>
      <c r="D18" s="404" t="s">
        <v>40</v>
      </c>
      <c r="E18" s="405">
        <v>70</v>
      </c>
      <c r="F18" s="405">
        <f t="shared" si="4"/>
        <v>3780</v>
      </c>
      <c r="G18" s="881">
        <v>930</v>
      </c>
      <c r="H18" s="881"/>
      <c r="I18" s="406">
        <v>3132</v>
      </c>
      <c r="J18" s="407">
        <f t="shared" si="0"/>
        <v>0</v>
      </c>
      <c r="K18" s="406">
        <v>3132</v>
      </c>
      <c r="L18" s="446">
        <f>G18*K18</f>
        <v>2912760</v>
      </c>
      <c r="M18" s="408">
        <v>0.25</v>
      </c>
      <c r="N18" s="446">
        <f t="shared" si="1"/>
        <v>2184570</v>
      </c>
      <c r="O18" s="446">
        <f t="shared" si="2"/>
        <v>728190</v>
      </c>
      <c r="P18" s="409"/>
      <c r="Q18" s="411"/>
      <c r="R18" s="410">
        <f t="shared" si="3"/>
        <v>44.74285714285714</v>
      </c>
    </row>
    <row r="19" spans="1:36" s="474" customFormat="1" ht="195" customHeight="1" thickBot="1" x14ac:dyDescent="1.65">
      <c r="A19" s="899">
        <v>9</v>
      </c>
      <c r="B19" s="901" t="s">
        <v>683</v>
      </c>
      <c r="C19" s="902"/>
      <c r="D19" s="905" t="s">
        <v>40</v>
      </c>
      <c r="E19" s="907">
        <v>192</v>
      </c>
      <c r="F19" s="909">
        <f t="shared" si="4"/>
        <v>10368</v>
      </c>
      <c r="G19" s="911">
        <v>165</v>
      </c>
      <c r="H19" s="912"/>
      <c r="I19" s="466">
        <v>0</v>
      </c>
      <c r="J19" s="467">
        <f t="shared" si="0"/>
        <v>0</v>
      </c>
      <c r="K19" s="466">
        <f>F19-K20</f>
        <v>0</v>
      </c>
      <c r="L19" s="468">
        <f>G19*K19</f>
        <v>0</v>
      </c>
      <c r="M19" s="469">
        <v>0.25</v>
      </c>
      <c r="N19" s="468">
        <f t="shared" si="1"/>
        <v>0</v>
      </c>
      <c r="O19" s="468">
        <f t="shared" si="2"/>
        <v>0</v>
      </c>
      <c r="P19" s="470"/>
      <c r="Q19" s="473"/>
      <c r="R19" s="472">
        <f t="shared" si="3"/>
        <v>0</v>
      </c>
    </row>
    <row r="20" spans="1:36" s="474" customFormat="1" ht="195" customHeight="1" thickBot="1" x14ac:dyDescent="1.65">
      <c r="A20" s="900"/>
      <c r="B20" s="903"/>
      <c r="C20" s="904"/>
      <c r="D20" s="906"/>
      <c r="E20" s="908"/>
      <c r="F20" s="910"/>
      <c r="G20" s="913"/>
      <c r="H20" s="914"/>
      <c r="I20" s="563">
        <v>10368</v>
      </c>
      <c r="J20" s="564">
        <f t="shared" si="0"/>
        <v>0</v>
      </c>
      <c r="K20" s="563">
        <f>54*192</f>
        <v>10368</v>
      </c>
      <c r="L20" s="468">
        <f>K20*G19</f>
        <v>1710720</v>
      </c>
      <c r="M20" s="469">
        <v>0.95</v>
      </c>
      <c r="N20" s="468">
        <f t="shared" si="1"/>
        <v>85536.000000000073</v>
      </c>
      <c r="O20" s="468">
        <f t="shared" si="2"/>
        <v>1625184</v>
      </c>
      <c r="P20" s="470"/>
      <c r="Q20" s="473"/>
      <c r="R20" s="472"/>
      <c r="S20" s="584"/>
      <c r="T20" s="585"/>
      <c r="U20" s="586"/>
      <c r="V20" s="586"/>
      <c r="W20" s="586"/>
      <c r="X20" s="586"/>
      <c r="Y20" s="586"/>
      <c r="Z20" s="586"/>
      <c r="AA20" s="586"/>
      <c r="AB20" s="586"/>
      <c r="AC20" s="586"/>
      <c r="AD20" s="586"/>
      <c r="AE20" s="586"/>
      <c r="AF20" s="586"/>
      <c r="AG20" s="586"/>
      <c r="AH20" s="586"/>
      <c r="AI20" s="586"/>
      <c r="AJ20" s="587"/>
    </row>
    <row r="21" spans="1:36" s="412" customFormat="1" ht="195" customHeight="1" thickBot="1" x14ac:dyDescent="1.65">
      <c r="A21" s="394">
        <v>10</v>
      </c>
      <c r="B21" s="895" t="s">
        <v>685</v>
      </c>
      <c r="C21" s="896"/>
      <c r="D21" s="404" t="s">
        <v>33</v>
      </c>
      <c r="E21" s="406">
        <v>48</v>
      </c>
      <c r="F21" s="405">
        <f t="shared" si="4"/>
        <v>2592</v>
      </c>
      <c r="G21" s="897">
        <v>85</v>
      </c>
      <c r="H21" s="898"/>
      <c r="I21" s="406">
        <v>2592</v>
      </c>
      <c r="J21" s="407">
        <f t="shared" si="0"/>
        <v>0</v>
      </c>
      <c r="K21" s="406">
        <f>54*E21</f>
        <v>2592</v>
      </c>
      <c r="L21" s="446">
        <f>G21*K21</f>
        <v>220320</v>
      </c>
      <c r="M21" s="408">
        <v>0.97</v>
      </c>
      <c r="N21" s="446">
        <f t="shared" si="1"/>
        <v>6609.6000000000058</v>
      </c>
      <c r="O21" s="446">
        <f t="shared" si="2"/>
        <v>213710.4</v>
      </c>
      <c r="P21" s="409"/>
      <c r="Q21" s="411"/>
      <c r="R21" s="410"/>
      <c r="S21" s="451"/>
      <c r="T21" s="452"/>
      <c r="U21" s="453"/>
      <c r="V21" s="453"/>
      <c r="W21" s="453"/>
      <c r="X21" s="453"/>
      <c r="Y21" s="453"/>
      <c r="Z21" s="453"/>
      <c r="AA21" s="453"/>
      <c r="AB21" s="453"/>
      <c r="AC21" s="453"/>
      <c r="AD21" s="453"/>
      <c r="AE21" s="453"/>
      <c r="AF21" s="453"/>
      <c r="AG21" s="453"/>
      <c r="AH21" s="453"/>
      <c r="AI21" s="453"/>
      <c r="AJ21" s="454"/>
    </row>
    <row r="22" spans="1:36" s="474" customFormat="1" ht="184.9" customHeight="1" thickBot="1" x14ac:dyDescent="1.65">
      <c r="A22" s="891">
        <v>11</v>
      </c>
      <c r="B22" s="892" t="s">
        <v>261</v>
      </c>
      <c r="C22" s="475" t="s">
        <v>262</v>
      </c>
      <c r="D22" s="893" t="s">
        <v>33</v>
      </c>
      <c r="E22" s="893">
        <v>192</v>
      </c>
      <c r="F22" s="894">
        <f t="shared" si="4"/>
        <v>10368</v>
      </c>
      <c r="G22" s="893">
        <v>300</v>
      </c>
      <c r="H22" s="893"/>
      <c r="I22" s="466">
        <v>0</v>
      </c>
      <c r="J22" s="476">
        <f t="shared" si="0"/>
        <v>0</v>
      </c>
      <c r="K22" s="476">
        <f>F22-K23</f>
        <v>0</v>
      </c>
      <c r="L22" s="477">
        <f>K22*G22</f>
        <v>0</v>
      </c>
      <c r="M22" s="469">
        <v>0.25</v>
      </c>
      <c r="N22" s="468">
        <f t="shared" si="1"/>
        <v>0</v>
      </c>
      <c r="O22" s="468">
        <f t="shared" si="2"/>
        <v>0</v>
      </c>
      <c r="P22" s="470"/>
      <c r="Q22" s="473">
        <f>SUM(K22:K22)</f>
        <v>0</v>
      </c>
      <c r="R22" s="478">
        <f>K22/E22</f>
        <v>0</v>
      </c>
      <c r="S22" s="838">
        <f>M22*K22</f>
        <v>0</v>
      </c>
      <c r="T22" s="842">
        <f>(O22-554396)/G22</f>
        <v>-1847.9866666666667</v>
      </c>
      <c r="U22" s="843"/>
      <c r="V22" s="843"/>
      <c r="W22" s="843"/>
      <c r="X22" s="843"/>
      <c r="Y22" s="843"/>
      <c r="Z22" s="843"/>
      <c r="AA22" s="843"/>
      <c r="AB22" s="843"/>
      <c r="AC22" s="843"/>
      <c r="AD22" s="843"/>
      <c r="AE22" s="843"/>
      <c r="AF22" s="843"/>
      <c r="AG22" s="843"/>
      <c r="AH22" s="843"/>
      <c r="AI22" s="843"/>
      <c r="AJ22" s="844"/>
    </row>
    <row r="23" spans="1:36" s="474" customFormat="1" ht="184.9" customHeight="1" thickBot="1" x14ac:dyDescent="1.65">
      <c r="A23" s="891"/>
      <c r="B23" s="892"/>
      <c r="C23" s="475" t="s">
        <v>259</v>
      </c>
      <c r="D23" s="893"/>
      <c r="E23" s="893"/>
      <c r="F23" s="894"/>
      <c r="G23" s="893"/>
      <c r="H23" s="893"/>
      <c r="I23" s="466">
        <v>10368</v>
      </c>
      <c r="J23" s="476">
        <f t="shared" si="0"/>
        <v>0</v>
      </c>
      <c r="K23" s="476">
        <f>54*E22</f>
        <v>10368</v>
      </c>
      <c r="L23" s="477">
        <f>K23*G22</f>
        <v>3110400</v>
      </c>
      <c r="M23" s="469">
        <v>0.95</v>
      </c>
      <c r="N23" s="468">
        <f t="shared" si="1"/>
        <v>155520.00000000015</v>
      </c>
      <c r="O23" s="468">
        <f t="shared" si="2"/>
        <v>2954880</v>
      </c>
      <c r="P23" s="470"/>
      <c r="Q23" s="473">
        <f t="shared" ref="Q23:Q33" si="5">SUM(K22:K23)</f>
        <v>10368</v>
      </c>
      <c r="R23" s="478" t="e">
        <f t="shared" ref="R23:R37" si="6">K23/E23</f>
        <v>#DIV/0!</v>
      </c>
      <c r="S23" s="839"/>
      <c r="T23" s="845"/>
      <c r="U23" s="846"/>
      <c r="V23" s="846"/>
      <c r="W23" s="846"/>
      <c r="X23" s="846"/>
      <c r="Y23" s="846"/>
      <c r="Z23" s="846"/>
      <c r="AA23" s="846"/>
      <c r="AB23" s="846"/>
      <c r="AC23" s="846"/>
      <c r="AD23" s="846"/>
      <c r="AE23" s="846"/>
      <c r="AF23" s="846"/>
      <c r="AG23" s="846"/>
      <c r="AH23" s="846"/>
      <c r="AI23" s="846"/>
      <c r="AJ23" s="847"/>
    </row>
    <row r="24" spans="1:36" s="412" customFormat="1" ht="184.9" customHeight="1" thickBot="1" x14ac:dyDescent="1.65">
      <c r="A24" s="887">
        <v>12</v>
      </c>
      <c r="B24" s="888" t="s">
        <v>263</v>
      </c>
      <c r="C24" s="395" t="s">
        <v>262</v>
      </c>
      <c r="D24" s="889" t="s">
        <v>33</v>
      </c>
      <c r="E24" s="889">
        <v>120</v>
      </c>
      <c r="F24" s="890">
        <f>E24*54</f>
        <v>6480</v>
      </c>
      <c r="G24" s="889">
        <v>485</v>
      </c>
      <c r="H24" s="889"/>
      <c r="I24" s="406">
        <v>0</v>
      </c>
      <c r="J24" s="413">
        <f t="shared" si="0"/>
        <v>0</v>
      </c>
      <c r="K24" s="413">
        <f>F24-K25</f>
        <v>0</v>
      </c>
      <c r="L24" s="445">
        <f>K24*G24</f>
        <v>0</v>
      </c>
      <c r="M24" s="408">
        <v>0.25</v>
      </c>
      <c r="N24" s="446">
        <f t="shared" si="1"/>
        <v>0</v>
      </c>
      <c r="O24" s="446">
        <f t="shared" si="2"/>
        <v>0</v>
      </c>
      <c r="P24" s="409"/>
      <c r="Q24" s="411">
        <f t="shared" si="5"/>
        <v>10368</v>
      </c>
      <c r="R24" s="414">
        <f t="shared" si="6"/>
        <v>0</v>
      </c>
      <c r="S24" s="840">
        <f t="shared" ref="S24" si="7">M24*K24</f>
        <v>0</v>
      </c>
      <c r="T24" s="832">
        <f>(O24-560171)/G24</f>
        <v>-1154.9917525773196</v>
      </c>
      <c r="U24" s="833"/>
      <c r="V24" s="833"/>
      <c r="W24" s="833"/>
      <c r="X24" s="833"/>
      <c r="Y24" s="833"/>
      <c r="Z24" s="833"/>
      <c r="AA24" s="833"/>
      <c r="AB24" s="833"/>
      <c r="AC24" s="833"/>
      <c r="AD24" s="833"/>
      <c r="AE24" s="833"/>
      <c r="AF24" s="833"/>
      <c r="AG24" s="833"/>
      <c r="AH24" s="833"/>
      <c r="AI24" s="833"/>
      <c r="AJ24" s="834"/>
    </row>
    <row r="25" spans="1:36" s="412" customFormat="1" ht="184.9" customHeight="1" thickBot="1" x14ac:dyDescent="1.65">
      <c r="A25" s="887"/>
      <c r="B25" s="888"/>
      <c r="C25" s="395" t="s">
        <v>259</v>
      </c>
      <c r="D25" s="889"/>
      <c r="E25" s="889"/>
      <c r="F25" s="890"/>
      <c r="G25" s="889"/>
      <c r="H25" s="889"/>
      <c r="I25" s="406">
        <v>6480</v>
      </c>
      <c r="J25" s="413">
        <f t="shared" si="0"/>
        <v>0</v>
      </c>
      <c r="K25" s="413">
        <f>54*E24</f>
        <v>6480</v>
      </c>
      <c r="L25" s="445">
        <f>K25*G24</f>
        <v>3142800</v>
      </c>
      <c r="M25" s="408">
        <v>0.95</v>
      </c>
      <c r="N25" s="446">
        <f t="shared" si="1"/>
        <v>157140.00000000015</v>
      </c>
      <c r="O25" s="446">
        <f t="shared" si="2"/>
        <v>2985660</v>
      </c>
      <c r="P25" s="409"/>
      <c r="Q25" s="411">
        <f t="shared" si="5"/>
        <v>6480</v>
      </c>
      <c r="R25" s="414" t="e">
        <f t="shared" si="6"/>
        <v>#DIV/0!</v>
      </c>
      <c r="S25" s="841"/>
      <c r="T25" s="835"/>
      <c r="U25" s="836"/>
      <c r="V25" s="836"/>
      <c r="W25" s="836"/>
      <c r="X25" s="836"/>
      <c r="Y25" s="836"/>
      <c r="Z25" s="836"/>
      <c r="AA25" s="836"/>
      <c r="AB25" s="836"/>
      <c r="AC25" s="836"/>
      <c r="AD25" s="836"/>
      <c r="AE25" s="836"/>
      <c r="AF25" s="836"/>
      <c r="AG25" s="836"/>
      <c r="AH25" s="836"/>
      <c r="AI25" s="836"/>
      <c r="AJ25" s="837"/>
    </row>
    <row r="26" spans="1:36" s="474" customFormat="1" ht="184.9" customHeight="1" thickBot="1" x14ac:dyDescent="1.65">
      <c r="A26" s="891">
        <v>13</v>
      </c>
      <c r="B26" s="892" t="s">
        <v>264</v>
      </c>
      <c r="C26" s="475" t="s">
        <v>262</v>
      </c>
      <c r="D26" s="893" t="s">
        <v>33</v>
      </c>
      <c r="E26" s="893">
        <v>17</v>
      </c>
      <c r="F26" s="894">
        <f>E26*54</f>
        <v>918</v>
      </c>
      <c r="G26" s="893">
        <v>250</v>
      </c>
      <c r="H26" s="893"/>
      <c r="I26" s="466">
        <v>0</v>
      </c>
      <c r="J26" s="476">
        <f t="shared" si="0"/>
        <v>0</v>
      </c>
      <c r="K26" s="476">
        <f>F26-K27</f>
        <v>0</v>
      </c>
      <c r="L26" s="477">
        <f>K26*G26</f>
        <v>0</v>
      </c>
      <c r="M26" s="469">
        <v>0.25</v>
      </c>
      <c r="N26" s="468">
        <f t="shared" si="1"/>
        <v>0</v>
      </c>
      <c r="O26" s="468">
        <f t="shared" si="2"/>
        <v>0</v>
      </c>
      <c r="P26" s="470"/>
      <c r="Q26" s="473">
        <f t="shared" si="5"/>
        <v>6480</v>
      </c>
      <c r="R26" s="478">
        <f t="shared" si="6"/>
        <v>0</v>
      </c>
      <c r="S26" s="838">
        <f t="shared" ref="S26" si="8">M26*K26</f>
        <v>0</v>
      </c>
      <c r="T26" s="842">
        <f>(O26-40881)/G26</f>
        <v>-163.524</v>
      </c>
      <c r="U26" s="843"/>
      <c r="V26" s="843"/>
      <c r="W26" s="843"/>
      <c r="X26" s="843"/>
      <c r="Y26" s="843"/>
      <c r="Z26" s="843"/>
      <c r="AA26" s="843"/>
      <c r="AB26" s="843"/>
      <c r="AC26" s="843"/>
      <c r="AD26" s="843"/>
      <c r="AE26" s="843"/>
      <c r="AF26" s="843"/>
      <c r="AG26" s="843"/>
      <c r="AH26" s="843"/>
      <c r="AI26" s="843"/>
      <c r="AJ26" s="844"/>
    </row>
    <row r="27" spans="1:36" s="474" customFormat="1" ht="184.9" customHeight="1" thickBot="1" x14ac:dyDescent="1.65">
      <c r="A27" s="891"/>
      <c r="B27" s="892"/>
      <c r="C27" s="475" t="s">
        <v>259</v>
      </c>
      <c r="D27" s="893"/>
      <c r="E27" s="893"/>
      <c r="F27" s="894"/>
      <c r="G27" s="893"/>
      <c r="H27" s="893"/>
      <c r="I27" s="466">
        <v>918</v>
      </c>
      <c r="J27" s="476">
        <f t="shared" si="0"/>
        <v>0</v>
      </c>
      <c r="K27" s="476">
        <f>54*E26</f>
        <v>918</v>
      </c>
      <c r="L27" s="477">
        <f>K27*G26</f>
        <v>229500</v>
      </c>
      <c r="M27" s="469">
        <v>0.95</v>
      </c>
      <c r="N27" s="468">
        <f t="shared" si="1"/>
        <v>11475.000000000011</v>
      </c>
      <c r="O27" s="468">
        <f t="shared" si="2"/>
        <v>218025</v>
      </c>
      <c r="P27" s="470"/>
      <c r="Q27" s="473">
        <f t="shared" si="5"/>
        <v>918</v>
      </c>
      <c r="R27" s="478" t="e">
        <f t="shared" si="6"/>
        <v>#DIV/0!</v>
      </c>
      <c r="S27" s="839"/>
      <c r="T27" s="845"/>
      <c r="U27" s="846"/>
      <c r="V27" s="846"/>
      <c r="W27" s="846"/>
      <c r="X27" s="846"/>
      <c r="Y27" s="846"/>
      <c r="Z27" s="846"/>
      <c r="AA27" s="846"/>
      <c r="AB27" s="846"/>
      <c r="AC27" s="846"/>
      <c r="AD27" s="846"/>
      <c r="AE27" s="846"/>
      <c r="AF27" s="846"/>
      <c r="AG27" s="846"/>
      <c r="AH27" s="846"/>
      <c r="AI27" s="846"/>
      <c r="AJ27" s="847"/>
    </row>
    <row r="28" spans="1:36" s="412" customFormat="1" ht="184.9" customHeight="1" thickBot="1" x14ac:dyDescent="1.65">
      <c r="A28" s="887">
        <v>15</v>
      </c>
      <c r="B28" s="888" t="s">
        <v>265</v>
      </c>
      <c r="C28" s="395" t="s">
        <v>262</v>
      </c>
      <c r="D28" s="889" t="s">
        <v>33</v>
      </c>
      <c r="E28" s="889">
        <v>2</v>
      </c>
      <c r="F28" s="890">
        <f>E28*54</f>
        <v>108</v>
      </c>
      <c r="G28" s="889">
        <v>400</v>
      </c>
      <c r="H28" s="889"/>
      <c r="I28" s="406">
        <v>0</v>
      </c>
      <c r="J28" s="413">
        <f t="shared" si="0"/>
        <v>0</v>
      </c>
      <c r="K28" s="413">
        <f>F28-K29</f>
        <v>0</v>
      </c>
      <c r="L28" s="445">
        <f>K28*G28</f>
        <v>0</v>
      </c>
      <c r="M28" s="408">
        <v>0.25</v>
      </c>
      <c r="N28" s="446">
        <f t="shared" si="1"/>
        <v>0</v>
      </c>
      <c r="O28" s="446">
        <f t="shared" si="2"/>
        <v>0</v>
      </c>
      <c r="P28" s="409"/>
      <c r="Q28" s="411">
        <f t="shared" si="5"/>
        <v>918</v>
      </c>
      <c r="R28" s="414">
        <f t="shared" si="6"/>
        <v>0</v>
      </c>
      <c r="S28" s="840">
        <f t="shared" ref="S28" si="9">M28*K28</f>
        <v>0</v>
      </c>
      <c r="T28" s="832">
        <f>(O28-7781)/G28</f>
        <v>-19.452500000000001</v>
      </c>
      <c r="U28" s="833"/>
      <c r="V28" s="833"/>
      <c r="W28" s="833"/>
      <c r="X28" s="833"/>
      <c r="Y28" s="833"/>
      <c r="Z28" s="833"/>
      <c r="AA28" s="833"/>
      <c r="AB28" s="833"/>
      <c r="AC28" s="833"/>
      <c r="AD28" s="833"/>
      <c r="AE28" s="833"/>
      <c r="AF28" s="833"/>
      <c r="AG28" s="833"/>
      <c r="AH28" s="833"/>
      <c r="AI28" s="833"/>
      <c r="AJ28" s="834"/>
    </row>
    <row r="29" spans="1:36" s="412" customFormat="1" ht="184.9" customHeight="1" thickBot="1" x14ac:dyDescent="1.65">
      <c r="A29" s="887"/>
      <c r="B29" s="888"/>
      <c r="C29" s="395" t="s">
        <v>259</v>
      </c>
      <c r="D29" s="889"/>
      <c r="E29" s="889"/>
      <c r="F29" s="890"/>
      <c r="G29" s="889"/>
      <c r="H29" s="889"/>
      <c r="I29" s="406">
        <v>108</v>
      </c>
      <c r="J29" s="413">
        <f t="shared" si="0"/>
        <v>0</v>
      </c>
      <c r="K29" s="413">
        <f>54*E28</f>
        <v>108</v>
      </c>
      <c r="L29" s="445">
        <f>K29*G28</f>
        <v>43200</v>
      </c>
      <c r="M29" s="408">
        <v>0.95</v>
      </c>
      <c r="N29" s="446">
        <f t="shared" si="1"/>
        <v>2160.0000000000018</v>
      </c>
      <c r="O29" s="446">
        <f t="shared" si="2"/>
        <v>41040</v>
      </c>
      <c r="P29" s="409"/>
      <c r="Q29" s="411">
        <f t="shared" si="5"/>
        <v>108</v>
      </c>
      <c r="R29" s="414" t="e">
        <f t="shared" si="6"/>
        <v>#DIV/0!</v>
      </c>
      <c r="S29" s="841"/>
      <c r="T29" s="835"/>
      <c r="U29" s="836"/>
      <c r="V29" s="836"/>
      <c r="W29" s="836"/>
      <c r="X29" s="836"/>
      <c r="Y29" s="836"/>
      <c r="Z29" s="836"/>
      <c r="AA29" s="836"/>
      <c r="AB29" s="836"/>
      <c r="AC29" s="836"/>
      <c r="AD29" s="836"/>
      <c r="AE29" s="836"/>
      <c r="AF29" s="836"/>
      <c r="AG29" s="836"/>
      <c r="AH29" s="836"/>
      <c r="AI29" s="836"/>
      <c r="AJ29" s="837"/>
    </row>
    <row r="30" spans="1:36" s="474" customFormat="1" ht="184.9" customHeight="1" thickBot="1" x14ac:dyDescent="1.65">
      <c r="A30" s="891">
        <v>16</v>
      </c>
      <c r="B30" s="892" t="s">
        <v>266</v>
      </c>
      <c r="C30" s="475" t="s">
        <v>262</v>
      </c>
      <c r="D30" s="893" t="s">
        <v>33</v>
      </c>
      <c r="E30" s="893">
        <v>24</v>
      </c>
      <c r="F30" s="894">
        <f>E30*54</f>
        <v>1296</v>
      </c>
      <c r="G30" s="893">
        <v>165</v>
      </c>
      <c r="H30" s="893"/>
      <c r="I30" s="466">
        <v>0</v>
      </c>
      <c r="J30" s="476">
        <f t="shared" si="0"/>
        <v>0</v>
      </c>
      <c r="K30" s="476">
        <f>F30-K31</f>
        <v>0</v>
      </c>
      <c r="L30" s="477">
        <f>K30*G30</f>
        <v>0</v>
      </c>
      <c r="M30" s="469">
        <v>0.25</v>
      </c>
      <c r="N30" s="468">
        <f t="shared" si="1"/>
        <v>0</v>
      </c>
      <c r="O30" s="468">
        <f t="shared" si="2"/>
        <v>0</v>
      </c>
      <c r="P30" s="470"/>
      <c r="Q30" s="473">
        <f t="shared" si="5"/>
        <v>108</v>
      </c>
      <c r="R30" s="478">
        <f t="shared" si="6"/>
        <v>0</v>
      </c>
      <c r="S30" s="838">
        <f t="shared" ref="S30" si="10">M30*K30</f>
        <v>0</v>
      </c>
      <c r="T30" s="842">
        <f>(O30-38115)/G30</f>
        <v>-231</v>
      </c>
      <c r="U30" s="843"/>
      <c r="V30" s="843"/>
      <c r="W30" s="843"/>
      <c r="X30" s="843"/>
      <c r="Y30" s="843"/>
      <c r="Z30" s="843"/>
      <c r="AA30" s="843"/>
      <c r="AB30" s="843"/>
      <c r="AC30" s="843"/>
      <c r="AD30" s="843"/>
      <c r="AE30" s="843"/>
      <c r="AF30" s="843"/>
      <c r="AG30" s="843"/>
      <c r="AH30" s="843"/>
      <c r="AI30" s="843"/>
      <c r="AJ30" s="844"/>
    </row>
    <row r="31" spans="1:36" s="474" customFormat="1" ht="184.9" customHeight="1" thickBot="1" x14ac:dyDescent="1.65">
      <c r="A31" s="891"/>
      <c r="B31" s="892"/>
      <c r="C31" s="475" t="s">
        <v>259</v>
      </c>
      <c r="D31" s="893"/>
      <c r="E31" s="893"/>
      <c r="F31" s="894"/>
      <c r="G31" s="893"/>
      <c r="H31" s="893"/>
      <c r="I31" s="466">
        <v>1296</v>
      </c>
      <c r="J31" s="476">
        <f t="shared" si="0"/>
        <v>0</v>
      </c>
      <c r="K31" s="476">
        <f>54*E30</f>
        <v>1296</v>
      </c>
      <c r="L31" s="477">
        <f>K31*G30</f>
        <v>213840</v>
      </c>
      <c r="M31" s="469">
        <v>0.95</v>
      </c>
      <c r="N31" s="468">
        <f t="shared" si="1"/>
        <v>10692.000000000009</v>
      </c>
      <c r="O31" s="468">
        <f t="shared" si="2"/>
        <v>203148</v>
      </c>
      <c r="P31" s="470"/>
      <c r="Q31" s="473">
        <f t="shared" si="5"/>
        <v>1296</v>
      </c>
      <c r="R31" s="478" t="e">
        <f t="shared" si="6"/>
        <v>#DIV/0!</v>
      </c>
      <c r="S31" s="839"/>
      <c r="T31" s="845"/>
      <c r="U31" s="846"/>
      <c r="V31" s="846"/>
      <c r="W31" s="846"/>
      <c r="X31" s="846"/>
      <c r="Y31" s="846"/>
      <c r="Z31" s="846"/>
      <c r="AA31" s="846"/>
      <c r="AB31" s="846"/>
      <c r="AC31" s="846"/>
      <c r="AD31" s="846"/>
      <c r="AE31" s="846"/>
      <c r="AF31" s="846"/>
      <c r="AG31" s="846"/>
      <c r="AH31" s="846"/>
      <c r="AI31" s="846"/>
      <c r="AJ31" s="847"/>
    </row>
    <row r="32" spans="1:36" s="412" customFormat="1" ht="184.9" customHeight="1" thickBot="1" x14ac:dyDescent="1.65">
      <c r="A32" s="887">
        <v>17</v>
      </c>
      <c r="B32" s="888" t="s">
        <v>267</v>
      </c>
      <c r="C32" s="395" t="s">
        <v>262</v>
      </c>
      <c r="D32" s="889" t="s">
        <v>33</v>
      </c>
      <c r="E32" s="889">
        <v>384</v>
      </c>
      <c r="F32" s="890">
        <f>E32*54</f>
        <v>20736</v>
      </c>
      <c r="G32" s="889">
        <v>230</v>
      </c>
      <c r="H32" s="889"/>
      <c r="I32" s="406">
        <v>0</v>
      </c>
      <c r="J32" s="413">
        <f t="shared" si="0"/>
        <v>0</v>
      </c>
      <c r="K32" s="413">
        <f>25920-K33</f>
        <v>0</v>
      </c>
      <c r="L32" s="445">
        <f>K32*G32</f>
        <v>0</v>
      </c>
      <c r="M32" s="408">
        <v>0.25</v>
      </c>
      <c r="N32" s="446">
        <f t="shared" si="1"/>
        <v>0</v>
      </c>
      <c r="O32" s="446">
        <f t="shared" si="2"/>
        <v>0</v>
      </c>
      <c r="P32" s="409"/>
      <c r="Q32" s="411">
        <f t="shared" si="5"/>
        <v>1296</v>
      </c>
      <c r="R32" s="414">
        <f t="shared" si="6"/>
        <v>0</v>
      </c>
      <c r="S32" s="840">
        <f t="shared" ref="S32" si="11">M32*K32</f>
        <v>0</v>
      </c>
      <c r="T32" s="832">
        <f>(O32-850073)/G32</f>
        <v>-3695.9695652173914</v>
      </c>
      <c r="U32" s="833"/>
      <c r="V32" s="833"/>
      <c r="W32" s="833"/>
      <c r="X32" s="833"/>
      <c r="Y32" s="833"/>
      <c r="Z32" s="833"/>
      <c r="AA32" s="833"/>
      <c r="AB32" s="833"/>
      <c r="AC32" s="833"/>
      <c r="AD32" s="833"/>
      <c r="AE32" s="833"/>
      <c r="AF32" s="833"/>
      <c r="AG32" s="833"/>
      <c r="AH32" s="833"/>
      <c r="AI32" s="833"/>
      <c r="AJ32" s="834"/>
    </row>
    <row r="33" spans="1:36" s="412" customFormat="1" ht="178.9" customHeight="1" thickBot="1" x14ac:dyDescent="1.65">
      <c r="A33" s="887"/>
      <c r="B33" s="888"/>
      <c r="C33" s="395" t="s">
        <v>259</v>
      </c>
      <c r="D33" s="889"/>
      <c r="E33" s="889"/>
      <c r="F33" s="890"/>
      <c r="G33" s="889"/>
      <c r="H33" s="889"/>
      <c r="I33" s="406">
        <v>25920</v>
      </c>
      <c r="J33" s="413">
        <f t="shared" si="0"/>
        <v>0</v>
      </c>
      <c r="K33" s="413">
        <f>54*480</f>
        <v>25920</v>
      </c>
      <c r="L33" s="445">
        <f>K33*G32</f>
        <v>5961600</v>
      </c>
      <c r="M33" s="408">
        <v>0.95</v>
      </c>
      <c r="N33" s="446">
        <f t="shared" si="1"/>
        <v>298080.00000000029</v>
      </c>
      <c r="O33" s="446">
        <f t="shared" si="2"/>
        <v>5663520</v>
      </c>
      <c r="P33" s="409"/>
      <c r="Q33" s="411">
        <f t="shared" si="5"/>
        <v>25920</v>
      </c>
      <c r="R33" s="414" t="e">
        <f t="shared" si="6"/>
        <v>#DIV/0!</v>
      </c>
      <c r="S33" s="841"/>
      <c r="T33" s="835"/>
      <c r="U33" s="836"/>
      <c r="V33" s="836"/>
      <c r="W33" s="836"/>
      <c r="X33" s="836"/>
      <c r="Y33" s="836"/>
      <c r="Z33" s="836"/>
      <c r="AA33" s="836"/>
      <c r="AB33" s="836"/>
      <c r="AC33" s="836"/>
      <c r="AD33" s="836"/>
      <c r="AE33" s="836"/>
      <c r="AF33" s="836"/>
      <c r="AG33" s="836"/>
      <c r="AH33" s="836"/>
      <c r="AI33" s="836"/>
      <c r="AJ33" s="837"/>
    </row>
    <row r="34" spans="1:36" s="474" customFormat="1" ht="184.9" customHeight="1" thickBot="1" x14ac:dyDescent="1.65">
      <c r="A34" s="891">
        <v>18</v>
      </c>
      <c r="B34" s="892" t="s">
        <v>268</v>
      </c>
      <c r="C34" s="475" t="s">
        <v>262</v>
      </c>
      <c r="D34" s="893" t="s">
        <v>33</v>
      </c>
      <c r="E34" s="893">
        <v>48</v>
      </c>
      <c r="F34" s="894">
        <f>E34*54</f>
        <v>2592</v>
      </c>
      <c r="G34" s="893">
        <v>415</v>
      </c>
      <c r="H34" s="893"/>
      <c r="I34" s="466">
        <v>0</v>
      </c>
      <c r="J34" s="476">
        <f t="shared" si="0"/>
        <v>0</v>
      </c>
      <c r="K34" s="476">
        <f>2592-K35</f>
        <v>0</v>
      </c>
      <c r="L34" s="477">
        <f>K34*G34</f>
        <v>0</v>
      </c>
      <c r="M34" s="469">
        <v>0.25</v>
      </c>
      <c r="N34" s="468">
        <f t="shared" si="1"/>
        <v>0</v>
      </c>
      <c r="O34" s="468">
        <f t="shared" si="2"/>
        <v>0</v>
      </c>
      <c r="P34" s="470"/>
      <c r="Q34" s="473"/>
      <c r="R34" s="478">
        <f t="shared" si="6"/>
        <v>0</v>
      </c>
      <c r="S34" s="838">
        <f t="shared" ref="S34" si="12">M34*K34</f>
        <v>0</v>
      </c>
      <c r="T34" s="842">
        <f>(O34-191729)/G34</f>
        <v>-461.99759036144576</v>
      </c>
      <c r="U34" s="843"/>
      <c r="V34" s="843"/>
      <c r="W34" s="843"/>
      <c r="X34" s="843"/>
      <c r="Y34" s="843"/>
      <c r="Z34" s="843"/>
      <c r="AA34" s="843"/>
      <c r="AB34" s="843"/>
      <c r="AC34" s="843"/>
      <c r="AD34" s="843"/>
      <c r="AE34" s="843"/>
      <c r="AF34" s="843"/>
      <c r="AG34" s="843"/>
      <c r="AH34" s="843"/>
      <c r="AI34" s="843"/>
      <c r="AJ34" s="844"/>
    </row>
    <row r="35" spans="1:36" s="474" customFormat="1" ht="178.9" customHeight="1" thickBot="1" x14ac:dyDescent="1.65">
      <c r="A35" s="891"/>
      <c r="B35" s="892"/>
      <c r="C35" s="475" t="s">
        <v>259</v>
      </c>
      <c r="D35" s="893"/>
      <c r="E35" s="893"/>
      <c r="F35" s="894"/>
      <c r="G35" s="893"/>
      <c r="H35" s="893"/>
      <c r="I35" s="466">
        <v>2592</v>
      </c>
      <c r="J35" s="476">
        <f t="shared" si="0"/>
        <v>0</v>
      </c>
      <c r="K35" s="476">
        <f>54*E34</f>
        <v>2592</v>
      </c>
      <c r="L35" s="477">
        <f>K35*G34</f>
        <v>1075680</v>
      </c>
      <c r="M35" s="469">
        <v>0.95</v>
      </c>
      <c r="N35" s="468">
        <f t="shared" si="1"/>
        <v>53784.000000000051</v>
      </c>
      <c r="O35" s="468">
        <f t="shared" si="2"/>
        <v>1021896</v>
      </c>
      <c r="P35" s="470"/>
      <c r="Q35" s="473"/>
      <c r="R35" s="478" t="e">
        <f t="shared" si="6"/>
        <v>#DIV/0!</v>
      </c>
      <c r="S35" s="839"/>
      <c r="T35" s="845"/>
      <c r="U35" s="846"/>
      <c r="V35" s="846"/>
      <c r="W35" s="846"/>
      <c r="X35" s="846"/>
      <c r="Y35" s="846"/>
      <c r="Z35" s="846"/>
      <c r="AA35" s="846"/>
      <c r="AB35" s="846"/>
      <c r="AC35" s="846"/>
      <c r="AD35" s="846"/>
      <c r="AE35" s="846"/>
      <c r="AF35" s="846"/>
      <c r="AG35" s="846"/>
      <c r="AH35" s="846"/>
      <c r="AI35" s="846"/>
      <c r="AJ35" s="847"/>
    </row>
    <row r="36" spans="1:36" s="412" customFormat="1" ht="184.9" customHeight="1" thickBot="1" x14ac:dyDescent="1.65">
      <c r="A36" s="887">
        <v>19</v>
      </c>
      <c r="B36" s="888" t="s">
        <v>269</v>
      </c>
      <c r="C36" s="395" t="s">
        <v>262</v>
      </c>
      <c r="D36" s="889" t="s">
        <v>33</v>
      </c>
      <c r="E36" s="889">
        <v>24</v>
      </c>
      <c r="F36" s="890">
        <f>E36*54</f>
        <v>1296</v>
      </c>
      <c r="G36" s="889">
        <v>795</v>
      </c>
      <c r="H36" s="889"/>
      <c r="I36" s="406">
        <v>0</v>
      </c>
      <c r="J36" s="413">
        <f t="shared" si="0"/>
        <v>0</v>
      </c>
      <c r="K36" s="413">
        <f>1296-K37</f>
        <v>0</v>
      </c>
      <c r="L36" s="445">
        <f>K36*G36</f>
        <v>0</v>
      </c>
      <c r="M36" s="408">
        <v>0.25</v>
      </c>
      <c r="N36" s="446">
        <f t="shared" si="1"/>
        <v>0</v>
      </c>
      <c r="O36" s="446">
        <f t="shared" ref="O36" si="13">L36-N36</f>
        <v>0</v>
      </c>
      <c r="P36" s="409"/>
      <c r="Q36" s="411"/>
      <c r="R36" s="414">
        <f t="shared" si="6"/>
        <v>0</v>
      </c>
      <c r="S36" s="840">
        <f t="shared" ref="S36" si="14">M36*K36</f>
        <v>0</v>
      </c>
      <c r="T36" s="832">
        <f>(O36-183644)/G36</f>
        <v>-230.99874213836478</v>
      </c>
      <c r="U36" s="833"/>
      <c r="V36" s="833"/>
      <c r="W36" s="833"/>
      <c r="X36" s="833"/>
      <c r="Y36" s="833"/>
      <c r="Z36" s="833"/>
      <c r="AA36" s="833"/>
      <c r="AB36" s="833"/>
      <c r="AC36" s="833"/>
      <c r="AD36" s="833"/>
      <c r="AE36" s="833"/>
      <c r="AF36" s="833"/>
      <c r="AG36" s="833"/>
      <c r="AH36" s="833"/>
      <c r="AI36" s="833"/>
      <c r="AJ36" s="834"/>
    </row>
    <row r="37" spans="1:36" s="412" customFormat="1" ht="160.9" customHeight="1" thickBot="1" x14ac:dyDescent="1.65">
      <c r="A37" s="887"/>
      <c r="B37" s="888"/>
      <c r="C37" s="395" t="s">
        <v>259</v>
      </c>
      <c r="D37" s="889"/>
      <c r="E37" s="889"/>
      <c r="F37" s="890"/>
      <c r="G37" s="889"/>
      <c r="H37" s="889"/>
      <c r="I37" s="406">
        <v>1296</v>
      </c>
      <c r="J37" s="413">
        <f t="shared" si="0"/>
        <v>0</v>
      </c>
      <c r="K37" s="413">
        <f>54*E36</f>
        <v>1296</v>
      </c>
      <c r="L37" s="445">
        <f>K37*G36</f>
        <v>1030320</v>
      </c>
      <c r="M37" s="408">
        <v>0.95</v>
      </c>
      <c r="N37" s="446">
        <f t="shared" si="1"/>
        <v>51516.000000000044</v>
      </c>
      <c r="O37" s="446">
        <f>L37-N37</f>
        <v>978804</v>
      </c>
      <c r="P37" s="409"/>
      <c r="Q37" s="411"/>
      <c r="R37" s="414" t="e">
        <f t="shared" si="6"/>
        <v>#DIV/0!</v>
      </c>
      <c r="S37" s="841"/>
      <c r="T37" s="835"/>
      <c r="U37" s="836"/>
      <c r="V37" s="836"/>
      <c r="W37" s="836"/>
      <c r="X37" s="836"/>
      <c r="Y37" s="836"/>
      <c r="Z37" s="836"/>
      <c r="AA37" s="836"/>
      <c r="AB37" s="836"/>
      <c r="AC37" s="836"/>
      <c r="AD37" s="836"/>
      <c r="AE37" s="836"/>
      <c r="AF37" s="836"/>
      <c r="AG37" s="836"/>
      <c r="AH37" s="836"/>
      <c r="AI37" s="836"/>
      <c r="AJ37" s="837"/>
    </row>
    <row r="38" spans="1:36" s="417" customFormat="1" ht="176.25" customHeight="1" thickBot="1" x14ac:dyDescent="1.65">
      <c r="A38" s="932" t="s">
        <v>272</v>
      </c>
      <c r="B38" s="933"/>
      <c r="C38" s="933"/>
      <c r="D38" s="933"/>
      <c r="E38" s="933"/>
      <c r="F38" s="933"/>
      <c r="G38" s="933"/>
      <c r="H38" s="933"/>
      <c r="I38" s="933"/>
      <c r="J38" s="933"/>
      <c r="K38" s="933"/>
      <c r="L38" s="457">
        <f>SUM(L8:L37)</f>
        <v>22192650</v>
      </c>
      <c r="M38" s="415"/>
      <c r="N38" s="457">
        <f>SUM(N8:N37)</f>
        <v>3385457.1000000006</v>
      </c>
      <c r="O38" s="457">
        <f>SUM(O8:O37)</f>
        <v>18807192.899999999</v>
      </c>
      <c r="P38" s="416"/>
    </row>
    <row r="39" spans="1:36" s="421" customFormat="1" ht="150" customHeight="1" x14ac:dyDescent="1.6">
      <c r="A39" s="934" t="s">
        <v>24</v>
      </c>
      <c r="B39" s="935"/>
      <c r="C39" s="935"/>
      <c r="D39" s="935"/>
      <c r="E39" s="935"/>
      <c r="F39" s="935"/>
      <c r="G39" s="935"/>
      <c r="H39" s="935"/>
      <c r="I39" s="935"/>
      <c r="J39" s="418"/>
      <c r="K39" s="418"/>
      <c r="L39" s="458"/>
      <c r="M39" s="418"/>
      <c r="N39" s="458"/>
      <c r="O39" s="458"/>
      <c r="P39" s="419"/>
      <c r="Q39" s="420"/>
    </row>
    <row r="40" spans="1:36" s="425" customFormat="1" ht="83.45" customHeight="1" x14ac:dyDescent="1.6">
      <c r="A40" s="422"/>
      <c r="B40" s="423" t="s">
        <v>25</v>
      </c>
      <c r="C40" s="423"/>
      <c r="D40" s="936" t="s">
        <v>26</v>
      </c>
      <c r="E40" s="936"/>
      <c r="F40" s="936"/>
      <c r="G40" s="936"/>
      <c r="H40" s="936"/>
      <c r="I40" s="936"/>
      <c r="J40" s="936"/>
      <c r="K40" s="936"/>
      <c r="L40" s="936"/>
      <c r="M40" s="936"/>
      <c r="N40" s="936"/>
      <c r="O40" s="936"/>
      <c r="P40" s="937"/>
      <c r="Q40" s="420">
        <f>SUM(K22:K23)</f>
        <v>10368</v>
      </c>
      <c r="R40" s="424"/>
    </row>
    <row r="41" spans="1:36" s="425" customFormat="1" ht="48" customHeight="1" x14ac:dyDescent="1.6">
      <c r="A41" s="426"/>
      <c r="B41" s="427"/>
      <c r="C41" s="427"/>
      <c r="D41" s="428"/>
      <c r="E41" s="428"/>
      <c r="F41" s="428"/>
      <c r="G41" s="428"/>
      <c r="H41" s="429"/>
      <c r="I41" s="428"/>
      <c r="J41" s="428"/>
      <c r="K41" s="428"/>
      <c r="L41" s="459"/>
      <c r="M41" s="428"/>
      <c r="N41" s="459"/>
      <c r="O41" s="459"/>
      <c r="P41" s="430"/>
      <c r="Q41" s="420"/>
      <c r="R41" s="424"/>
    </row>
    <row r="42" spans="1:36" s="425" customFormat="1" ht="157.15" customHeight="1" x14ac:dyDescent="1.6">
      <c r="A42" s="938"/>
      <c r="B42" s="939"/>
      <c r="C42" s="431"/>
      <c r="D42" s="940" t="s">
        <v>61</v>
      </c>
      <c r="E42" s="941"/>
      <c r="F42" s="941"/>
      <c r="G42" s="941"/>
      <c r="H42" s="941"/>
      <c r="I42" s="942"/>
      <c r="J42" s="943" t="s">
        <v>273</v>
      </c>
      <c r="K42" s="921"/>
      <c r="L42" s="921"/>
      <c r="M42" s="921"/>
      <c r="N42" s="921"/>
      <c r="O42" s="921"/>
      <c r="P42" s="944"/>
      <c r="Q42" s="432"/>
      <c r="R42" s="424"/>
    </row>
    <row r="43" spans="1:36" s="425" customFormat="1" ht="99.95" customHeight="1" x14ac:dyDescent="1.6">
      <c r="A43" s="915" t="s">
        <v>274</v>
      </c>
      <c r="B43" s="916"/>
      <c r="C43" s="917"/>
      <c r="D43" s="921" t="s">
        <v>275</v>
      </c>
      <c r="E43" s="921"/>
      <c r="F43" s="921" t="s">
        <v>63</v>
      </c>
      <c r="G43" s="921"/>
      <c r="H43" s="921" t="s">
        <v>557</v>
      </c>
      <c r="I43" s="921"/>
      <c r="J43" s="922" t="s">
        <v>682</v>
      </c>
      <c r="K43" s="923"/>
      <c r="L43" s="923"/>
      <c r="M43" s="923"/>
      <c r="N43" s="924"/>
      <c r="O43" s="928" t="s">
        <v>124</v>
      </c>
      <c r="P43" s="929"/>
      <c r="Q43" s="432"/>
    </row>
    <row r="44" spans="1:36" s="425" customFormat="1" ht="48.6" customHeight="1" x14ac:dyDescent="1.6">
      <c r="A44" s="918"/>
      <c r="B44" s="919"/>
      <c r="C44" s="920"/>
      <c r="D44" s="921"/>
      <c r="E44" s="921"/>
      <c r="F44" s="921"/>
      <c r="G44" s="921"/>
      <c r="H44" s="921"/>
      <c r="I44" s="921"/>
      <c r="J44" s="925"/>
      <c r="K44" s="926"/>
      <c r="L44" s="926"/>
      <c r="M44" s="926"/>
      <c r="N44" s="927"/>
      <c r="O44" s="930"/>
      <c r="P44" s="931"/>
      <c r="Q44" s="421"/>
    </row>
    <row r="45" spans="1:36" s="421" customFormat="1" ht="165.6" customHeight="1" x14ac:dyDescent="1.6">
      <c r="A45" s="964" t="s">
        <v>328</v>
      </c>
      <c r="B45" s="965"/>
      <c r="C45" s="966"/>
      <c r="D45" s="967" t="s">
        <v>556</v>
      </c>
      <c r="E45" s="967"/>
      <c r="F45" s="921" t="s">
        <v>78</v>
      </c>
      <c r="G45" s="921"/>
      <c r="H45" s="939" t="s">
        <v>152</v>
      </c>
      <c r="I45" s="942"/>
      <c r="J45" s="968" t="s">
        <v>713</v>
      </c>
      <c r="K45" s="969"/>
      <c r="L45" s="969"/>
      <c r="M45" s="969"/>
      <c r="N45" s="970"/>
      <c r="O45" s="939" t="s">
        <v>791</v>
      </c>
      <c r="P45" s="971"/>
      <c r="Q45" s="432"/>
    </row>
    <row r="46" spans="1:36" s="437" customFormat="1" ht="237.6" customHeight="1" thickBot="1" x14ac:dyDescent="1.65">
      <c r="A46" s="972" t="s">
        <v>629</v>
      </c>
      <c r="B46" s="973"/>
      <c r="C46" s="973"/>
      <c r="D46" s="398" t="s">
        <v>628</v>
      </c>
      <c r="E46" s="398"/>
      <c r="F46" s="398" t="s">
        <v>628</v>
      </c>
      <c r="G46" s="433"/>
      <c r="H46" s="398" t="s">
        <v>64</v>
      </c>
      <c r="I46" s="434"/>
      <c r="J46" s="398" t="s">
        <v>64</v>
      </c>
      <c r="K46" s="402" t="s">
        <v>787</v>
      </c>
      <c r="L46" s="947" t="s">
        <v>788</v>
      </c>
      <c r="M46" s="947"/>
      <c r="N46" s="461" t="s">
        <v>479</v>
      </c>
      <c r="O46" s="461" t="s">
        <v>64</v>
      </c>
      <c r="P46" s="435"/>
      <c r="Q46" s="436"/>
    </row>
    <row r="47" spans="1:36" s="421" customFormat="1" ht="135.6" customHeight="1" thickTop="1" thickBot="1" x14ac:dyDescent="1.65">
      <c r="A47" s="396"/>
      <c r="B47" s="397"/>
      <c r="C47" s="397"/>
      <c r="D47" s="434"/>
      <c r="E47" s="434"/>
      <c r="F47" s="434"/>
      <c r="G47" s="434"/>
      <c r="H47" s="434"/>
      <c r="I47" s="434"/>
      <c r="J47" s="434"/>
      <c r="K47" s="434"/>
      <c r="L47" s="948" t="s">
        <v>29</v>
      </c>
      <c r="M47" s="949"/>
      <c r="N47" s="949"/>
      <c r="O47" s="949"/>
      <c r="P47" s="950"/>
      <c r="Q47" s="432"/>
    </row>
    <row r="48" spans="1:36" s="421" customFormat="1" ht="173.45" customHeight="1" thickTop="1" thickBot="1" x14ac:dyDescent="1.65">
      <c r="A48" s="396"/>
      <c r="B48" s="397"/>
      <c r="C48" s="397"/>
      <c r="D48" s="434"/>
      <c r="E48" s="951" t="s">
        <v>222</v>
      </c>
      <c r="F48" s="952"/>
      <c r="G48" s="953"/>
      <c r="H48" s="434"/>
      <c r="I48" s="434"/>
      <c r="J48" s="434"/>
      <c r="K48" s="434"/>
      <c r="L48" s="954" t="s">
        <v>516</v>
      </c>
      <c r="M48" s="955"/>
      <c r="N48" s="955"/>
      <c r="O48" s="955"/>
      <c r="P48" s="956"/>
      <c r="Q48" s="432"/>
    </row>
    <row r="49" spans="1:20" s="437" customFormat="1" ht="127.9" customHeight="1" thickTop="1" x14ac:dyDescent="1.6">
      <c r="A49" s="399"/>
      <c r="B49" s="400"/>
      <c r="C49" s="400"/>
      <c r="D49" s="401"/>
      <c r="E49" s="951" t="s">
        <v>153</v>
      </c>
      <c r="F49" s="952"/>
      <c r="G49" s="953"/>
      <c r="H49" s="434"/>
      <c r="I49" s="398"/>
      <c r="J49" s="398"/>
      <c r="K49" s="434"/>
      <c r="L49" s="957" t="s">
        <v>517</v>
      </c>
      <c r="M49" s="958"/>
      <c r="N49" s="958"/>
      <c r="O49" s="958"/>
      <c r="P49" s="959"/>
      <c r="Q49" s="436"/>
    </row>
    <row r="50" spans="1:20" s="421" customFormat="1" ht="173.45" customHeight="1" thickBot="1" x14ac:dyDescent="1.65">
      <c r="A50" s="438"/>
      <c r="B50" s="439"/>
      <c r="C50" s="439"/>
      <c r="D50" s="440"/>
      <c r="E50" s="398" t="s">
        <v>30</v>
      </c>
      <c r="F50" s="418"/>
      <c r="G50" s="441"/>
      <c r="H50" s="434"/>
      <c r="I50" s="441"/>
      <c r="J50" s="441"/>
      <c r="K50" s="434"/>
      <c r="L50" s="960"/>
      <c r="M50" s="961"/>
      <c r="N50" s="961"/>
      <c r="O50" s="962"/>
      <c r="P50" s="963"/>
      <c r="Q50" s="432"/>
    </row>
    <row r="51" spans="1:20" s="417" customFormat="1" ht="246" customHeight="1" thickTop="1" thickBot="1" x14ac:dyDescent="1.65">
      <c r="A51" s="945" t="s">
        <v>679</v>
      </c>
      <c r="B51" s="946"/>
      <c r="C51" s="946"/>
      <c r="D51" s="946"/>
      <c r="E51" s="946"/>
      <c r="F51" s="946"/>
      <c r="G51" s="946"/>
      <c r="H51" s="946"/>
      <c r="I51" s="946"/>
      <c r="J51" s="946"/>
      <c r="K51" s="442"/>
      <c r="L51" s="442">
        <f>L38</f>
        <v>22192650</v>
      </c>
      <c r="M51" s="442"/>
      <c r="N51" s="443">
        <f>N38</f>
        <v>3385457.1000000006</v>
      </c>
      <c r="O51" s="462">
        <f>O38</f>
        <v>18807192.899999999</v>
      </c>
      <c r="P51" s="480"/>
    </row>
    <row r="52" spans="1:20" s="449" customFormat="1" ht="274.89999999999998" customHeight="1" thickTop="1" thickBot="1" x14ac:dyDescent="1.65">
      <c r="A52" s="394">
        <v>20</v>
      </c>
      <c r="B52" s="986" t="s">
        <v>663</v>
      </c>
      <c r="C52" s="987"/>
      <c r="D52" s="406" t="s">
        <v>33</v>
      </c>
      <c r="E52" s="406">
        <v>72</v>
      </c>
      <c r="F52" s="444">
        <f t="shared" ref="F52:F65" si="15">E52*54</f>
        <v>3888</v>
      </c>
      <c r="G52" s="974">
        <v>30</v>
      </c>
      <c r="H52" s="975"/>
      <c r="I52" s="406">
        <v>3888</v>
      </c>
      <c r="J52" s="406">
        <f t="shared" ref="J52:J68" si="16">K52-I52</f>
        <v>0</v>
      </c>
      <c r="K52" s="445">
        <f>54*E52</f>
        <v>3888</v>
      </c>
      <c r="L52" s="446">
        <f t="shared" ref="L52:L65" si="17">K52*G52</f>
        <v>116640</v>
      </c>
      <c r="M52" s="408">
        <v>0.97</v>
      </c>
      <c r="N52" s="446">
        <f t="shared" ref="N52:N68" si="18">L52*(1-M52)</f>
        <v>3499.200000000003</v>
      </c>
      <c r="O52" s="446">
        <f t="shared" ref="O52:O68" si="19">L52-N52</f>
        <v>113140.8</v>
      </c>
      <c r="P52" s="447"/>
      <c r="Q52" s="448"/>
    </row>
    <row r="53" spans="1:20" s="449" customFormat="1" ht="274.89999999999998" customHeight="1" thickTop="1" thickBot="1" x14ac:dyDescent="1.65">
      <c r="A53" s="394">
        <v>21</v>
      </c>
      <c r="B53" s="986" t="s">
        <v>665</v>
      </c>
      <c r="C53" s="987"/>
      <c r="D53" s="406" t="s">
        <v>33</v>
      </c>
      <c r="E53" s="406">
        <v>120</v>
      </c>
      <c r="F53" s="444">
        <f t="shared" si="15"/>
        <v>6480</v>
      </c>
      <c r="G53" s="974">
        <v>35</v>
      </c>
      <c r="H53" s="975"/>
      <c r="I53" s="406">
        <v>6480</v>
      </c>
      <c r="J53" s="406">
        <f t="shared" si="16"/>
        <v>0</v>
      </c>
      <c r="K53" s="445">
        <f>54*E53</f>
        <v>6480</v>
      </c>
      <c r="L53" s="446">
        <f t="shared" si="17"/>
        <v>226800</v>
      </c>
      <c r="M53" s="408">
        <v>0.97</v>
      </c>
      <c r="N53" s="446">
        <f t="shared" si="18"/>
        <v>6804.0000000000064</v>
      </c>
      <c r="O53" s="446">
        <f t="shared" si="19"/>
        <v>219996</v>
      </c>
      <c r="P53" s="447"/>
      <c r="Q53" s="448"/>
    </row>
    <row r="54" spans="1:20" s="449" customFormat="1" ht="274.89999999999998" customHeight="1" thickTop="1" thickBot="1" x14ac:dyDescent="1.65">
      <c r="A54" s="394">
        <v>22</v>
      </c>
      <c r="B54" s="986" t="s">
        <v>666</v>
      </c>
      <c r="C54" s="987"/>
      <c r="D54" s="406" t="s">
        <v>33</v>
      </c>
      <c r="E54" s="406">
        <v>24</v>
      </c>
      <c r="F54" s="444">
        <f t="shared" si="15"/>
        <v>1296</v>
      </c>
      <c r="G54" s="974">
        <v>40</v>
      </c>
      <c r="H54" s="975"/>
      <c r="I54" s="406">
        <v>1296</v>
      </c>
      <c r="J54" s="406">
        <f t="shared" si="16"/>
        <v>0</v>
      </c>
      <c r="K54" s="445">
        <f>54*E54</f>
        <v>1296</v>
      </c>
      <c r="L54" s="446">
        <f t="shared" si="17"/>
        <v>51840</v>
      </c>
      <c r="M54" s="408">
        <v>0.97</v>
      </c>
      <c r="N54" s="446">
        <f t="shared" si="18"/>
        <v>1555.2000000000014</v>
      </c>
      <c r="O54" s="446">
        <f t="shared" si="19"/>
        <v>50284.799999999996</v>
      </c>
      <c r="P54" s="447"/>
      <c r="Q54" s="448"/>
    </row>
    <row r="55" spans="1:20" s="449" customFormat="1" ht="274.89999999999998" customHeight="1" thickTop="1" thickBot="1" x14ac:dyDescent="1.65">
      <c r="A55" s="394">
        <v>23</v>
      </c>
      <c r="B55" s="986" t="s">
        <v>667</v>
      </c>
      <c r="C55" s="987"/>
      <c r="D55" s="406" t="s">
        <v>33</v>
      </c>
      <c r="E55" s="406">
        <v>48</v>
      </c>
      <c r="F55" s="444">
        <f t="shared" si="15"/>
        <v>2592</v>
      </c>
      <c r="G55" s="974">
        <v>30</v>
      </c>
      <c r="H55" s="975"/>
      <c r="I55" s="406">
        <v>2592</v>
      </c>
      <c r="J55" s="406">
        <f t="shared" si="16"/>
        <v>0</v>
      </c>
      <c r="K55" s="445">
        <f>54*E55</f>
        <v>2592</v>
      </c>
      <c r="L55" s="446">
        <f t="shared" si="17"/>
        <v>77760</v>
      </c>
      <c r="M55" s="408">
        <v>0.97</v>
      </c>
      <c r="N55" s="446">
        <f t="shared" si="18"/>
        <v>2332.800000000002</v>
      </c>
      <c r="O55" s="446">
        <f t="shared" si="19"/>
        <v>75427.199999999997</v>
      </c>
      <c r="P55" s="447"/>
      <c r="Q55" s="448"/>
    </row>
    <row r="56" spans="1:20" s="449" customFormat="1" ht="274.89999999999998" customHeight="1" thickTop="1" thickBot="1" x14ac:dyDescent="1.65">
      <c r="A56" s="394">
        <v>24</v>
      </c>
      <c r="B56" s="986" t="s">
        <v>668</v>
      </c>
      <c r="C56" s="987"/>
      <c r="D56" s="406" t="s">
        <v>33</v>
      </c>
      <c r="E56" s="406">
        <v>30</v>
      </c>
      <c r="F56" s="444">
        <f t="shared" si="15"/>
        <v>1620</v>
      </c>
      <c r="G56" s="974">
        <v>30</v>
      </c>
      <c r="H56" s="975"/>
      <c r="I56" s="406">
        <v>1620</v>
      </c>
      <c r="J56" s="406">
        <f t="shared" si="16"/>
        <v>0</v>
      </c>
      <c r="K56" s="445">
        <f>54*E56</f>
        <v>1620</v>
      </c>
      <c r="L56" s="446">
        <f t="shared" si="17"/>
        <v>48600</v>
      </c>
      <c r="M56" s="408">
        <v>0.97</v>
      </c>
      <c r="N56" s="446">
        <f t="shared" si="18"/>
        <v>1458.0000000000014</v>
      </c>
      <c r="O56" s="446">
        <f t="shared" si="19"/>
        <v>47142</v>
      </c>
      <c r="P56" s="447"/>
      <c r="Q56" s="448"/>
    </row>
    <row r="57" spans="1:20" s="449" customFormat="1" ht="274.89999999999998" customHeight="1" thickTop="1" thickBot="1" x14ac:dyDescent="1.65">
      <c r="A57" s="394">
        <v>25</v>
      </c>
      <c r="B57" s="986" t="s">
        <v>669</v>
      </c>
      <c r="C57" s="987"/>
      <c r="D57" s="406" t="s">
        <v>33</v>
      </c>
      <c r="E57" s="406">
        <v>336</v>
      </c>
      <c r="F57" s="444">
        <f t="shared" si="15"/>
        <v>18144</v>
      </c>
      <c r="G57" s="974">
        <v>30</v>
      </c>
      <c r="H57" s="975"/>
      <c r="I57" s="406">
        <v>22680</v>
      </c>
      <c r="J57" s="406">
        <f t="shared" si="16"/>
        <v>0</v>
      </c>
      <c r="K57" s="445">
        <f>54*420</f>
        <v>22680</v>
      </c>
      <c r="L57" s="446">
        <f t="shared" si="17"/>
        <v>680400</v>
      </c>
      <c r="M57" s="408">
        <v>0.97</v>
      </c>
      <c r="N57" s="446">
        <f t="shared" si="18"/>
        <v>20412.000000000018</v>
      </c>
      <c r="O57" s="446">
        <f t="shared" si="19"/>
        <v>659988</v>
      </c>
      <c r="P57" s="447"/>
      <c r="Q57" s="448"/>
    </row>
    <row r="58" spans="1:20" s="449" customFormat="1" ht="274.89999999999998" customHeight="1" thickTop="1" thickBot="1" x14ac:dyDescent="1.65">
      <c r="A58" s="394">
        <v>26</v>
      </c>
      <c r="B58" s="986" t="s">
        <v>670</v>
      </c>
      <c r="C58" s="987"/>
      <c r="D58" s="406" t="s">
        <v>33</v>
      </c>
      <c r="E58" s="406">
        <v>48</v>
      </c>
      <c r="F58" s="444">
        <f t="shared" si="15"/>
        <v>2592</v>
      </c>
      <c r="G58" s="974">
        <v>70</v>
      </c>
      <c r="H58" s="975"/>
      <c r="I58" s="406">
        <v>2592</v>
      </c>
      <c r="J58" s="406">
        <f t="shared" si="16"/>
        <v>0</v>
      </c>
      <c r="K58" s="445">
        <f>54*E58</f>
        <v>2592</v>
      </c>
      <c r="L58" s="446">
        <f t="shared" si="17"/>
        <v>181440</v>
      </c>
      <c r="M58" s="408">
        <v>0.97</v>
      </c>
      <c r="N58" s="446">
        <f t="shared" si="18"/>
        <v>5443.2000000000053</v>
      </c>
      <c r="O58" s="446">
        <f t="shared" si="19"/>
        <v>175996.79999999999</v>
      </c>
      <c r="P58" s="447"/>
      <c r="Q58" s="448"/>
    </row>
    <row r="59" spans="1:20" s="449" customFormat="1" ht="274.89999999999998" customHeight="1" thickTop="1" thickBot="1" x14ac:dyDescent="1.65">
      <c r="A59" s="394">
        <v>27</v>
      </c>
      <c r="B59" s="986" t="s">
        <v>671</v>
      </c>
      <c r="C59" s="987"/>
      <c r="D59" s="406" t="s">
        <v>33</v>
      </c>
      <c r="E59" s="406">
        <v>48</v>
      </c>
      <c r="F59" s="444">
        <f t="shared" si="15"/>
        <v>2592</v>
      </c>
      <c r="G59" s="974">
        <v>80</v>
      </c>
      <c r="H59" s="975"/>
      <c r="I59" s="406">
        <v>2592</v>
      </c>
      <c r="J59" s="406">
        <f t="shared" si="16"/>
        <v>0</v>
      </c>
      <c r="K59" s="445">
        <f>54*E59</f>
        <v>2592</v>
      </c>
      <c r="L59" s="446">
        <f t="shared" si="17"/>
        <v>207360</v>
      </c>
      <c r="M59" s="408">
        <v>0.97</v>
      </c>
      <c r="N59" s="446">
        <f t="shared" si="18"/>
        <v>6220.8000000000056</v>
      </c>
      <c r="O59" s="446">
        <f t="shared" si="19"/>
        <v>201139.19999999998</v>
      </c>
      <c r="P59" s="447"/>
      <c r="Q59" s="448"/>
    </row>
    <row r="60" spans="1:20" s="449" customFormat="1" ht="274.89999999999998" customHeight="1" thickTop="1" thickBot="1" x14ac:dyDescent="1.65">
      <c r="A60" s="394">
        <v>28</v>
      </c>
      <c r="B60" s="986" t="s">
        <v>672</v>
      </c>
      <c r="C60" s="987"/>
      <c r="D60" s="406" t="s">
        <v>33</v>
      </c>
      <c r="E60" s="406">
        <v>24</v>
      </c>
      <c r="F60" s="444">
        <f t="shared" si="15"/>
        <v>1296</v>
      </c>
      <c r="G60" s="974">
        <v>85</v>
      </c>
      <c r="H60" s="975"/>
      <c r="I60" s="406">
        <v>1620</v>
      </c>
      <c r="J60" s="406">
        <f t="shared" si="16"/>
        <v>0</v>
      </c>
      <c r="K60" s="445">
        <f>54*30</f>
        <v>1620</v>
      </c>
      <c r="L60" s="446">
        <f t="shared" si="17"/>
        <v>137700</v>
      </c>
      <c r="M60" s="408">
        <v>0.97</v>
      </c>
      <c r="N60" s="446">
        <f t="shared" si="18"/>
        <v>4131.0000000000036</v>
      </c>
      <c r="O60" s="446">
        <f t="shared" si="19"/>
        <v>133569</v>
      </c>
      <c r="P60" s="447"/>
      <c r="Q60" s="448"/>
    </row>
    <row r="61" spans="1:20" s="449" customFormat="1" ht="274.89999999999998" customHeight="1" thickTop="1" thickBot="1" x14ac:dyDescent="1.65">
      <c r="A61" s="394">
        <v>29</v>
      </c>
      <c r="B61" s="986" t="s">
        <v>680</v>
      </c>
      <c r="C61" s="987"/>
      <c r="D61" s="406" t="s">
        <v>33</v>
      </c>
      <c r="E61" s="406">
        <v>41</v>
      </c>
      <c r="F61" s="444">
        <f t="shared" si="15"/>
        <v>2214</v>
      </c>
      <c r="G61" s="974">
        <v>85</v>
      </c>
      <c r="H61" s="975"/>
      <c r="I61" s="406">
        <v>2214</v>
      </c>
      <c r="J61" s="406">
        <f t="shared" si="16"/>
        <v>0</v>
      </c>
      <c r="K61" s="445">
        <f>54*E61</f>
        <v>2214</v>
      </c>
      <c r="L61" s="446">
        <f t="shared" si="17"/>
        <v>188190</v>
      </c>
      <c r="M61" s="408">
        <v>0.97</v>
      </c>
      <c r="N61" s="446">
        <f t="shared" si="18"/>
        <v>5645.7000000000053</v>
      </c>
      <c r="O61" s="446">
        <f t="shared" si="19"/>
        <v>182544.3</v>
      </c>
      <c r="P61" s="447"/>
      <c r="Q61" s="448"/>
    </row>
    <row r="62" spans="1:20" s="449" customFormat="1" ht="274.89999999999998" customHeight="1" thickTop="1" thickBot="1" x14ac:dyDescent="1.65">
      <c r="A62" s="394">
        <v>30</v>
      </c>
      <c r="B62" s="986" t="s">
        <v>681</v>
      </c>
      <c r="C62" s="987"/>
      <c r="D62" s="406" t="s">
        <v>33</v>
      </c>
      <c r="E62" s="406">
        <v>2</v>
      </c>
      <c r="F62" s="444">
        <f t="shared" si="15"/>
        <v>108</v>
      </c>
      <c r="G62" s="974">
        <v>525</v>
      </c>
      <c r="H62" s="975"/>
      <c r="I62" s="406">
        <v>108</v>
      </c>
      <c r="J62" s="406">
        <f t="shared" si="16"/>
        <v>0</v>
      </c>
      <c r="K62" s="445">
        <f>54*E62</f>
        <v>108</v>
      </c>
      <c r="L62" s="446">
        <f t="shared" si="17"/>
        <v>56700</v>
      </c>
      <c r="M62" s="408">
        <v>0.97</v>
      </c>
      <c r="N62" s="446">
        <f t="shared" si="18"/>
        <v>1701.0000000000016</v>
      </c>
      <c r="O62" s="446">
        <f t="shared" si="19"/>
        <v>54999</v>
      </c>
      <c r="P62" s="447"/>
      <c r="Q62" s="448"/>
    </row>
    <row r="63" spans="1:20" s="449" customFormat="1" ht="274.89999999999998" customHeight="1" thickTop="1" thickBot="1" x14ac:dyDescent="1.65">
      <c r="A63" s="394">
        <v>31</v>
      </c>
      <c r="B63" s="986" t="s">
        <v>673</v>
      </c>
      <c r="C63" s="987"/>
      <c r="D63" s="406" t="s">
        <v>33</v>
      </c>
      <c r="E63" s="406">
        <v>24</v>
      </c>
      <c r="F63" s="444">
        <f t="shared" si="15"/>
        <v>1296</v>
      </c>
      <c r="G63" s="974">
        <v>85</v>
      </c>
      <c r="H63" s="975"/>
      <c r="I63" s="406">
        <v>1296</v>
      </c>
      <c r="J63" s="406">
        <f t="shared" si="16"/>
        <v>0</v>
      </c>
      <c r="K63" s="445">
        <f>54*E63</f>
        <v>1296</v>
      </c>
      <c r="L63" s="446">
        <f t="shared" si="17"/>
        <v>110160</v>
      </c>
      <c r="M63" s="408">
        <v>0.97</v>
      </c>
      <c r="N63" s="446">
        <f t="shared" si="18"/>
        <v>3304.8000000000029</v>
      </c>
      <c r="O63" s="446">
        <f t="shared" si="19"/>
        <v>106855.2</v>
      </c>
      <c r="P63" s="447"/>
      <c r="Q63" s="448"/>
    </row>
    <row r="64" spans="1:20" s="449" customFormat="1" ht="274.89999999999998" customHeight="1" thickTop="1" thickBot="1" x14ac:dyDescent="1.65">
      <c r="A64" s="394">
        <v>32</v>
      </c>
      <c r="B64" s="986" t="s">
        <v>270</v>
      </c>
      <c r="C64" s="987" t="s">
        <v>262</v>
      </c>
      <c r="D64" s="406" t="s">
        <v>34</v>
      </c>
      <c r="E64" s="406">
        <v>1</v>
      </c>
      <c r="F64" s="444">
        <f t="shared" si="15"/>
        <v>54</v>
      </c>
      <c r="G64" s="974">
        <v>17100</v>
      </c>
      <c r="H64" s="975"/>
      <c r="I64" s="406">
        <v>54</v>
      </c>
      <c r="J64" s="406">
        <f t="shared" si="16"/>
        <v>0</v>
      </c>
      <c r="K64" s="445">
        <v>54</v>
      </c>
      <c r="L64" s="446">
        <f t="shared" si="17"/>
        <v>923400</v>
      </c>
      <c r="M64" s="408">
        <v>0.97</v>
      </c>
      <c r="N64" s="446">
        <f t="shared" si="18"/>
        <v>27702.000000000025</v>
      </c>
      <c r="O64" s="446">
        <f t="shared" si="19"/>
        <v>895698</v>
      </c>
      <c r="P64" s="447"/>
      <c r="Q64" s="448">
        <f>SUM(K33:K64)</f>
        <v>78840</v>
      </c>
      <c r="R64" s="449">
        <f>K64/E64</f>
        <v>54</v>
      </c>
      <c r="S64" s="449">
        <f t="shared" ref="S64" si="20">M64*K64</f>
        <v>52.379999999999995</v>
      </c>
      <c r="T64" s="449">
        <f>(O64-162854)/G64</f>
        <v>42.856374269005848</v>
      </c>
    </row>
    <row r="65" spans="1:20" s="449" customFormat="1" ht="274.89999999999998" customHeight="1" thickTop="1" thickBot="1" x14ac:dyDescent="1.65">
      <c r="A65" s="976">
        <v>33</v>
      </c>
      <c r="B65" s="988" t="s">
        <v>271</v>
      </c>
      <c r="C65" s="588" t="s">
        <v>262</v>
      </c>
      <c r="D65" s="978" t="s">
        <v>33</v>
      </c>
      <c r="E65" s="978">
        <v>24</v>
      </c>
      <c r="F65" s="980">
        <f t="shared" si="15"/>
        <v>1296</v>
      </c>
      <c r="G65" s="982">
        <v>545</v>
      </c>
      <c r="H65" s="983"/>
      <c r="I65" s="406">
        <v>0</v>
      </c>
      <c r="J65" s="406">
        <f t="shared" si="16"/>
        <v>0</v>
      </c>
      <c r="K65" s="445">
        <f>F65-K66</f>
        <v>0</v>
      </c>
      <c r="L65" s="446">
        <f t="shared" si="17"/>
        <v>0</v>
      </c>
      <c r="M65" s="408">
        <v>0.97</v>
      </c>
      <c r="N65" s="446">
        <f t="shared" si="18"/>
        <v>0</v>
      </c>
      <c r="O65" s="446">
        <f t="shared" si="19"/>
        <v>0</v>
      </c>
      <c r="P65" s="447"/>
      <c r="Q65" s="448">
        <f>SUM(K65:K65)</f>
        <v>0</v>
      </c>
      <c r="R65" s="449">
        <f>K65/E65</f>
        <v>0</v>
      </c>
      <c r="S65" s="449">
        <f t="shared" ref="S65" si="21">M65*K65</f>
        <v>0</v>
      </c>
      <c r="T65" s="449">
        <f>(O65-125894)/G65</f>
        <v>-230.99816513761468</v>
      </c>
    </row>
    <row r="66" spans="1:20" s="449" customFormat="1" ht="274.89999999999998" customHeight="1" thickBot="1" x14ac:dyDescent="1.65">
      <c r="A66" s="977"/>
      <c r="B66" s="989"/>
      <c r="C66" s="588" t="s">
        <v>259</v>
      </c>
      <c r="D66" s="979"/>
      <c r="E66" s="979"/>
      <c r="F66" s="981"/>
      <c r="G66" s="984"/>
      <c r="H66" s="985"/>
      <c r="I66" s="406">
        <v>1296</v>
      </c>
      <c r="J66" s="406">
        <f t="shared" si="16"/>
        <v>0</v>
      </c>
      <c r="K66" s="445">
        <f>54*24</f>
        <v>1296</v>
      </c>
      <c r="L66" s="446">
        <f>K66*G65</f>
        <v>706320</v>
      </c>
      <c r="M66" s="408">
        <v>0.97</v>
      </c>
      <c r="N66" s="446">
        <f t="shared" si="18"/>
        <v>21189.60000000002</v>
      </c>
      <c r="O66" s="446">
        <f t="shared" si="19"/>
        <v>685130.4</v>
      </c>
      <c r="P66" s="447"/>
      <c r="Q66" s="448"/>
    </row>
    <row r="67" spans="1:20" s="449" customFormat="1" ht="274.89999999999998" customHeight="1" thickTop="1" thickBot="1" x14ac:dyDescent="1.65">
      <c r="A67" s="394">
        <v>34</v>
      </c>
      <c r="B67" s="986" t="s">
        <v>674</v>
      </c>
      <c r="C67" s="987"/>
      <c r="D67" s="406" t="s">
        <v>33</v>
      </c>
      <c r="E67" s="406">
        <v>24</v>
      </c>
      <c r="F67" s="444">
        <f>E67*54</f>
        <v>1296</v>
      </c>
      <c r="G67" s="974">
        <v>30</v>
      </c>
      <c r="H67" s="975"/>
      <c r="I67" s="406">
        <v>1296</v>
      </c>
      <c r="J67" s="406">
        <f t="shared" si="16"/>
        <v>0</v>
      </c>
      <c r="K67" s="445">
        <f>54*E67</f>
        <v>1296</v>
      </c>
      <c r="L67" s="446">
        <f>K67*G67</f>
        <v>38880</v>
      </c>
      <c r="M67" s="408">
        <v>0.97</v>
      </c>
      <c r="N67" s="446">
        <f t="shared" si="18"/>
        <v>1166.400000000001</v>
      </c>
      <c r="O67" s="446">
        <f t="shared" si="19"/>
        <v>37713.599999999999</v>
      </c>
      <c r="P67" s="447"/>
      <c r="Q67" s="448"/>
    </row>
    <row r="68" spans="1:20" s="449" customFormat="1" ht="274.89999999999998" customHeight="1" thickTop="1" thickBot="1" x14ac:dyDescent="1.65">
      <c r="A68" s="394">
        <v>35</v>
      </c>
      <c r="B68" s="986" t="s">
        <v>675</v>
      </c>
      <c r="C68" s="987"/>
      <c r="D68" s="406" t="s">
        <v>33</v>
      </c>
      <c r="E68" s="406">
        <v>24</v>
      </c>
      <c r="F68" s="444">
        <f>E68*54</f>
        <v>1296</v>
      </c>
      <c r="G68" s="974">
        <v>30</v>
      </c>
      <c r="H68" s="975"/>
      <c r="I68" s="406">
        <v>1296</v>
      </c>
      <c r="J68" s="406">
        <f t="shared" si="16"/>
        <v>0</v>
      </c>
      <c r="K68" s="445">
        <f>54*E68</f>
        <v>1296</v>
      </c>
      <c r="L68" s="446">
        <f>K68*G68</f>
        <v>38880</v>
      </c>
      <c r="M68" s="408">
        <v>0.97</v>
      </c>
      <c r="N68" s="446">
        <f t="shared" si="18"/>
        <v>1166.400000000001</v>
      </c>
      <c r="O68" s="446">
        <f t="shared" si="19"/>
        <v>37713.599999999999</v>
      </c>
      <c r="P68" s="447"/>
      <c r="Q68" s="448"/>
      <c r="R68" s="449">
        <f>O69*0.97-150000</f>
        <v>21659994.875999998</v>
      </c>
    </row>
    <row r="69" spans="1:20" s="417" customFormat="1" ht="240" customHeight="1" thickBot="1" x14ac:dyDescent="1.65">
      <c r="A69" s="945" t="s">
        <v>272</v>
      </c>
      <c r="B69" s="946"/>
      <c r="C69" s="946"/>
      <c r="D69" s="946"/>
      <c r="E69" s="946"/>
      <c r="F69" s="946"/>
      <c r="G69" s="946"/>
      <c r="H69" s="946"/>
      <c r="I69" s="946"/>
      <c r="J69" s="946"/>
      <c r="K69" s="442"/>
      <c r="L69" s="442">
        <f>SUM(L51:L68)</f>
        <v>25983720</v>
      </c>
      <c r="M69" s="442"/>
      <c r="N69" s="443">
        <f>SUM(N51:N68)</f>
        <v>3499189.2000000007</v>
      </c>
      <c r="O69" s="443">
        <f>SUM(O51:O68)</f>
        <v>22484530.800000001</v>
      </c>
      <c r="P69" s="479"/>
      <c r="R69" s="417">
        <f>L69-N69</f>
        <v>22484530.800000001</v>
      </c>
    </row>
    <row r="70" spans="1:20" s="421" customFormat="1" ht="150" customHeight="1" thickTop="1" x14ac:dyDescent="1.6">
      <c r="A70" s="934" t="s">
        <v>24</v>
      </c>
      <c r="B70" s="935"/>
      <c r="C70" s="935"/>
      <c r="D70" s="935"/>
      <c r="E70" s="935"/>
      <c r="F70" s="935"/>
      <c r="G70" s="935"/>
      <c r="H70" s="935"/>
      <c r="I70" s="935"/>
      <c r="J70" s="418"/>
      <c r="K70" s="418"/>
      <c r="L70" s="458"/>
      <c r="M70" s="418"/>
      <c r="N70" s="458"/>
      <c r="O70" s="458"/>
      <c r="P70" s="419"/>
      <c r="Q70" s="420"/>
      <c r="R70" s="630">
        <f>O69-R69</f>
        <v>0</v>
      </c>
    </row>
    <row r="71" spans="1:20" s="425" customFormat="1" ht="83.45" customHeight="1" x14ac:dyDescent="1.6">
      <c r="A71" s="422"/>
      <c r="B71" s="423" t="s">
        <v>25</v>
      </c>
      <c r="C71" s="423"/>
      <c r="D71" s="936" t="s">
        <v>26</v>
      </c>
      <c r="E71" s="936"/>
      <c r="F71" s="936"/>
      <c r="G71" s="936"/>
      <c r="H71" s="936"/>
      <c r="I71" s="936"/>
      <c r="J71" s="936"/>
      <c r="K71" s="936"/>
      <c r="L71" s="936"/>
      <c r="M71" s="936"/>
      <c r="N71" s="936"/>
      <c r="O71" s="936"/>
      <c r="P71" s="937"/>
      <c r="Q71" s="420"/>
      <c r="R71" s="424"/>
    </row>
    <row r="72" spans="1:20" s="425" customFormat="1" ht="108" customHeight="1" x14ac:dyDescent="1.6">
      <c r="A72" s="426"/>
      <c r="B72" s="427"/>
      <c r="C72" s="427"/>
      <c r="D72" s="428"/>
      <c r="E72" s="428"/>
      <c r="F72" s="428"/>
      <c r="G72" s="428"/>
      <c r="H72" s="429"/>
      <c r="I72" s="428"/>
      <c r="J72" s="428"/>
      <c r="K72" s="428"/>
      <c r="L72" s="459"/>
      <c r="M72" s="428"/>
      <c r="N72" s="459"/>
      <c r="O72" s="459"/>
      <c r="P72" s="430"/>
      <c r="Q72" s="420"/>
      <c r="R72" s="424"/>
    </row>
    <row r="73" spans="1:20" s="425" customFormat="1" ht="157.15" customHeight="1" x14ac:dyDescent="1.6">
      <c r="A73" s="938"/>
      <c r="B73" s="939"/>
      <c r="C73" s="431"/>
      <c r="D73" s="940" t="s">
        <v>61</v>
      </c>
      <c r="E73" s="941"/>
      <c r="F73" s="941"/>
      <c r="G73" s="941"/>
      <c r="H73" s="941"/>
      <c r="I73" s="942"/>
      <c r="J73" s="943" t="s">
        <v>273</v>
      </c>
      <c r="K73" s="921"/>
      <c r="L73" s="921"/>
      <c r="M73" s="921"/>
      <c r="N73" s="921"/>
      <c r="O73" s="921"/>
      <c r="P73" s="944"/>
      <c r="Q73" s="432"/>
      <c r="R73" s="424"/>
    </row>
    <row r="74" spans="1:20" s="425" customFormat="1" ht="99.95" customHeight="1" x14ac:dyDescent="1.6">
      <c r="A74" s="915" t="s">
        <v>274</v>
      </c>
      <c r="B74" s="916"/>
      <c r="C74" s="917"/>
      <c r="D74" s="921" t="s">
        <v>712</v>
      </c>
      <c r="E74" s="921"/>
      <c r="F74" s="921" t="s">
        <v>63</v>
      </c>
      <c r="G74" s="921"/>
      <c r="H74" s="921" t="s">
        <v>557</v>
      </c>
      <c r="I74" s="921"/>
      <c r="J74" s="922" t="s">
        <v>789</v>
      </c>
      <c r="K74" s="923"/>
      <c r="L74" s="923"/>
      <c r="M74" s="923"/>
      <c r="N74" s="924"/>
      <c r="O74" s="921" t="s">
        <v>124</v>
      </c>
      <c r="P74" s="944"/>
      <c r="Q74" s="432"/>
    </row>
    <row r="75" spans="1:20" s="425" customFormat="1" ht="48.6" customHeight="1" x14ac:dyDescent="1.6">
      <c r="A75" s="918"/>
      <c r="B75" s="919"/>
      <c r="C75" s="920"/>
      <c r="D75" s="921"/>
      <c r="E75" s="921"/>
      <c r="F75" s="921"/>
      <c r="G75" s="921"/>
      <c r="H75" s="921"/>
      <c r="I75" s="921"/>
      <c r="J75" s="925"/>
      <c r="K75" s="926"/>
      <c r="L75" s="926"/>
      <c r="M75" s="926"/>
      <c r="N75" s="927"/>
      <c r="O75" s="921"/>
      <c r="P75" s="944"/>
      <c r="Q75" s="421"/>
    </row>
    <row r="76" spans="1:20" s="421" customFormat="1" ht="249.95" customHeight="1" x14ac:dyDescent="1.6">
      <c r="A76" s="964" t="s">
        <v>328</v>
      </c>
      <c r="B76" s="965"/>
      <c r="C76" s="966"/>
      <c r="D76" s="967" t="s">
        <v>556</v>
      </c>
      <c r="E76" s="967"/>
      <c r="F76" s="921" t="s">
        <v>78</v>
      </c>
      <c r="G76" s="921"/>
      <c r="H76" s="939" t="s">
        <v>152</v>
      </c>
      <c r="I76" s="942"/>
      <c r="J76" s="968" t="s">
        <v>790</v>
      </c>
      <c r="K76" s="969"/>
      <c r="L76" s="969"/>
      <c r="M76" s="969"/>
      <c r="N76" s="970"/>
      <c r="O76" s="939" t="s">
        <v>791</v>
      </c>
      <c r="P76" s="971"/>
      <c r="Q76" s="432"/>
    </row>
    <row r="77" spans="1:20" s="437" customFormat="1" ht="237.6" customHeight="1" thickBot="1" x14ac:dyDescent="1.65">
      <c r="A77" s="972" t="s">
        <v>629</v>
      </c>
      <c r="B77" s="973"/>
      <c r="C77" s="973"/>
      <c r="D77" s="398" t="s">
        <v>628</v>
      </c>
      <c r="E77" s="398"/>
      <c r="F77" s="398" t="s">
        <v>628</v>
      </c>
      <c r="G77" s="433"/>
      <c r="H77" s="398" t="s">
        <v>64</v>
      </c>
      <c r="I77" s="434"/>
      <c r="J77" s="398" t="s">
        <v>64</v>
      </c>
      <c r="K77" s="402"/>
      <c r="L77" s="481" t="s">
        <v>686</v>
      </c>
      <c r="M77" s="450"/>
      <c r="N77" s="461" t="s">
        <v>479</v>
      </c>
      <c r="O77" s="461" t="s">
        <v>64</v>
      </c>
      <c r="P77" s="435"/>
      <c r="Q77" s="436"/>
    </row>
    <row r="78" spans="1:20" s="421" customFormat="1" ht="135.6" customHeight="1" thickTop="1" thickBot="1" x14ac:dyDescent="1.65">
      <c r="A78" s="396"/>
      <c r="B78" s="397"/>
      <c r="C78" s="397"/>
      <c r="D78" s="434"/>
      <c r="E78" s="434"/>
      <c r="F78" s="434"/>
      <c r="G78" s="434"/>
      <c r="H78" s="434"/>
      <c r="I78" s="434"/>
      <c r="J78" s="434"/>
      <c r="K78" s="434"/>
      <c r="L78" s="990" t="s">
        <v>29</v>
      </c>
      <c r="M78" s="991"/>
      <c r="N78" s="991"/>
      <c r="O78" s="991"/>
      <c r="P78" s="992"/>
      <c r="Q78" s="432"/>
    </row>
    <row r="79" spans="1:20" s="421" customFormat="1" ht="173.45" customHeight="1" thickTop="1" thickBot="1" x14ac:dyDescent="1.65">
      <c r="A79" s="396"/>
      <c r="B79" s="397"/>
      <c r="C79" s="397"/>
      <c r="D79" s="434"/>
      <c r="E79" s="951" t="s">
        <v>222</v>
      </c>
      <c r="F79" s="952"/>
      <c r="G79" s="953"/>
      <c r="H79" s="434"/>
      <c r="I79" s="434"/>
      <c r="J79" s="434"/>
      <c r="K79" s="434"/>
      <c r="L79" s="954" t="s">
        <v>516</v>
      </c>
      <c r="M79" s="955"/>
      <c r="N79" s="955"/>
      <c r="O79" s="955"/>
      <c r="P79" s="956"/>
      <c r="Q79" s="432"/>
    </row>
    <row r="80" spans="1:20" s="437" customFormat="1" ht="127.9" customHeight="1" thickTop="1" x14ac:dyDescent="1.6">
      <c r="A80" s="399"/>
      <c r="B80" s="400"/>
      <c r="C80" s="400"/>
      <c r="D80" s="401"/>
      <c r="E80" s="951" t="s">
        <v>153</v>
      </c>
      <c r="F80" s="952"/>
      <c r="G80" s="953"/>
      <c r="H80" s="434"/>
      <c r="I80" s="398"/>
      <c r="J80" s="398"/>
      <c r="K80" s="434"/>
      <c r="L80" s="957" t="s">
        <v>517</v>
      </c>
      <c r="M80" s="958"/>
      <c r="N80" s="958"/>
      <c r="O80" s="958"/>
      <c r="P80" s="959"/>
      <c r="Q80" s="436"/>
      <c r="R80" s="437" t="s">
        <v>745</v>
      </c>
    </row>
    <row r="81" spans="1:19" s="421" customFormat="1" ht="149.44999999999999" customHeight="1" thickBot="1" x14ac:dyDescent="1.65">
      <c r="A81" s="438"/>
      <c r="B81" s="439"/>
      <c r="C81" s="439"/>
      <c r="D81" s="440"/>
      <c r="E81" s="398" t="s">
        <v>30</v>
      </c>
      <c r="F81" s="418"/>
      <c r="G81" s="441"/>
      <c r="H81" s="434"/>
      <c r="I81" s="441"/>
      <c r="J81" s="441"/>
      <c r="K81" s="434"/>
      <c r="L81" s="960"/>
      <c r="M81" s="961"/>
      <c r="N81" s="961"/>
      <c r="O81" s="962"/>
      <c r="P81" s="963"/>
      <c r="Q81" s="432"/>
    </row>
    <row r="82" spans="1:19" s="417" customFormat="1" ht="342" customHeight="1" thickTop="1" thickBot="1" x14ac:dyDescent="1.65">
      <c r="A82" s="945" t="s">
        <v>679</v>
      </c>
      <c r="B82" s="946"/>
      <c r="C82" s="946"/>
      <c r="D82" s="946"/>
      <c r="E82" s="946"/>
      <c r="F82" s="946"/>
      <c r="G82" s="946"/>
      <c r="H82" s="946"/>
      <c r="I82" s="946"/>
      <c r="J82" s="946"/>
      <c r="K82" s="442"/>
      <c r="L82" s="442">
        <f>L69</f>
        <v>25983720</v>
      </c>
      <c r="M82" s="442"/>
      <c r="N82" s="443">
        <f>N69</f>
        <v>3499189.2000000007</v>
      </c>
      <c r="O82" s="462">
        <f>O69</f>
        <v>22484530.800000001</v>
      </c>
      <c r="P82" s="480"/>
    </row>
    <row r="83" spans="1:19" s="449" customFormat="1" ht="340.9" customHeight="1" thickTop="1" thickBot="1" x14ac:dyDescent="1.65">
      <c r="A83" s="732">
        <v>2</v>
      </c>
      <c r="B83" s="1009" t="s">
        <v>780</v>
      </c>
      <c r="C83" s="1010"/>
      <c r="D83" s="733" t="s">
        <v>33</v>
      </c>
      <c r="E83" s="733">
        <v>4</v>
      </c>
      <c r="F83" s="444">
        <f>E83*54</f>
        <v>216</v>
      </c>
      <c r="G83" s="974">
        <v>7200</v>
      </c>
      <c r="H83" s="975"/>
      <c r="I83" s="733">
        <v>150</v>
      </c>
      <c r="J83" s="733">
        <f>K83-I83</f>
        <v>0</v>
      </c>
      <c r="K83" s="445">
        <v>150</v>
      </c>
      <c r="L83" s="446">
        <f>K83*G83</f>
        <v>1080000</v>
      </c>
      <c r="M83" s="408">
        <v>0.3</v>
      </c>
      <c r="N83" s="446">
        <f>L83*(1-M83)</f>
        <v>756000</v>
      </c>
      <c r="O83" s="446">
        <f>L83-N83</f>
        <v>324000</v>
      </c>
      <c r="P83" s="447"/>
      <c r="Q83" s="448"/>
      <c r="R83" s="449">
        <f>L84-N84</f>
        <v>22808530.799999997</v>
      </c>
      <c r="S83" s="449">
        <f>R83-O84</f>
        <v>0</v>
      </c>
    </row>
    <row r="84" spans="1:19" s="417" customFormat="1" ht="342" customHeight="1" thickBot="1" x14ac:dyDescent="1.65">
      <c r="A84" s="945" t="s">
        <v>272</v>
      </c>
      <c r="B84" s="946"/>
      <c r="C84" s="946"/>
      <c r="D84" s="946"/>
      <c r="E84" s="946"/>
      <c r="F84" s="946"/>
      <c r="G84" s="946"/>
      <c r="H84" s="946"/>
      <c r="I84" s="946"/>
      <c r="J84" s="946"/>
      <c r="K84" s="442"/>
      <c r="L84" s="442">
        <f>L83+L82</f>
        <v>27063720</v>
      </c>
      <c r="M84" s="442"/>
      <c r="N84" s="443">
        <f>N83+N82</f>
        <v>4255189.2000000011</v>
      </c>
      <c r="O84" s="443">
        <f>O83+O82</f>
        <v>22808530.800000001</v>
      </c>
      <c r="P84" s="479"/>
      <c r="R84" s="417">
        <f>O84*0.97</f>
        <v>22124274.875999998</v>
      </c>
    </row>
    <row r="85" spans="1:19" s="421" customFormat="1" ht="150" customHeight="1" thickTop="1" x14ac:dyDescent="1.6">
      <c r="A85" s="934" t="s">
        <v>24</v>
      </c>
      <c r="B85" s="935"/>
      <c r="C85" s="935"/>
      <c r="D85" s="935"/>
      <c r="E85" s="935"/>
      <c r="F85" s="935"/>
      <c r="G85" s="935"/>
      <c r="H85" s="935"/>
      <c r="I85" s="935"/>
      <c r="J85" s="418"/>
      <c r="K85" s="418"/>
      <c r="L85" s="458"/>
      <c r="M85" s="418"/>
      <c r="N85" s="458"/>
      <c r="O85" s="458"/>
      <c r="P85" s="419"/>
      <c r="Q85" s="420"/>
      <c r="R85" s="630">
        <f>R84-300000</f>
        <v>21824274.875999998</v>
      </c>
    </row>
    <row r="86" spans="1:19" s="425" customFormat="1" ht="137.44999999999999" customHeight="1" x14ac:dyDescent="1.6">
      <c r="A86" s="730"/>
      <c r="B86" s="423" t="s">
        <v>25</v>
      </c>
      <c r="C86" s="423"/>
      <c r="D86" s="936" t="s">
        <v>26</v>
      </c>
      <c r="E86" s="936"/>
      <c r="F86" s="936"/>
      <c r="G86" s="936"/>
      <c r="H86" s="936"/>
      <c r="I86" s="936"/>
      <c r="J86" s="936"/>
      <c r="K86" s="936"/>
      <c r="L86" s="936"/>
      <c r="M86" s="936"/>
      <c r="N86" s="936"/>
      <c r="O86" s="936"/>
      <c r="P86" s="937"/>
      <c r="Q86" s="420"/>
      <c r="R86" s="424"/>
    </row>
    <row r="87" spans="1:19" s="425" customFormat="1" ht="180" customHeight="1" x14ac:dyDescent="1.6">
      <c r="A87" s="426"/>
      <c r="B87" s="427"/>
      <c r="C87" s="427"/>
      <c r="D87" s="428"/>
      <c r="E87" s="428"/>
      <c r="F87" s="428"/>
      <c r="G87" s="428"/>
      <c r="H87" s="429"/>
      <c r="I87" s="428"/>
      <c r="J87" s="428"/>
      <c r="K87" s="428"/>
      <c r="L87" s="459"/>
      <c r="M87" s="428"/>
      <c r="N87" s="459"/>
      <c r="O87" s="459"/>
      <c r="P87" s="430"/>
      <c r="Q87" s="420"/>
      <c r="R87" s="424"/>
    </row>
    <row r="88" spans="1:19" s="425" customFormat="1" ht="157.15" customHeight="1" x14ac:dyDescent="1.6">
      <c r="A88" s="938"/>
      <c r="B88" s="939"/>
      <c r="C88" s="731"/>
      <c r="D88" s="940" t="s">
        <v>61</v>
      </c>
      <c r="E88" s="941"/>
      <c r="F88" s="941"/>
      <c r="G88" s="941"/>
      <c r="H88" s="941"/>
      <c r="I88" s="942"/>
      <c r="J88" s="943" t="s">
        <v>273</v>
      </c>
      <c r="K88" s="921"/>
      <c r="L88" s="921"/>
      <c r="M88" s="921"/>
      <c r="N88" s="921"/>
      <c r="O88" s="921"/>
      <c r="P88" s="944"/>
      <c r="Q88" s="432"/>
      <c r="R88" s="424"/>
    </row>
    <row r="89" spans="1:19" s="425" customFormat="1" ht="99.95" customHeight="1" x14ac:dyDescent="1.6">
      <c r="A89" s="915" t="s">
        <v>274</v>
      </c>
      <c r="B89" s="916"/>
      <c r="C89" s="917"/>
      <c r="D89" s="921" t="s">
        <v>712</v>
      </c>
      <c r="E89" s="921"/>
      <c r="F89" s="921" t="s">
        <v>63</v>
      </c>
      <c r="G89" s="921"/>
      <c r="H89" s="921" t="s">
        <v>557</v>
      </c>
      <c r="I89" s="921"/>
      <c r="J89" s="922" t="s">
        <v>687</v>
      </c>
      <c r="K89" s="923"/>
      <c r="L89" s="923"/>
      <c r="M89" s="923"/>
      <c r="N89" s="924"/>
      <c r="O89" s="921" t="s">
        <v>124</v>
      </c>
      <c r="P89" s="944"/>
      <c r="Q89" s="432"/>
    </row>
    <row r="90" spans="1:19" s="425" customFormat="1" ht="48.6" customHeight="1" x14ac:dyDescent="1.6">
      <c r="A90" s="918"/>
      <c r="B90" s="919"/>
      <c r="C90" s="920"/>
      <c r="D90" s="921"/>
      <c r="E90" s="921"/>
      <c r="F90" s="921"/>
      <c r="G90" s="921"/>
      <c r="H90" s="921"/>
      <c r="I90" s="921"/>
      <c r="J90" s="925"/>
      <c r="K90" s="926"/>
      <c r="L90" s="926"/>
      <c r="M90" s="926"/>
      <c r="N90" s="927"/>
      <c r="O90" s="921"/>
      <c r="P90" s="944"/>
      <c r="Q90" s="421"/>
    </row>
    <row r="91" spans="1:19" s="421" customFormat="1" ht="249.95" customHeight="1" x14ac:dyDescent="1.6">
      <c r="A91" s="964" t="s">
        <v>328</v>
      </c>
      <c r="B91" s="965"/>
      <c r="C91" s="966"/>
      <c r="D91" s="967" t="s">
        <v>556</v>
      </c>
      <c r="E91" s="967"/>
      <c r="F91" s="921" t="s">
        <v>78</v>
      </c>
      <c r="G91" s="921"/>
      <c r="H91" s="939" t="s">
        <v>152</v>
      </c>
      <c r="I91" s="942"/>
      <c r="J91" s="968" t="s">
        <v>713</v>
      </c>
      <c r="K91" s="969"/>
      <c r="L91" s="969"/>
      <c r="M91" s="969"/>
      <c r="N91" s="970"/>
      <c r="O91" s="939" t="s">
        <v>791</v>
      </c>
      <c r="P91" s="971"/>
      <c r="Q91" s="432"/>
    </row>
    <row r="92" spans="1:19" s="437" customFormat="1" ht="237.6" customHeight="1" thickBot="1" x14ac:dyDescent="1.65">
      <c r="A92" s="972" t="s">
        <v>629</v>
      </c>
      <c r="B92" s="973"/>
      <c r="C92" s="973"/>
      <c r="D92" s="398" t="s">
        <v>628</v>
      </c>
      <c r="E92" s="398"/>
      <c r="F92" s="398" t="s">
        <v>628</v>
      </c>
      <c r="G92" s="433"/>
      <c r="H92" s="398" t="s">
        <v>64</v>
      </c>
      <c r="I92" s="434"/>
      <c r="J92" s="398" t="s">
        <v>64</v>
      </c>
      <c r="K92" s="402"/>
      <c r="L92" s="481" t="s">
        <v>686</v>
      </c>
      <c r="M92" s="729"/>
      <c r="N92" s="461" t="s">
        <v>479</v>
      </c>
      <c r="O92" s="461" t="s">
        <v>64</v>
      </c>
      <c r="P92" s="435"/>
      <c r="Q92" s="436"/>
    </row>
    <row r="93" spans="1:19" s="421" customFormat="1" ht="189.6" customHeight="1" thickTop="1" thickBot="1" x14ac:dyDescent="1.65">
      <c r="A93" s="396"/>
      <c r="B93" s="397"/>
      <c r="C93" s="397"/>
      <c r="D93" s="434"/>
      <c r="E93" s="434"/>
      <c r="F93" s="434"/>
      <c r="G93" s="434"/>
      <c r="H93" s="434"/>
      <c r="I93" s="434"/>
      <c r="J93" s="434"/>
      <c r="K93" s="434"/>
      <c r="L93" s="990" t="s">
        <v>29</v>
      </c>
      <c r="M93" s="991"/>
      <c r="N93" s="991"/>
      <c r="O93" s="991"/>
      <c r="P93" s="992"/>
      <c r="Q93" s="432"/>
    </row>
    <row r="94" spans="1:19" s="421" customFormat="1" ht="239.45" customHeight="1" thickTop="1" thickBot="1" x14ac:dyDescent="1.65">
      <c r="A94" s="396"/>
      <c r="B94" s="397"/>
      <c r="C94" s="397"/>
      <c r="D94" s="434"/>
      <c r="E94" s="951" t="s">
        <v>222</v>
      </c>
      <c r="F94" s="952"/>
      <c r="G94" s="953"/>
      <c r="H94" s="434"/>
      <c r="I94" s="434"/>
      <c r="J94" s="434"/>
      <c r="K94" s="434"/>
      <c r="L94" s="954" t="s">
        <v>516</v>
      </c>
      <c r="M94" s="955"/>
      <c r="N94" s="955"/>
      <c r="O94" s="955"/>
      <c r="P94" s="956"/>
      <c r="Q94" s="432"/>
    </row>
    <row r="95" spans="1:19" s="437" customFormat="1" ht="187.9" customHeight="1" thickTop="1" x14ac:dyDescent="1.6">
      <c r="A95" s="399"/>
      <c r="B95" s="400"/>
      <c r="C95" s="400"/>
      <c r="D95" s="401"/>
      <c r="E95" s="951" t="s">
        <v>153</v>
      </c>
      <c r="F95" s="952"/>
      <c r="G95" s="953"/>
      <c r="H95" s="434"/>
      <c r="I95" s="398"/>
      <c r="J95" s="398"/>
      <c r="K95" s="434"/>
      <c r="L95" s="957" t="s">
        <v>517</v>
      </c>
      <c r="M95" s="958"/>
      <c r="N95" s="958"/>
      <c r="O95" s="958"/>
      <c r="P95" s="959"/>
      <c r="Q95" s="436"/>
    </row>
    <row r="96" spans="1:19" s="421" customFormat="1" ht="287.45" customHeight="1" thickBot="1" x14ac:dyDescent="1.65">
      <c r="A96" s="438"/>
      <c r="B96" s="439"/>
      <c r="C96" s="439"/>
      <c r="D96" s="440"/>
      <c r="E96" s="398" t="s">
        <v>30</v>
      </c>
      <c r="F96" s="418"/>
      <c r="G96" s="441"/>
      <c r="H96" s="434"/>
      <c r="I96" s="441"/>
      <c r="J96" s="441"/>
      <c r="K96" s="434"/>
      <c r="L96" s="960"/>
      <c r="M96" s="961"/>
      <c r="N96" s="961"/>
      <c r="O96" s="962"/>
      <c r="P96" s="963"/>
      <c r="Q96" s="432"/>
    </row>
    <row r="97" spans="10:10" ht="363.6" customHeight="1" thickTop="1" x14ac:dyDescent="1">
      <c r="J97" s="739" t="s">
        <v>792</v>
      </c>
    </row>
  </sheetData>
  <mergeCells count="234">
    <mergeCell ref="E95:G95"/>
    <mergeCell ref="L95:P96"/>
    <mergeCell ref="A84:J84"/>
    <mergeCell ref="A91:C91"/>
    <mergeCell ref="D91:E91"/>
    <mergeCell ref="F91:G91"/>
    <mergeCell ref="H91:I91"/>
    <mergeCell ref="J91:N91"/>
    <mergeCell ref="O91:P91"/>
    <mergeCell ref="A92:C92"/>
    <mergeCell ref="L93:P93"/>
    <mergeCell ref="E94:G94"/>
    <mergeCell ref="L94:P94"/>
    <mergeCell ref="A82:J82"/>
    <mergeCell ref="B83:C83"/>
    <mergeCell ref="G83:H83"/>
    <mergeCell ref="A85:I85"/>
    <mergeCell ref="D86:P86"/>
    <mergeCell ref="A88:B88"/>
    <mergeCell ref="D88:I88"/>
    <mergeCell ref="J88:P88"/>
    <mergeCell ref="A89:C90"/>
    <mergeCell ref="D89:E90"/>
    <mergeCell ref="F89:G90"/>
    <mergeCell ref="H89:I90"/>
    <mergeCell ref="J89:N90"/>
    <mergeCell ref="O89:P90"/>
    <mergeCell ref="E79:G79"/>
    <mergeCell ref="L79:P79"/>
    <mergeCell ref="E80:G80"/>
    <mergeCell ref="L80:P81"/>
    <mergeCell ref="B64:C64"/>
    <mergeCell ref="B10:B11"/>
    <mergeCell ref="A10:A11"/>
    <mergeCell ref="A12:A13"/>
    <mergeCell ref="B12:B13"/>
    <mergeCell ref="A14:A15"/>
    <mergeCell ref="B14:B15"/>
    <mergeCell ref="D10:D11"/>
    <mergeCell ref="E10:E11"/>
    <mergeCell ref="F10:F11"/>
    <mergeCell ref="G10:H11"/>
    <mergeCell ref="E12:E13"/>
    <mergeCell ref="F12:F13"/>
    <mergeCell ref="G12:H13"/>
    <mergeCell ref="E14:E15"/>
    <mergeCell ref="F14:F15"/>
    <mergeCell ref="G14:H15"/>
    <mergeCell ref="D12:D13"/>
    <mergeCell ref="D14:D15"/>
    <mergeCell ref="A76:C76"/>
    <mergeCell ref="D76:E76"/>
    <mergeCell ref="F76:G76"/>
    <mergeCell ref="H76:I76"/>
    <mergeCell ref="J76:N76"/>
    <mergeCell ref="O76:P76"/>
    <mergeCell ref="A77:C77"/>
    <mergeCell ref="L78:P78"/>
    <mergeCell ref="A70:I70"/>
    <mergeCell ref="D71:P71"/>
    <mergeCell ref="A73:B73"/>
    <mergeCell ref="D73:I73"/>
    <mergeCell ref="J73:P73"/>
    <mergeCell ref="A74:C75"/>
    <mergeCell ref="D74:E75"/>
    <mergeCell ref="F74:G75"/>
    <mergeCell ref="H74:I75"/>
    <mergeCell ref="J74:N75"/>
    <mergeCell ref="O74:P75"/>
    <mergeCell ref="A51:J51"/>
    <mergeCell ref="B52:C52"/>
    <mergeCell ref="B53:C53"/>
    <mergeCell ref="B54:C54"/>
    <mergeCell ref="B55:C55"/>
    <mergeCell ref="B56:C56"/>
    <mergeCell ref="B57:C57"/>
    <mergeCell ref="B58:C58"/>
    <mergeCell ref="B59:C59"/>
    <mergeCell ref="G59:H59"/>
    <mergeCell ref="B63:C63"/>
    <mergeCell ref="B67:C67"/>
    <mergeCell ref="B68:C68"/>
    <mergeCell ref="G52:H52"/>
    <mergeCell ref="G53:H53"/>
    <mergeCell ref="G54:H54"/>
    <mergeCell ref="G55:H55"/>
    <mergeCell ref="G56:H56"/>
    <mergeCell ref="G57:H57"/>
    <mergeCell ref="G58:H58"/>
    <mergeCell ref="G60:H60"/>
    <mergeCell ref="G67:H67"/>
    <mergeCell ref="G68:H68"/>
    <mergeCell ref="B60:C60"/>
    <mergeCell ref="B61:C61"/>
    <mergeCell ref="B65:B66"/>
    <mergeCell ref="A69:J69"/>
    <mergeCell ref="L46:M46"/>
    <mergeCell ref="L47:P47"/>
    <mergeCell ref="E48:G48"/>
    <mergeCell ref="L48:P48"/>
    <mergeCell ref="E49:G49"/>
    <mergeCell ref="L49:P50"/>
    <mergeCell ref="A45:C45"/>
    <mergeCell ref="D45:E45"/>
    <mergeCell ref="F45:G45"/>
    <mergeCell ref="H45:I45"/>
    <mergeCell ref="J45:N45"/>
    <mergeCell ref="O45:P45"/>
    <mergeCell ref="A46:C46"/>
    <mergeCell ref="G64:H64"/>
    <mergeCell ref="A65:A66"/>
    <mergeCell ref="D65:D66"/>
    <mergeCell ref="E65:E66"/>
    <mergeCell ref="F65:F66"/>
    <mergeCell ref="G65:H66"/>
    <mergeCell ref="G61:H61"/>
    <mergeCell ref="G62:H62"/>
    <mergeCell ref="G63:H63"/>
    <mergeCell ref="B62:C62"/>
    <mergeCell ref="A43:C44"/>
    <mergeCell ref="D43:E44"/>
    <mergeCell ref="F43:G44"/>
    <mergeCell ref="H43:I44"/>
    <mergeCell ref="J43:N44"/>
    <mergeCell ref="O43:P44"/>
    <mergeCell ref="A38:K38"/>
    <mergeCell ref="A39:I39"/>
    <mergeCell ref="D40:P40"/>
    <mergeCell ref="A42:B42"/>
    <mergeCell ref="D42:I42"/>
    <mergeCell ref="J42:P42"/>
    <mergeCell ref="A36:A37"/>
    <mergeCell ref="B36:B37"/>
    <mergeCell ref="D36:D37"/>
    <mergeCell ref="E36:E37"/>
    <mergeCell ref="F36:F37"/>
    <mergeCell ref="G36:H37"/>
    <mergeCell ref="A34:A35"/>
    <mergeCell ref="B34:B35"/>
    <mergeCell ref="D34:D35"/>
    <mergeCell ref="E34:E35"/>
    <mergeCell ref="F34:F35"/>
    <mergeCell ref="G34:H35"/>
    <mergeCell ref="A32:A33"/>
    <mergeCell ref="B32:B33"/>
    <mergeCell ref="D32:D33"/>
    <mergeCell ref="E32:E33"/>
    <mergeCell ref="F32:F33"/>
    <mergeCell ref="G32:H33"/>
    <mergeCell ref="A30:A31"/>
    <mergeCell ref="B30:B31"/>
    <mergeCell ref="D30:D31"/>
    <mergeCell ref="E30:E31"/>
    <mergeCell ref="F30:F31"/>
    <mergeCell ref="G30:H31"/>
    <mergeCell ref="A28:A29"/>
    <mergeCell ref="B28:B29"/>
    <mergeCell ref="D28:D29"/>
    <mergeCell ref="E28:E29"/>
    <mergeCell ref="F28:F29"/>
    <mergeCell ref="G28:H29"/>
    <mergeCell ref="A26:A27"/>
    <mergeCell ref="B26:B27"/>
    <mergeCell ref="D26:D27"/>
    <mergeCell ref="E26:E27"/>
    <mergeCell ref="F26:F27"/>
    <mergeCell ref="G26:H27"/>
    <mergeCell ref="A24:A25"/>
    <mergeCell ref="B24:B25"/>
    <mergeCell ref="D24:D25"/>
    <mergeCell ref="E24:E25"/>
    <mergeCell ref="F24:F25"/>
    <mergeCell ref="G24:H25"/>
    <mergeCell ref="A22:A23"/>
    <mergeCell ref="B22:B23"/>
    <mergeCell ref="B18:C18"/>
    <mergeCell ref="G18:H18"/>
    <mergeCell ref="D22:D23"/>
    <mergeCell ref="E22:E23"/>
    <mergeCell ref="F22:F23"/>
    <mergeCell ref="G22:H23"/>
    <mergeCell ref="B21:C21"/>
    <mergeCell ref="G21:H21"/>
    <mergeCell ref="A19:A20"/>
    <mergeCell ref="B19:C20"/>
    <mergeCell ref="D19:D20"/>
    <mergeCell ref="E19:E20"/>
    <mergeCell ref="F19:F20"/>
    <mergeCell ref="G19:H20"/>
    <mergeCell ref="B9:C9"/>
    <mergeCell ref="G9:H9"/>
    <mergeCell ref="B16:C16"/>
    <mergeCell ref="G16:H16"/>
    <mergeCell ref="B17:C17"/>
    <mergeCell ref="G17:H17"/>
    <mergeCell ref="P6:P7"/>
    <mergeCell ref="B8:C8"/>
    <mergeCell ref="G8:H8"/>
    <mergeCell ref="A6:A7"/>
    <mergeCell ref="B6:C7"/>
    <mergeCell ref="D6:D7"/>
    <mergeCell ref="E6:E7"/>
    <mergeCell ref="F6:F7"/>
    <mergeCell ref="G6:H7"/>
    <mergeCell ref="I6:K6"/>
    <mergeCell ref="M6:M7"/>
    <mergeCell ref="N6:N7"/>
    <mergeCell ref="A1:C2"/>
    <mergeCell ref="D1:K1"/>
    <mergeCell ref="L1:P3"/>
    <mergeCell ref="D2:K2"/>
    <mergeCell ref="R2:R3"/>
    <mergeCell ref="A3:C3"/>
    <mergeCell ref="D3:K3"/>
    <mergeCell ref="A4:C5"/>
    <mergeCell ref="D4:K4"/>
    <mergeCell ref="L4:P5"/>
    <mergeCell ref="D5:K5"/>
    <mergeCell ref="T24:AJ25"/>
    <mergeCell ref="T28:AJ29"/>
    <mergeCell ref="T32:AJ33"/>
    <mergeCell ref="T36:AJ37"/>
    <mergeCell ref="S22:S23"/>
    <mergeCell ref="S24:S25"/>
    <mergeCell ref="S26:S27"/>
    <mergeCell ref="S28:S29"/>
    <mergeCell ref="S30:S31"/>
    <mergeCell ref="S32:S33"/>
    <mergeCell ref="S34:S35"/>
    <mergeCell ref="S36:S37"/>
    <mergeCell ref="T34:AJ35"/>
    <mergeCell ref="T30:AJ31"/>
    <mergeCell ref="T26:AJ27"/>
    <mergeCell ref="T22:AJ23"/>
  </mergeCells>
  <printOptions horizontalCentered="1" verticalCentered="1"/>
  <pageMargins left="0" right="0" top="0.118110236220472" bottom="0" header="0" footer="0"/>
  <pageSetup paperSize="8" scale="10" fitToHeight="0" orientation="landscape" r:id="rId1"/>
  <rowBreaks count="2" manualBreakCount="2">
    <brk id="50" max="15" man="1"/>
    <brk id="81" max="15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theme="4" tint="-0.249977111117893"/>
    <pageSetUpPr fitToPage="1"/>
  </sheetPr>
  <dimension ref="A1:AB178"/>
  <sheetViews>
    <sheetView rightToLeft="1" view="pageBreakPreview" zoomScale="25" zoomScaleNormal="20" zoomScaleSheetLayoutView="25" workbookViewId="0">
      <selection activeCell="E9" sqref="E9:G9"/>
    </sheetView>
  </sheetViews>
  <sheetFormatPr defaultColWidth="9.140625" defaultRowHeight="75" x14ac:dyDescent="0.95"/>
  <cols>
    <col min="1" max="1" width="125.7109375" style="330" customWidth="1"/>
    <col min="2" max="2" width="111" style="217" customWidth="1"/>
    <col min="3" max="3" width="104.5703125" style="217" customWidth="1"/>
    <col min="4" max="4" width="101.85546875" style="217" customWidth="1"/>
    <col min="5" max="5" width="72.42578125" style="217" customWidth="1"/>
    <col min="6" max="6" width="58.140625" style="217" customWidth="1"/>
    <col min="7" max="7" width="67.42578125" style="217" customWidth="1"/>
    <col min="8" max="8" width="51" style="217" customWidth="1"/>
    <col min="9" max="9" width="59.28515625" style="217" bestFit="1" customWidth="1"/>
    <col min="10" max="10" width="9.140625" style="217"/>
    <col min="11" max="17" width="32.7109375" style="217" customWidth="1"/>
    <col min="18" max="21" width="16.7109375" style="217" customWidth="1"/>
    <col min="22" max="16384" width="9.140625" style="217"/>
  </cols>
  <sheetData>
    <row r="1" spans="1:28" ht="130.9" customHeight="1" thickTop="1" thickBot="1" x14ac:dyDescent="1.2">
      <c r="A1" s="1040" t="s">
        <v>814</v>
      </c>
      <c r="B1" s="1041"/>
      <c r="C1" s="1041"/>
      <c r="D1" s="1042"/>
      <c r="E1" s="202"/>
      <c r="F1" s="202"/>
      <c r="G1" s="202"/>
      <c r="H1" s="202"/>
      <c r="I1" s="202"/>
      <c r="J1" s="202"/>
    </row>
    <row r="2" spans="1:28" s="324" customFormat="1" ht="141.75" customHeight="1" thickTop="1" thickBot="1" x14ac:dyDescent="1.2">
      <c r="A2" s="203" t="s">
        <v>79</v>
      </c>
      <c r="B2" s="204" t="s">
        <v>16</v>
      </c>
      <c r="C2" s="204" t="s">
        <v>80</v>
      </c>
      <c r="D2" s="205" t="s">
        <v>81</v>
      </c>
      <c r="E2" s="202"/>
      <c r="F2" s="202"/>
      <c r="G2" s="202"/>
      <c r="H2" s="202"/>
      <c r="I2" s="202"/>
      <c r="J2" s="202"/>
    </row>
    <row r="3" spans="1:28" s="216" customFormat="1" ht="129.75" customHeight="1" thickTop="1" thickBot="1" x14ac:dyDescent="0.6">
      <c r="A3" s="203" t="s">
        <v>82</v>
      </c>
      <c r="B3" s="206">
        <v>409794495.97349995</v>
      </c>
      <c r="C3" s="206">
        <f>مستخلص!M220*0.97</f>
        <v>412011860.68349993</v>
      </c>
      <c r="D3" s="715">
        <f>C3-B3</f>
        <v>2217364.7099999785</v>
      </c>
      <c r="E3" s="719"/>
      <c r="F3" s="720"/>
      <c r="G3" s="720"/>
      <c r="H3" s="720"/>
      <c r="I3" s="721"/>
      <c r="J3" s="720"/>
      <c r="K3" s="720"/>
      <c r="L3" s="720"/>
      <c r="M3" s="720"/>
      <c r="N3" s="720"/>
      <c r="O3" s="720"/>
      <c r="P3" s="720"/>
      <c r="Q3" s="720"/>
      <c r="R3" s="720"/>
      <c r="S3" s="720"/>
      <c r="T3" s="720"/>
    </row>
    <row r="4" spans="1:28" s="216" customFormat="1" ht="120" customHeight="1" thickTop="1" thickBot="1" x14ac:dyDescent="1.25">
      <c r="A4" s="203" t="s">
        <v>83</v>
      </c>
      <c r="B4" s="206">
        <v>21376080.168000001</v>
      </c>
      <c r="C4" s="206">
        <f>0.97*'كهرباء 54'!O84-300000*1</f>
        <v>21824274.875999998</v>
      </c>
      <c r="D4" s="715">
        <f>C4-B4</f>
        <v>448194.70799999684</v>
      </c>
      <c r="E4" s="719">
        <f>0.1*447824000</f>
        <v>44782400</v>
      </c>
      <c r="F4" s="720"/>
      <c r="G4" s="722"/>
      <c r="H4" s="720"/>
      <c r="I4" s="723"/>
      <c r="J4" s="720"/>
      <c r="K4" s="720"/>
      <c r="L4" s="720"/>
      <c r="M4" s="720"/>
      <c r="N4" s="720"/>
      <c r="O4" s="720"/>
      <c r="P4" s="720"/>
      <c r="Q4" s="720"/>
      <c r="R4" s="720"/>
      <c r="S4" s="720"/>
      <c r="T4" s="720"/>
    </row>
    <row r="5" spans="1:28" s="216" customFormat="1" ht="120" customHeight="1" thickTop="1" thickBot="1" x14ac:dyDescent="1.25">
      <c r="A5" s="203" t="s">
        <v>84</v>
      </c>
      <c r="B5" s="206">
        <v>612846</v>
      </c>
      <c r="C5" s="206">
        <f>تشوينات!GA30</f>
        <v>612846</v>
      </c>
      <c r="D5" s="715">
        <f>C5-B5</f>
        <v>0</v>
      </c>
      <c r="E5" s="719">
        <f>408983660.61+775833.89</f>
        <v>409759494.5</v>
      </c>
      <c r="F5" s="720"/>
      <c r="G5" s="722"/>
      <c r="H5" s="721"/>
      <c r="I5" s="721"/>
      <c r="J5" s="720"/>
      <c r="K5" s="720"/>
      <c r="L5" s="720"/>
      <c r="M5" s="720"/>
      <c r="N5" s="1032"/>
      <c r="O5" s="1032"/>
      <c r="P5" s="1032"/>
      <c r="Q5" s="1032"/>
      <c r="R5" s="1032"/>
      <c r="S5" s="1032"/>
      <c r="T5" s="1032"/>
      <c r="U5" s="1031"/>
      <c r="V5" s="1031"/>
      <c r="W5" s="1031"/>
      <c r="X5" s="1031"/>
      <c r="Y5" s="1031"/>
    </row>
    <row r="6" spans="1:28" s="216" customFormat="1" ht="120" customHeight="1" thickTop="1" thickBot="1" x14ac:dyDescent="0.8">
      <c r="A6" s="203" t="s">
        <v>85</v>
      </c>
      <c r="B6" s="207">
        <f>SUM(B3:B5)</f>
        <v>431783422.14149994</v>
      </c>
      <c r="C6" s="207">
        <f>SUM(C3:C5)</f>
        <v>434448981.55949992</v>
      </c>
      <c r="D6" s="716">
        <f>SUM(D3:D5)</f>
        <v>2665559.4179999754</v>
      </c>
      <c r="E6" s="724"/>
      <c r="F6" s="720"/>
      <c r="G6" s="720"/>
      <c r="H6" s="720"/>
      <c r="I6" s="721"/>
      <c r="J6" s="720"/>
      <c r="K6" s="720"/>
      <c r="L6" s="720"/>
      <c r="M6" s="720"/>
      <c r="N6" s="1032"/>
      <c r="O6" s="1032"/>
      <c r="P6" s="1032"/>
      <c r="Q6" s="1032"/>
      <c r="R6" s="1032"/>
      <c r="S6" s="1032"/>
      <c r="T6" s="1032"/>
      <c r="W6" s="1033"/>
      <c r="X6" s="1033"/>
      <c r="Y6" s="1033"/>
      <c r="Z6" s="1033"/>
      <c r="AA6" s="1033"/>
      <c r="AB6" s="1033"/>
    </row>
    <row r="7" spans="1:28" s="216" customFormat="1" ht="120" customHeight="1" thickTop="1" thickBot="1" x14ac:dyDescent="0.8">
      <c r="A7" s="1034" t="s">
        <v>86</v>
      </c>
      <c r="B7" s="1035"/>
      <c r="C7" s="1036"/>
      <c r="D7" s="717">
        <f>D3+D4</f>
        <v>2665559.4179999754</v>
      </c>
      <c r="E7" s="1037" t="s">
        <v>784</v>
      </c>
      <c r="F7" s="1037"/>
      <c r="G7" s="1037"/>
      <c r="H7" s="1037"/>
      <c r="I7" s="721"/>
      <c r="J7" s="720"/>
      <c r="K7" s="720"/>
      <c r="L7" s="720"/>
      <c r="M7" s="720"/>
      <c r="N7" s="725"/>
      <c r="O7" s="725"/>
      <c r="P7" s="725"/>
      <c r="Q7" s="725"/>
      <c r="R7" s="725"/>
      <c r="S7" s="725"/>
      <c r="T7" s="725"/>
      <c r="W7" s="326"/>
      <c r="X7" s="326"/>
      <c r="Y7" s="326"/>
      <c r="Z7" s="326"/>
      <c r="AA7" s="326"/>
      <c r="AB7" s="326"/>
    </row>
    <row r="8" spans="1:28" s="216" customFormat="1" ht="120" customHeight="1" thickTop="1" thickBot="1" x14ac:dyDescent="0.8">
      <c r="A8" s="1034" t="s">
        <v>163</v>
      </c>
      <c r="B8" s="1035"/>
      <c r="C8" s="1036"/>
      <c r="D8" s="717">
        <f>D7/1.05</f>
        <v>2538628.0171428337</v>
      </c>
      <c r="E8" s="1037"/>
      <c r="F8" s="1037"/>
      <c r="G8" s="1037"/>
      <c r="H8" s="1037"/>
      <c r="I8" s="721"/>
      <c r="J8" s="720"/>
      <c r="K8" s="720"/>
      <c r="L8" s="720"/>
      <c r="M8" s="720"/>
      <c r="N8" s="725"/>
      <c r="O8" s="725"/>
      <c r="P8" s="725"/>
      <c r="Q8" s="725"/>
      <c r="R8" s="725"/>
      <c r="S8" s="725"/>
      <c r="T8" s="725"/>
      <c r="W8" s="326"/>
      <c r="X8" s="326"/>
      <c r="Y8" s="326"/>
      <c r="Z8" s="326"/>
      <c r="AA8" s="326"/>
      <c r="AB8" s="326"/>
    </row>
    <row r="9" spans="1:28" s="216" customFormat="1" ht="120" customHeight="1" thickTop="1" thickBot="1" x14ac:dyDescent="0.8">
      <c r="A9" s="1034" t="s">
        <v>744</v>
      </c>
      <c r="B9" s="1035"/>
      <c r="C9" s="1036"/>
      <c r="D9" s="717">
        <f>D8+D5</f>
        <v>2538628.0171428337</v>
      </c>
      <c r="E9" s="1037"/>
      <c r="F9" s="1037"/>
      <c r="G9" s="1037"/>
      <c r="H9" s="721"/>
      <c r="I9" s="721"/>
      <c r="J9" s="720"/>
      <c r="K9" s="720"/>
      <c r="L9" s="720"/>
      <c r="M9" s="720"/>
      <c r="N9" s="725"/>
      <c r="O9" s="725"/>
      <c r="P9" s="725"/>
      <c r="Q9" s="725"/>
      <c r="R9" s="725"/>
      <c r="S9" s="725"/>
      <c r="T9" s="725"/>
      <c r="W9" s="326"/>
      <c r="X9" s="326"/>
      <c r="Y9" s="326"/>
      <c r="Z9" s="326"/>
      <c r="AA9" s="326"/>
      <c r="AB9" s="326"/>
    </row>
    <row r="10" spans="1:28" s="216" customFormat="1" ht="120" customHeight="1" thickTop="1" thickBot="1" x14ac:dyDescent="0.8">
      <c r="A10" s="1034" t="s">
        <v>234</v>
      </c>
      <c r="B10" s="1035"/>
      <c r="C10" s="1036"/>
      <c r="D10" s="718">
        <f>D3+D4+D5</f>
        <v>2665559.4179999754</v>
      </c>
      <c r="E10" s="724"/>
      <c r="F10" s="1046"/>
      <c r="G10" s="1046"/>
      <c r="H10" s="1046"/>
      <c r="I10" s="721"/>
      <c r="J10" s="720"/>
      <c r="K10" s="720"/>
      <c r="L10" s="720"/>
      <c r="M10" s="720"/>
      <c r="N10" s="725"/>
      <c r="O10" s="725"/>
      <c r="P10" s="725"/>
      <c r="Q10" s="725"/>
      <c r="R10" s="725"/>
      <c r="S10" s="725"/>
      <c r="T10" s="725"/>
      <c r="W10" s="326"/>
      <c r="X10" s="326"/>
      <c r="Y10" s="326"/>
      <c r="Z10" s="326"/>
      <c r="AA10" s="326"/>
      <c r="AB10" s="326"/>
    </row>
    <row r="11" spans="1:28" ht="103.9" customHeight="1" thickTop="1" thickBot="1" x14ac:dyDescent="0.6">
      <c r="A11" s="209" t="s">
        <v>88</v>
      </c>
      <c r="B11" s="321" t="s">
        <v>89</v>
      </c>
      <c r="C11" s="1043" t="s">
        <v>90</v>
      </c>
      <c r="D11" s="1044"/>
      <c r="E11" s="724"/>
      <c r="F11" s="726"/>
      <c r="G11" s="726"/>
      <c r="H11" s="727"/>
      <c r="I11" s="1045"/>
      <c r="J11" s="1045"/>
      <c r="K11" s="1045"/>
      <c r="L11" s="726"/>
      <c r="M11" s="726"/>
      <c r="N11" s="1032"/>
      <c r="O11" s="1032"/>
      <c r="P11" s="1032"/>
      <c r="Q11" s="1032"/>
      <c r="R11" s="1032"/>
      <c r="S11" s="1032"/>
      <c r="T11" s="1032"/>
    </row>
    <row r="12" spans="1:28" ht="100.15" customHeight="1" thickTop="1" thickBot="1" x14ac:dyDescent="1.2">
      <c r="A12" s="210" t="s">
        <v>91</v>
      </c>
      <c r="B12" s="211">
        <v>0.05</v>
      </c>
      <c r="C12" s="1047">
        <f>B12*D7</f>
        <v>133277.97089999876</v>
      </c>
      <c r="D12" s="1012"/>
      <c r="E12" s="724"/>
      <c r="F12" s="726"/>
      <c r="G12" s="728"/>
      <c r="H12" s="727"/>
      <c r="I12" s="727"/>
      <c r="J12" s="726"/>
      <c r="K12" s="726"/>
      <c r="L12" s="726"/>
      <c r="M12" s="726"/>
      <c r="N12" s="1032"/>
      <c r="O12" s="1032"/>
      <c r="P12" s="1032"/>
      <c r="Q12" s="1032"/>
      <c r="R12" s="1032"/>
      <c r="S12" s="1032"/>
      <c r="T12" s="1032"/>
    </row>
    <row r="13" spans="1:28" ht="100.15" customHeight="1" thickTop="1" thickBot="1" x14ac:dyDescent="0.6">
      <c r="A13" s="210" t="s">
        <v>92</v>
      </c>
      <c r="B13" s="212">
        <v>2.7000000000000001E-3</v>
      </c>
      <c r="C13" s="1029">
        <f>B13*D9</f>
        <v>6854.2956462856509</v>
      </c>
      <c r="D13" s="1030"/>
      <c r="E13" s="213"/>
      <c r="G13" s="328"/>
      <c r="H13" s="329"/>
      <c r="I13" s="327"/>
      <c r="N13" s="1028"/>
      <c r="O13" s="1028"/>
      <c r="P13" s="1028"/>
      <c r="Q13" s="1028"/>
      <c r="R13" s="1028"/>
      <c r="S13" s="1028"/>
      <c r="T13" s="1028"/>
    </row>
    <row r="14" spans="1:28" ht="100.15" customHeight="1" thickTop="1" thickBot="1" x14ac:dyDescent="0.6">
      <c r="A14" s="210" t="s">
        <v>164</v>
      </c>
      <c r="B14" s="214">
        <v>6.0000000000000001E-3</v>
      </c>
      <c r="C14" s="1029">
        <f>B14*D9</f>
        <v>15231.768102857002</v>
      </c>
      <c r="D14" s="1030"/>
      <c r="E14" s="208"/>
      <c r="G14" s="328"/>
      <c r="H14" s="329"/>
      <c r="I14" s="327"/>
      <c r="N14" s="1028"/>
      <c r="O14" s="1028"/>
      <c r="P14" s="1028"/>
      <c r="Q14" s="1028"/>
      <c r="R14" s="1028"/>
      <c r="S14" s="1028"/>
      <c r="T14" s="1028"/>
    </row>
    <row r="15" spans="1:28" ht="100.15" customHeight="1" thickTop="1" thickBot="1" x14ac:dyDescent="0.6">
      <c r="A15" s="210" t="s">
        <v>165</v>
      </c>
      <c r="B15" s="214">
        <v>1.7999999999999999E-2</v>
      </c>
      <c r="C15" s="1029">
        <f>B15*D9</f>
        <v>45695.304308571001</v>
      </c>
      <c r="D15" s="1030"/>
      <c r="E15" s="208"/>
      <c r="H15" s="327"/>
      <c r="I15" s="327"/>
      <c r="N15" s="1028"/>
      <c r="O15" s="1028"/>
      <c r="P15" s="1028"/>
      <c r="Q15" s="1028"/>
      <c r="R15" s="1028"/>
      <c r="S15" s="1028"/>
      <c r="T15" s="1028"/>
    </row>
    <row r="16" spans="1:28" ht="100.15" customHeight="1" thickTop="1" thickBot="1" x14ac:dyDescent="0.6">
      <c r="A16" s="210" t="s">
        <v>93</v>
      </c>
      <c r="B16" s="214">
        <v>4.4999999999999997E-3</v>
      </c>
      <c r="C16" s="1029">
        <f>B16*D9</f>
        <v>11423.82607714275</v>
      </c>
      <c r="D16" s="1030"/>
      <c r="E16" s="208"/>
      <c r="H16" s="327"/>
      <c r="I16" s="327"/>
      <c r="N16" s="1028"/>
      <c r="O16" s="1028"/>
      <c r="P16" s="1028"/>
      <c r="Q16" s="1028"/>
      <c r="R16" s="1028"/>
      <c r="S16" s="1028"/>
      <c r="T16" s="1028"/>
    </row>
    <row r="17" spans="1:20" ht="100.15" customHeight="1" thickTop="1" thickBot="1" x14ac:dyDescent="0.6">
      <c r="A17" s="210" t="s">
        <v>94</v>
      </c>
      <c r="B17" s="214">
        <v>0</v>
      </c>
      <c r="C17" s="1029">
        <v>0</v>
      </c>
      <c r="D17" s="1030"/>
      <c r="E17" s="208"/>
      <c r="H17" s="327"/>
      <c r="I17" s="327"/>
      <c r="N17" s="1028"/>
      <c r="O17" s="1028"/>
      <c r="P17" s="1028"/>
      <c r="Q17" s="1028"/>
      <c r="R17" s="1028"/>
      <c r="S17" s="1028"/>
      <c r="T17" s="1028"/>
    </row>
    <row r="18" spans="1:20" s="216" customFormat="1" ht="100.15" customHeight="1" thickTop="1" thickBot="1" x14ac:dyDescent="0.6">
      <c r="A18" s="215" t="s">
        <v>95</v>
      </c>
      <c r="B18" s="214">
        <v>0</v>
      </c>
      <c r="C18" s="1029">
        <f>B18*D9</f>
        <v>0</v>
      </c>
      <c r="D18" s="1030"/>
      <c r="E18" s="208"/>
      <c r="I18" s="325"/>
      <c r="N18" s="1028"/>
      <c r="O18" s="1028"/>
      <c r="P18" s="1028"/>
      <c r="Q18" s="1028"/>
      <c r="R18" s="1028"/>
      <c r="S18" s="1028"/>
      <c r="T18" s="1028"/>
    </row>
    <row r="19" spans="1:20" s="216" customFormat="1" ht="100.15" customHeight="1" thickTop="1" thickBot="1" x14ac:dyDescent="0.6">
      <c r="A19" s="215" t="s">
        <v>96</v>
      </c>
      <c r="B19" s="211">
        <v>0</v>
      </c>
      <c r="C19" s="1012">
        <f>B19*D9</f>
        <v>0</v>
      </c>
      <c r="D19" s="1013"/>
      <c r="E19" s="208"/>
      <c r="I19" s="325"/>
      <c r="N19" s="1028"/>
      <c r="O19" s="1028"/>
      <c r="P19" s="1028"/>
      <c r="Q19" s="1028"/>
      <c r="R19" s="1028"/>
      <c r="S19" s="1028"/>
      <c r="T19" s="1028"/>
    </row>
    <row r="20" spans="1:20" s="216" customFormat="1" ht="100.15" customHeight="1" thickTop="1" thickBot="1" x14ac:dyDescent="0.6">
      <c r="A20" s="215" t="s">
        <v>97</v>
      </c>
      <c r="B20" s="211">
        <v>0.05</v>
      </c>
      <c r="C20" s="1012">
        <f>B20*D8</f>
        <v>126931.40085714169</v>
      </c>
      <c r="D20" s="1013"/>
      <c r="E20" s="208"/>
      <c r="I20" s="325"/>
      <c r="N20" s="1028"/>
      <c r="O20" s="1028"/>
      <c r="P20" s="1028"/>
      <c r="Q20" s="1028"/>
      <c r="R20" s="1028"/>
      <c r="S20" s="1028"/>
      <c r="T20" s="1028"/>
    </row>
    <row r="21" spans="1:20" s="216" customFormat="1" ht="100.15" customHeight="1" thickTop="1" thickBot="1" x14ac:dyDescent="0.6">
      <c r="A21" s="215" t="s">
        <v>98</v>
      </c>
      <c r="B21" s="211">
        <v>0</v>
      </c>
      <c r="C21" s="1012">
        <v>0</v>
      </c>
      <c r="D21" s="1013"/>
      <c r="I21" s="325"/>
      <c r="N21" s="325"/>
      <c r="O21" s="325"/>
      <c r="P21" s="325"/>
      <c r="Q21" s="325"/>
      <c r="R21" s="325"/>
      <c r="S21" s="325"/>
      <c r="T21" s="325"/>
    </row>
    <row r="22" spans="1:20" ht="100.15" customHeight="1" thickTop="1" thickBot="1" x14ac:dyDescent="0.6">
      <c r="A22" s="210" t="s">
        <v>99</v>
      </c>
      <c r="B22" s="211">
        <v>0.01</v>
      </c>
      <c r="C22" s="1012">
        <f>B22*D9</f>
        <v>25386.280171428338</v>
      </c>
      <c r="D22" s="1013"/>
      <c r="I22" s="327"/>
      <c r="N22" s="327"/>
      <c r="O22" s="327"/>
      <c r="P22" s="327"/>
      <c r="Q22" s="327"/>
      <c r="R22" s="327"/>
      <c r="S22" s="327"/>
      <c r="T22" s="327"/>
    </row>
    <row r="23" spans="1:20" ht="100.15" customHeight="1" thickTop="1" thickBot="1" x14ac:dyDescent="0.6">
      <c r="A23" s="210" t="s">
        <v>100</v>
      </c>
      <c r="B23" s="211">
        <v>0</v>
      </c>
      <c r="C23" s="1012">
        <v>10000</v>
      </c>
      <c r="D23" s="1013"/>
      <c r="I23" s="327"/>
      <c r="N23" s="327"/>
      <c r="O23" s="327"/>
      <c r="P23" s="327"/>
      <c r="Q23" s="327"/>
      <c r="R23" s="327"/>
      <c r="S23" s="327"/>
      <c r="T23" s="327"/>
    </row>
    <row r="24" spans="1:20" ht="100.15" customHeight="1" thickTop="1" thickBot="1" x14ac:dyDescent="0.6">
      <c r="A24" s="210" t="s">
        <v>101</v>
      </c>
      <c r="B24" s="211">
        <v>0</v>
      </c>
      <c r="C24" s="1012">
        <v>0</v>
      </c>
      <c r="D24" s="1013"/>
      <c r="I24" s="327"/>
      <c r="N24" s="327"/>
      <c r="O24" s="327"/>
      <c r="P24" s="327"/>
      <c r="Q24" s="327"/>
      <c r="R24" s="327"/>
      <c r="S24" s="327"/>
      <c r="T24" s="327"/>
    </row>
    <row r="25" spans="1:20" ht="100.15" customHeight="1" thickTop="1" thickBot="1" x14ac:dyDescent="0.6">
      <c r="A25" s="210" t="s">
        <v>166</v>
      </c>
      <c r="B25" s="211">
        <v>0</v>
      </c>
      <c r="C25" s="1012">
        <v>0</v>
      </c>
      <c r="D25" s="1013"/>
      <c r="I25" s="327"/>
    </row>
    <row r="26" spans="1:20" ht="100.15" customHeight="1" thickTop="1" thickBot="1" x14ac:dyDescent="0.6">
      <c r="A26" s="210" t="s">
        <v>102</v>
      </c>
      <c r="B26" s="211">
        <v>0</v>
      </c>
      <c r="C26" s="1012">
        <v>0</v>
      </c>
      <c r="D26" s="1013"/>
      <c r="I26" s="327"/>
    </row>
    <row r="27" spans="1:20" ht="100.15" customHeight="1" thickTop="1" thickBot="1" x14ac:dyDescent="0.6">
      <c r="A27" s="210" t="s">
        <v>167</v>
      </c>
      <c r="B27" s="211">
        <v>0</v>
      </c>
      <c r="C27" s="1012">
        <v>0</v>
      </c>
      <c r="D27" s="1013"/>
      <c r="I27" s="327"/>
    </row>
    <row r="28" spans="1:20" s="216" customFormat="1" ht="100.15" customHeight="1" thickTop="1" thickBot="1" x14ac:dyDescent="0.6">
      <c r="A28" s="215" t="s">
        <v>168</v>
      </c>
      <c r="B28" s="211">
        <v>0</v>
      </c>
      <c r="C28" s="1012">
        <v>0</v>
      </c>
      <c r="D28" s="1013"/>
      <c r="I28" s="325"/>
    </row>
    <row r="29" spans="1:20" s="216" customFormat="1" ht="100.15" customHeight="1" thickTop="1" thickBot="1" x14ac:dyDescent="0.25">
      <c r="A29" s="215" t="s">
        <v>169</v>
      </c>
      <c r="B29" s="211">
        <v>0.1</v>
      </c>
      <c r="C29" s="1012">
        <f>0.1*D10</f>
        <v>266555.94179999753</v>
      </c>
      <c r="D29" s="1013"/>
    </row>
    <row r="30" spans="1:20" s="216" customFormat="1" ht="100.15" customHeight="1" thickTop="1" thickBot="1" x14ac:dyDescent="0.25">
      <c r="A30" s="215" t="s">
        <v>103</v>
      </c>
      <c r="B30" s="211">
        <v>0</v>
      </c>
      <c r="C30" s="1012">
        <v>0</v>
      </c>
      <c r="D30" s="1013"/>
    </row>
    <row r="31" spans="1:20" s="216" customFormat="1" ht="100.15" customHeight="1" thickTop="1" thickBot="1" x14ac:dyDescent="0.25">
      <c r="A31" s="215" t="s">
        <v>104</v>
      </c>
      <c r="B31" s="211">
        <v>0.1</v>
      </c>
      <c r="C31" s="1012">
        <v>0</v>
      </c>
      <c r="D31" s="1013"/>
    </row>
    <row r="32" spans="1:20" s="216" customFormat="1" ht="100.15" customHeight="1" thickTop="1" thickBot="1" x14ac:dyDescent="0.25">
      <c r="A32" s="215" t="s">
        <v>105</v>
      </c>
      <c r="B32" s="211">
        <v>0</v>
      </c>
      <c r="C32" s="1012">
        <v>0</v>
      </c>
      <c r="D32" s="1013"/>
    </row>
    <row r="33" spans="1:8" s="216" customFormat="1" ht="100.15" customHeight="1" thickTop="1" thickBot="1" x14ac:dyDescent="0.55000000000000004">
      <c r="A33" s="215" t="s">
        <v>106</v>
      </c>
      <c r="B33" s="211">
        <v>0</v>
      </c>
      <c r="C33" s="1012">
        <v>0</v>
      </c>
      <c r="D33" s="1013"/>
      <c r="E33" s="345"/>
    </row>
    <row r="34" spans="1:8" ht="100.15" customHeight="1" thickTop="1" thickBot="1" x14ac:dyDescent="0.25">
      <c r="A34" s="210" t="s">
        <v>107</v>
      </c>
      <c r="B34" s="211">
        <v>0</v>
      </c>
      <c r="C34" s="1012">
        <v>0</v>
      </c>
      <c r="D34" s="1013"/>
    </row>
    <row r="35" spans="1:8" ht="169.15" customHeight="1" thickTop="1" thickBot="1" x14ac:dyDescent="0.25">
      <c r="A35" s="1014" t="s">
        <v>108</v>
      </c>
      <c r="B35" s="1015"/>
      <c r="C35" s="1016">
        <f>SUM(C12:D34)</f>
        <v>641356.78786342265</v>
      </c>
      <c r="D35" s="1017"/>
    </row>
    <row r="36" spans="1:8" ht="77.45" customHeight="1" thickTop="1" thickBot="1" x14ac:dyDescent="0.25">
      <c r="A36" s="1018" t="s">
        <v>109</v>
      </c>
      <c r="B36" s="1019"/>
      <c r="C36" s="1022">
        <f>D6-C35</f>
        <v>2024202.6301365527</v>
      </c>
      <c r="D36" s="1023"/>
      <c r="E36" s="1011"/>
      <c r="F36" s="1011"/>
      <c r="G36" s="1011"/>
      <c r="H36" s="1011"/>
    </row>
    <row r="37" spans="1:8" ht="63" customHeight="1" thickTop="1" thickBot="1" x14ac:dyDescent="0.25">
      <c r="A37" s="1018"/>
      <c r="B37" s="1019"/>
      <c r="C37" s="1022"/>
      <c r="D37" s="1023"/>
      <c r="E37" s="1011"/>
      <c r="F37" s="1011"/>
      <c r="G37" s="1011"/>
      <c r="H37" s="1011"/>
    </row>
    <row r="38" spans="1:8" ht="26.45" customHeight="1" thickTop="1" thickBot="1" x14ac:dyDescent="0.25">
      <c r="A38" s="1020"/>
      <c r="B38" s="1021"/>
      <c r="C38" s="1024"/>
      <c r="D38" s="1025"/>
      <c r="E38" s="1011"/>
      <c r="F38" s="1011"/>
      <c r="G38" s="1011"/>
      <c r="H38" s="1011"/>
    </row>
    <row r="39" spans="1:8" ht="78" customHeight="1" thickTop="1" thickBot="1" x14ac:dyDescent="1">
      <c r="A39" s="1027"/>
      <c r="B39" s="1027"/>
      <c r="C39" s="1026"/>
      <c r="D39" s="1026"/>
      <c r="E39" s="1011"/>
      <c r="F39" s="1011"/>
      <c r="G39" s="1011"/>
      <c r="H39" s="1011"/>
    </row>
    <row r="40" spans="1:8" ht="76.5" thickTop="1" thickBot="1" x14ac:dyDescent="1">
      <c r="B40" s="217">
        <v>0</v>
      </c>
      <c r="C40" s="1026"/>
      <c r="D40" s="1026"/>
      <c r="E40" s="736">
        <f>8061000-C36</f>
        <v>6036797.3698634468</v>
      </c>
    </row>
    <row r="41" spans="1:8" ht="92.25" thickTop="1" thickBot="1" x14ac:dyDescent="1.2">
      <c r="B41" s="202"/>
      <c r="C41" s="1038" t="s">
        <v>807</v>
      </c>
      <c r="D41" s="1039"/>
    </row>
    <row r="42" spans="1:8" ht="90.75" thickTop="1" x14ac:dyDescent="1.1499999999999999">
      <c r="B42" s="202"/>
      <c r="C42" s="1026"/>
      <c r="D42" s="1026"/>
    </row>
    <row r="43" spans="1:8" ht="90" x14ac:dyDescent="1.1499999999999999">
      <c r="B43" s="202"/>
    </row>
    <row r="55" spans="1:1" s="216" customFormat="1" x14ac:dyDescent="0.95">
      <c r="A55" s="331"/>
    </row>
    <row r="56" spans="1:1" s="216" customFormat="1" x14ac:dyDescent="0.95">
      <c r="A56" s="331"/>
    </row>
    <row r="57" spans="1:1" s="216" customFormat="1" x14ac:dyDescent="0.95">
      <c r="A57" s="331"/>
    </row>
    <row r="58" spans="1:1" s="216" customFormat="1" x14ac:dyDescent="0.95">
      <c r="A58" s="331"/>
    </row>
    <row r="65" spans="1:1" s="216" customFormat="1" x14ac:dyDescent="0.95">
      <c r="A65" s="331"/>
    </row>
    <row r="66" spans="1:1" s="216" customFormat="1" x14ac:dyDescent="0.95">
      <c r="A66" s="331"/>
    </row>
    <row r="67" spans="1:1" s="216" customFormat="1" x14ac:dyDescent="0.95">
      <c r="A67" s="331"/>
    </row>
    <row r="68" spans="1:1" s="216" customFormat="1" x14ac:dyDescent="0.95">
      <c r="A68" s="331"/>
    </row>
    <row r="69" spans="1:1" s="216" customFormat="1" x14ac:dyDescent="0.95">
      <c r="A69" s="331"/>
    </row>
    <row r="70" spans="1:1" s="216" customFormat="1" x14ac:dyDescent="0.95">
      <c r="A70" s="331"/>
    </row>
    <row r="82" spans="1:5" ht="75.75" thickBot="1" x14ac:dyDescent="1"/>
    <row r="83" spans="1:5" x14ac:dyDescent="0.95">
      <c r="E83" s="332"/>
    </row>
    <row r="85" spans="1:5" ht="75.75" thickBot="1" x14ac:dyDescent="1">
      <c r="E85" s="333"/>
    </row>
    <row r="87" spans="1:5" x14ac:dyDescent="0.95">
      <c r="A87" s="330" t="s">
        <v>44</v>
      </c>
    </row>
    <row r="88" spans="1:5" x14ac:dyDescent="0.95">
      <c r="A88" s="330" t="s">
        <v>45</v>
      </c>
    </row>
    <row r="89" spans="1:5" x14ac:dyDescent="0.95">
      <c r="A89" s="330" t="s">
        <v>59</v>
      </c>
    </row>
    <row r="96" spans="1:5" s="216" customFormat="1" x14ac:dyDescent="0.95">
      <c r="A96" s="331"/>
    </row>
    <row r="97" spans="1:1" s="216" customFormat="1" x14ac:dyDescent="0.95">
      <c r="A97" s="331"/>
    </row>
    <row r="98" spans="1:1" s="216" customFormat="1" x14ac:dyDescent="0.95">
      <c r="A98" s="331"/>
    </row>
    <row r="99" spans="1:1" s="216" customFormat="1" x14ac:dyDescent="0.95">
      <c r="A99" s="331"/>
    </row>
    <row r="106" spans="1:1" s="216" customFormat="1" x14ac:dyDescent="0.95">
      <c r="A106" s="331"/>
    </row>
    <row r="107" spans="1:1" s="216" customFormat="1" x14ac:dyDescent="0.95">
      <c r="A107" s="331"/>
    </row>
    <row r="108" spans="1:1" s="216" customFormat="1" x14ac:dyDescent="0.95">
      <c r="A108" s="331"/>
    </row>
    <row r="109" spans="1:1" s="216" customFormat="1" x14ac:dyDescent="0.95">
      <c r="A109" s="331"/>
    </row>
    <row r="110" spans="1:1" s="216" customFormat="1" x14ac:dyDescent="0.95">
      <c r="A110" s="331"/>
    </row>
    <row r="111" spans="1:1" s="216" customFormat="1" x14ac:dyDescent="0.95">
      <c r="A111" s="331"/>
    </row>
    <row r="116" spans="1:5" ht="75.75" thickBot="1" x14ac:dyDescent="1"/>
    <row r="117" spans="1:5" x14ac:dyDescent="0.95">
      <c r="D117" s="334"/>
      <c r="E117" s="335"/>
    </row>
    <row r="118" spans="1:5" x14ac:dyDescent="0.95">
      <c r="D118" s="334"/>
      <c r="E118" s="336"/>
    </row>
    <row r="119" spans="1:5" ht="75.75" thickBot="1" x14ac:dyDescent="1">
      <c r="D119" s="334"/>
      <c r="E119" s="337"/>
    </row>
    <row r="120" spans="1:5" ht="82.5" customHeight="1" thickBot="1" x14ac:dyDescent="0.9">
      <c r="A120" s="336" t="s">
        <v>60</v>
      </c>
      <c r="B120" s="336"/>
      <c r="C120" s="336"/>
      <c r="D120" s="336"/>
    </row>
    <row r="121" spans="1:5" x14ac:dyDescent="0.95">
      <c r="E121" s="338"/>
    </row>
    <row r="122" spans="1:5" x14ac:dyDescent="0.95">
      <c r="E122" s="339"/>
    </row>
    <row r="123" spans="1:5" x14ac:dyDescent="0.95">
      <c r="E123" s="339"/>
    </row>
    <row r="124" spans="1:5" ht="75.75" thickBot="1" x14ac:dyDescent="1">
      <c r="E124" s="340"/>
    </row>
    <row r="125" spans="1:5" ht="93.75" customHeight="1" thickBot="1" x14ac:dyDescent="0.9">
      <c r="A125" s="336" t="s">
        <v>110</v>
      </c>
      <c r="B125" s="336"/>
      <c r="C125" s="336"/>
      <c r="D125" s="336"/>
      <c r="E125" s="336"/>
    </row>
    <row r="126" spans="1:5" x14ac:dyDescent="0.95">
      <c r="E126" s="338"/>
    </row>
    <row r="127" spans="1:5" x14ac:dyDescent="0.95">
      <c r="E127" s="339"/>
    </row>
    <row r="128" spans="1:5" x14ac:dyDescent="0.95">
      <c r="E128" s="339"/>
    </row>
    <row r="129" spans="1:5" x14ac:dyDescent="0.95">
      <c r="E129" s="339"/>
    </row>
    <row r="130" spans="1:5" ht="75.75" thickBot="1" x14ac:dyDescent="1">
      <c r="E130" s="340"/>
    </row>
    <row r="132" spans="1:5" ht="124.5" customHeight="1" x14ac:dyDescent="0.95"/>
    <row r="137" spans="1:5" s="216" customFormat="1" x14ac:dyDescent="0.95">
      <c r="A137" s="331"/>
    </row>
    <row r="138" spans="1:5" s="216" customFormat="1" x14ac:dyDescent="0.95">
      <c r="A138" s="331"/>
    </row>
    <row r="139" spans="1:5" s="216" customFormat="1" x14ac:dyDescent="0.95">
      <c r="A139" s="331"/>
    </row>
    <row r="140" spans="1:5" s="216" customFormat="1" x14ac:dyDescent="0.95">
      <c r="A140" s="331"/>
    </row>
    <row r="146" spans="1:5" s="216" customFormat="1" x14ac:dyDescent="0.95">
      <c r="A146" s="331"/>
    </row>
    <row r="147" spans="1:5" s="216" customFormat="1" x14ac:dyDescent="0.95">
      <c r="A147" s="331"/>
    </row>
    <row r="148" spans="1:5" s="216" customFormat="1" x14ac:dyDescent="0.95">
      <c r="A148" s="331"/>
    </row>
    <row r="149" spans="1:5" s="216" customFormat="1" x14ac:dyDescent="0.95">
      <c r="A149" s="331"/>
    </row>
    <row r="150" spans="1:5" s="216" customFormat="1" x14ac:dyDescent="0.95">
      <c r="A150" s="331"/>
    </row>
    <row r="151" spans="1:5" s="216" customFormat="1" x14ac:dyDescent="0.95">
      <c r="A151" s="331"/>
    </row>
    <row r="155" spans="1:5" ht="103.5" customHeight="1" x14ac:dyDescent="0.95"/>
    <row r="156" spans="1:5" ht="75.75" thickBot="1" x14ac:dyDescent="1">
      <c r="A156" s="330" t="s">
        <v>39</v>
      </c>
    </row>
    <row r="157" spans="1:5" ht="75.75" thickBot="1" x14ac:dyDescent="1">
      <c r="E157" s="341"/>
    </row>
    <row r="158" spans="1:5" ht="75.75" thickBot="1" x14ac:dyDescent="1">
      <c r="E158" s="336"/>
    </row>
    <row r="159" spans="1:5" ht="75.75" thickBot="1" x14ac:dyDescent="1">
      <c r="E159" s="341"/>
    </row>
    <row r="160" spans="1:5" x14ac:dyDescent="0.95">
      <c r="E160" s="336"/>
    </row>
    <row r="161" spans="1:5" ht="75.75" thickBot="1" x14ac:dyDescent="1">
      <c r="E161" s="336"/>
    </row>
    <row r="162" spans="1:5" x14ac:dyDescent="0.95">
      <c r="E162" s="335"/>
    </row>
    <row r="163" spans="1:5" ht="75.75" thickBot="1" x14ac:dyDescent="1">
      <c r="E163" s="337"/>
    </row>
    <row r="164" spans="1:5" x14ac:dyDescent="0.95">
      <c r="E164" s="335"/>
    </row>
    <row r="165" spans="1:5" ht="75.75" thickBot="1" x14ac:dyDescent="1">
      <c r="E165" s="337"/>
    </row>
    <row r="166" spans="1:5" x14ac:dyDescent="0.95">
      <c r="E166" s="335"/>
    </row>
    <row r="167" spans="1:5" ht="75.75" thickBot="1" x14ac:dyDescent="1">
      <c r="E167" s="337"/>
    </row>
    <row r="168" spans="1:5" x14ac:dyDescent="0.95">
      <c r="E168" s="335"/>
    </row>
    <row r="169" spans="1:5" ht="75.75" thickBot="1" x14ac:dyDescent="1">
      <c r="E169" s="337"/>
    </row>
    <row r="170" spans="1:5" ht="75.75" thickBot="1" x14ac:dyDescent="1">
      <c r="E170" s="336"/>
    </row>
    <row r="171" spans="1:5" ht="75.75" thickBot="1" x14ac:dyDescent="1">
      <c r="E171" s="335"/>
    </row>
    <row r="172" spans="1:5" ht="180.75" customHeight="1" thickTop="1" thickBot="1" x14ac:dyDescent="1.2">
      <c r="A172" s="342"/>
      <c r="B172" s="343"/>
      <c r="C172" s="343"/>
      <c r="D172" s="343"/>
      <c r="E172" s="343"/>
    </row>
    <row r="173" spans="1:5" ht="75.75" thickTop="1" x14ac:dyDescent="0.95"/>
    <row r="175" spans="1:5" s="216" customFormat="1" x14ac:dyDescent="0.95">
      <c r="A175" s="331"/>
    </row>
    <row r="176" spans="1:5" s="216" customFormat="1" x14ac:dyDescent="0.95">
      <c r="A176" s="331"/>
    </row>
    <row r="177" spans="1:1" s="216" customFormat="1" x14ac:dyDescent="0.95">
      <c r="A177" s="331"/>
    </row>
    <row r="178" spans="1:1" s="216" customFormat="1" x14ac:dyDescent="0.95">
      <c r="A178" s="331"/>
    </row>
  </sheetData>
  <mergeCells count="57">
    <mergeCell ref="C40:D40"/>
    <mergeCell ref="C41:D41"/>
    <mergeCell ref="C42:D42"/>
    <mergeCell ref="N11:T11"/>
    <mergeCell ref="A1:D1"/>
    <mergeCell ref="N5:T5"/>
    <mergeCell ref="A9:C9"/>
    <mergeCell ref="A10:C10"/>
    <mergeCell ref="C11:D11"/>
    <mergeCell ref="I11:K11"/>
    <mergeCell ref="E9:G9"/>
    <mergeCell ref="F10:H10"/>
    <mergeCell ref="C12:D12"/>
    <mergeCell ref="N12:T12"/>
    <mergeCell ref="C13:D13"/>
    <mergeCell ref="N13:T13"/>
    <mergeCell ref="U5:Y5"/>
    <mergeCell ref="N6:T6"/>
    <mergeCell ref="W6:AB6"/>
    <mergeCell ref="A7:C7"/>
    <mergeCell ref="A8:C8"/>
    <mergeCell ref="E7:H8"/>
    <mergeCell ref="C14:D14"/>
    <mergeCell ref="N14:T14"/>
    <mergeCell ref="C15:D15"/>
    <mergeCell ref="N15:T15"/>
    <mergeCell ref="C16:D16"/>
    <mergeCell ref="N16:T16"/>
    <mergeCell ref="C17:D17"/>
    <mergeCell ref="N17:T17"/>
    <mergeCell ref="C18:D18"/>
    <mergeCell ref="N18:T18"/>
    <mergeCell ref="C19:D19"/>
    <mergeCell ref="N19:T19"/>
    <mergeCell ref="C20:D20"/>
    <mergeCell ref="N20:T20"/>
    <mergeCell ref="C32:D32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E36:H39"/>
    <mergeCell ref="C33:D33"/>
    <mergeCell ref="C34:D34"/>
    <mergeCell ref="A35:B35"/>
    <mergeCell ref="C35:D35"/>
    <mergeCell ref="A36:B38"/>
    <mergeCell ref="C36:D38"/>
    <mergeCell ref="C39:D39"/>
    <mergeCell ref="A39:B39"/>
  </mergeCells>
  <printOptions horizontalCentered="1" verticalCentered="1"/>
  <pageMargins left="0" right="0" top="0.31496062992125984" bottom="0" header="0" footer="0"/>
  <pageSetup paperSize="9" scale="21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"/>
  <dimension ref="A1:DJ416"/>
  <sheetViews>
    <sheetView rightToLeft="1" view="pageBreakPreview" zoomScale="10" zoomScaleNormal="10" zoomScaleSheetLayoutView="10" workbookViewId="0">
      <pane xSplit="8" ySplit="1" topLeftCell="AQ53" activePane="bottomRight" state="frozen"/>
      <selection pane="topRight" activeCell="I1" sqref="I1"/>
      <selection pane="bottomLeft" activeCell="A2" sqref="A2"/>
      <selection pane="bottomRight" activeCell="BH275" sqref="BH275:BH280"/>
    </sheetView>
  </sheetViews>
  <sheetFormatPr defaultColWidth="57.7109375" defaultRowHeight="199.9" customHeight="1" thickTop="1" thickBottom="1" x14ac:dyDescent="1.3"/>
  <cols>
    <col min="1" max="1" width="57.42578125" style="535" customWidth="1"/>
    <col min="2" max="2" width="103.85546875" style="536" customWidth="1"/>
    <col min="3" max="3" width="51.7109375" style="537" customWidth="1"/>
    <col min="4" max="4" width="22.5703125" style="537" customWidth="1"/>
    <col min="5" max="58" width="53.7109375" style="513" customWidth="1"/>
    <col min="59" max="59" width="88.140625" style="538" customWidth="1"/>
    <col min="60" max="60" width="93.7109375" style="539" customWidth="1"/>
    <col min="61" max="61" width="96.140625" style="513" bestFit="1" customWidth="1"/>
    <col min="62" max="62" width="127.140625" style="513" bestFit="1" customWidth="1"/>
    <col min="63" max="16384" width="57.7109375" style="513"/>
  </cols>
  <sheetData>
    <row r="1" spans="1:65" s="516" customFormat="1" ht="391.9" customHeight="1" thickTop="1" thickBot="1" x14ac:dyDescent="1.3">
      <c r="A1" s="1092" t="s">
        <v>154</v>
      </c>
      <c r="B1" s="1091"/>
      <c r="C1" s="1091"/>
      <c r="D1" s="1091"/>
      <c r="E1" s="1091" t="s">
        <v>798</v>
      </c>
      <c r="F1" s="1091"/>
      <c r="G1" s="1091"/>
      <c r="H1" s="1091"/>
      <c r="I1" s="1091"/>
      <c r="J1" s="1091"/>
      <c r="K1" s="1091"/>
      <c r="L1" s="1091"/>
      <c r="M1" s="1091"/>
      <c r="N1" s="1091"/>
      <c r="O1" s="1091" t="s">
        <v>236</v>
      </c>
      <c r="P1" s="1091"/>
      <c r="Q1" s="1091"/>
      <c r="R1" s="1091"/>
      <c r="S1" s="1091"/>
      <c r="T1" s="1091"/>
      <c r="U1" s="1091"/>
      <c r="V1" s="1091" t="s">
        <v>798</v>
      </c>
      <c r="W1" s="1091"/>
      <c r="X1" s="1091"/>
      <c r="Y1" s="1091"/>
      <c r="Z1" s="1091"/>
      <c r="AA1" s="1091"/>
      <c r="AB1" s="1091"/>
      <c r="AC1" s="1091"/>
      <c r="AD1" s="1091"/>
      <c r="AE1" s="1091"/>
      <c r="AF1" s="1091" t="s">
        <v>236</v>
      </c>
      <c r="AG1" s="1091"/>
      <c r="AH1" s="1091"/>
      <c r="AI1" s="1091"/>
      <c r="AJ1" s="1091"/>
      <c r="AK1" s="1091"/>
      <c r="AL1" s="1091"/>
      <c r="AM1" s="1091"/>
      <c r="AN1" s="1091" t="s">
        <v>799</v>
      </c>
      <c r="AO1" s="1091"/>
      <c r="AP1" s="1091"/>
      <c r="AQ1" s="1091"/>
      <c r="AR1" s="1091"/>
      <c r="AS1" s="1091"/>
      <c r="AT1" s="1091"/>
      <c r="AU1" s="1091"/>
      <c r="AV1" s="1091"/>
      <c r="AW1" s="1091"/>
      <c r="AX1" s="1091"/>
      <c r="AY1" s="1091"/>
      <c r="AZ1" s="1091"/>
      <c r="BA1" s="1091" t="s">
        <v>236</v>
      </c>
      <c r="BB1" s="1091"/>
      <c r="BC1" s="1091"/>
      <c r="BD1" s="1091"/>
      <c r="BE1" s="1091"/>
      <c r="BF1" s="1091"/>
      <c r="BG1" s="1091"/>
      <c r="BH1" s="1091"/>
      <c r="BI1" s="482"/>
      <c r="BJ1" s="483"/>
      <c r="BK1" s="483"/>
      <c r="BL1" s="483"/>
      <c r="BM1" s="483"/>
    </row>
    <row r="2" spans="1:65" ht="165" thickTop="1" thickBot="1" x14ac:dyDescent="1.3">
      <c r="A2" s="1078" t="s">
        <v>125</v>
      </c>
      <c r="B2" s="1079"/>
      <c r="C2" s="1079"/>
      <c r="D2" s="1079"/>
      <c r="E2" s="484">
        <v>300</v>
      </c>
      <c r="F2" s="484">
        <v>301</v>
      </c>
      <c r="G2" s="484">
        <v>302</v>
      </c>
      <c r="H2" s="484">
        <v>303</v>
      </c>
      <c r="I2" s="484">
        <v>304</v>
      </c>
      <c r="J2" s="484">
        <v>305</v>
      </c>
      <c r="K2" s="484">
        <v>306</v>
      </c>
      <c r="L2" s="484">
        <v>307</v>
      </c>
      <c r="M2" s="484">
        <v>308</v>
      </c>
      <c r="N2" s="484">
        <v>309</v>
      </c>
      <c r="O2" s="484">
        <v>310</v>
      </c>
      <c r="P2" s="484">
        <v>311</v>
      </c>
      <c r="Q2" s="484">
        <v>312</v>
      </c>
      <c r="R2" s="484">
        <v>313</v>
      </c>
      <c r="S2" s="484">
        <v>314</v>
      </c>
      <c r="T2" s="484">
        <v>315</v>
      </c>
      <c r="U2" s="484">
        <v>316</v>
      </c>
      <c r="V2" s="484">
        <v>317</v>
      </c>
      <c r="W2" s="484">
        <v>318</v>
      </c>
      <c r="X2" s="484">
        <v>319</v>
      </c>
      <c r="Y2" s="484">
        <v>320</v>
      </c>
      <c r="Z2" s="484">
        <v>321</v>
      </c>
      <c r="AA2" s="484">
        <v>322</v>
      </c>
      <c r="AB2" s="484">
        <v>323</v>
      </c>
      <c r="AC2" s="484">
        <v>324</v>
      </c>
      <c r="AD2" s="484">
        <v>325</v>
      </c>
      <c r="AE2" s="484">
        <v>326</v>
      </c>
      <c r="AF2" s="484">
        <v>327</v>
      </c>
      <c r="AG2" s="484">
        <v>328</v>
      </c>
      <c r="AH2" s="484">
        <v>329</v>
      </c>
      <c r="AI2" s="484">
        <v>330</v>
      </c>
      <c r="AJ2" s="484">
        <v>331</v>
      </c>
      <c r="AK2" s="484">
        <v>332</v>
      </c>
      <c r="AL2" s="484">
        <v>333</v>
      </c>
      <c r="AM2" s="484">
        <v>334</v>
      </c>
      <c r="AN2" s="484">
        <v>335</v>
      </c>
      <c r="AO2" s="484">
        <v>336</v>
      </c>
      <c r="AP2" s="484">
        <v>337</v>
      </c>
      <c r="AQ2" s="484">
        <v>338</v>
      </c>
      <c r="AR2" s="484">
        <v>339</v>
      </c>
      <c r="AS2" s="484">
        <v>340</v>
      </c>
      <c r="AT2" s="484">
        <v>341</v>
      </c>
      <c r="AU2" s="484">
        <v>342</v>
      </c>
      <c r="AV2" s="484">
        <v>343</v>
      </c>
      <c r="AW2" s="484">
        <v>344</v>
      </c>
      <c r="AX2" s="484">
        <v>345</v>
      </c>
      <c r="AY2" s="484">
        <v>346</v>
      </c>
      <c r="AZ2" s="484">
        <v>347</v>
      </c>
      <c r="BA2" s="484">
        <v>348</v>
      </c>
      <c r="BB2" s="484">
        <v>349</v>
      </c>
      <c r="BC2" s="484">
        <v>350</v>
      </c>
      <c r="BD2" s="484">
        <v>351</v>
      </c>
      <c r="BE2" s="484">
        <v>352</v>
      </c>
      <c r="BF2" s="484">
        <v>353</v>
      </c>
      <c r="BG2" s="485" t="s">
        <v>160</v>
      </c>
      <c r="BH2" s="486" t="s">
        <v>161</v>
      </c>
      <c r="BI2" s="487"/>
      <c r="BJ2" s="488"/>
      <c r="BK2" s="488"/>
      <c r="BL2" s="488"/>
      <c r="BM2" s="488"/>
    </row>
    <row r="3" spans="1:65" s="511" customFormat="1" ht="190.15" customHeight="1" thickTop="1" thickBot="1" x14ac:dyDescent="1.3">
      <c r="A3" s="1093" t="s">
        <v>126</v>
      </c>
      <c r="B3" s="1094"/>
      <c r="C3" s="1053" t="s">
        <v>127</v>
      </c>
      <c r="D3" s="1053"/>
      <c r="E3" s="489">
        <v>965</v>
      </c>
      <c r="F3" s="489">
        <v>965</v>
      </c>
      <c r="G3" s="489">
        <v>965</v>
      </c>
      <c r="H3" s="489">
        <v>965</v>
      </c>
      <c r="I3" s="489">
        <v>965</v>
      </c>
      <c r="J3" s="489">
        <v>965</v>
      </c>
      <c r="K3" s="489">
        <v>965</v>
      </c>
      <c r="L3" s="489">
        <v>965</v>
      </c>
      <c r="M3" s="489">
        <v>965</v>
      </c>
      <c r="N3" s="489">
        <v>965</v>
      </c>
      <c r="O3" s="489">
        <v>965</v>
      </c>
      <c r="P3" s="489">
        <v>965</v>
      </c>
      <c r="Q3" s="489">
        <v>965</v>
      </c>
      <c r="R3" s="489">
        <v>965</v>
      </c>
      <c r="S3" s="489">
        <v>965</v>
      </c>
      <c r="T3" s="489">
        <v>965</v>
      </c>
      <c r="U3" s="489">
        <v>965</v>
      </c>
      <c r="V3" s="489">
        <v>965</v>
      </c>
      <c r="W3" s="489">
        <v>965</v>
      </c>
      <c r="X3" s="489">
        <v>965</v>
      </c>
      <c r="Y3" s="489">
        <v>965</v>
      </c>
      <c r="Z3" s="489">
        <v>965</v>
      </c>
      <c r="AA3" s="489">
        <v>965</v>
      </c>
      <c r="AB3" s="489">
        <v>965</v>
      </c>
      <c r="AC3" s="489">
        <v>965</v>
      </c>
      <c r="AD3" s="489">
        <v>965</v>
      </c>
      <c r="AE3" s="489">
        <v>965</v>
      </c>
      <c r="AF3" s="489">
        <v>965</v>
      </c>
      <c r="AG3" s="489">
        <v>965</v>
      </c>
      <c r="AH3" s="489">
        <v>965</v>
      </c>
      <c r="AI3" s="489">
        <v>965</v>
      </c>
      <c r="AJ3" s="489">
        <v>965</v>
      </c>
      <c r="AK3" s="489">
        <v>965</v>
      </c>
      <c r="AL3" s="489">
        <v>965</v>
      </c>
      <c r="AM3" s="489">
        <v>965</v>
      </c>
      <c r="AN3" s="489">
        <v>965</v>
      </c>
      <c r="AO3" s="489">
        <v>965</v>
      </c>
      <c r="AP3" s="489">
        <v>965</v>
      </c>
      <c r="AQ3" s="489">
        <v>965</v>
      </c>
      <c r="AR3" s="489">
        <v>965</v>
      </c>
      <c r="AS3" s="489">
        <v>965</v>
      </c>
      <c r="AT3" s="489">
        <v>965</v>
      </c>
      <c r="AU3" s="489">
        <v>965</v>
      </c>
      <c r="AV3" s="489">
        <v>965</v>
      </c>
      <c r="AW3" s="489">
        <v>965</v>
      </c>
      <c r="AX3" s="489">
        <v>965</v>
      </c>
      <c r="AY3" s="489">
        <v>965</v>
      </c>
      <c r="AZ3" s="489">
        <v>965</v>
      </c>
      <c r="BA3" s="489">
        <v>965</v>
      </c>
      <c r="BB3" s="489">
        <v>965</v>
      </c>
      <c r="BC3" s="489">
        <v>965</v>
      </c>
      <c r="BD3" s="489">
        <v>965</v>
      </c>
      <c r="BE3" s="489">
        <v>965</v>
      </c>
      <c r="BF3" s="489">
        <v>965</v>
      </c>
      <c r="BG3" s="490">
        <f t="shared" ref="BG3:BG50" si="0">SUM(E3:BF3)</f>
        <v>52110</v>
      </c>
      <c r="BH3" s="1056">
        <f>BG4</f>
        <v>72595.27</v>
      </c>
      <c r="BI3" s="491">
        <f>BG3/BF3</f>
        <v>54</v>
      </c>
      <c r="BJ3" s="492"/>
      <c r="BK3" s="492"/>
      <c r="BL3" s="492"/>
      <c r="BM3" s="492"/>
    </row>
    <row r="4" spans="1:65" ht="190.15" customHeight="1" thickTop="1" thickBot="1" x14ac:dyDescent="1.3">
      <c r="A4" s="1093"/>
      <c r="B4" s="1094"/>
      <c r="C4" s="1052" t="s">
        <v>128</v>
      </c>
      <c r="D4" s="1052"/>
      <c r="E4" s="493">
        <v>1431.17</v>
      </c>
      <c r="F4" s="493">
        <v>1538.93</v>
      </c>
      <c r="G4" s="493">
        <v>1148.0899999999999</v>
      </c>
      <c r="H4" s="493">
        <v>1727.22</v>
      </c>
      <c r="I4" s="493">
        <v>1718.78</v>
      </c>
      <c r="J4" s="493">
        <v>1328.94</v>
      </c>
      <c r="K4" s="493">
        <v>910.95</v>
      </c>
      <c r="L4" s="493">
        <v>916.68</v>
      </c>
      <c r="M4" s="494">
        <v>1289.08</v>
      </c>
      <c r="N4" s="493">
        <v>1403.67</v>
      </c>
      <c r="O4" s="493">
        <v>1082.83</v>
      </c>
      <c r="P4" s="493">
        <v>1237.52</v>
      </c>
      <c r="Q4" s="493">
        <v>2228.69</v>
      </c>
      <c r="R4" s="493">
        <v>1432.32</v>
      </c>
      <c r="S4" s="493">
        <v>939.6</v>
      </c>
      <c r="T4" s="493">
        <v>397.62</v>
      </c>
      <c r="U4" s="493">
        <v>639.04</v>
      </c>
      <c r="V4" s="493">
        <v>563.29999999999995</v>
      </c>
      <c r="W4" s="493">
        <v>1180.23</v>
      </c>
      <c r="X4" s="493">
        <v>1420.86</v>
      </c>
      <c r="Y4" s="493">
        <v>2532.34</v>
      </c>
      <c r="Z4" s="493">
        <v>1277.6199999999999</v>
      </c>
      <c r="AA4" s="493">
        <v>713.72</v>
      </c>
      <c r="AB4" s="493">
        <v>493.26</v>
      </c>
      <c r="AC4" s="493">
        <v>441.38</v>
      </c>
      <c r="AD4" s="493">
        <v>1913.58</v>
      </c>
      <c r="AE4" s="493">
        <v>2194.31</v>
      </c>
      <c r="AF4" s="493">
        <v>2263.06</v>
      </c>
      <c r="AG4" s="493">
        <v>2412.0300000000002</v>
      </c>
      <c r="AH4" s="493">
        <v>2045.35</v>
      </c>
      <c r="AI4" s="493">
        <v>2646.93</v>
      </c>
      <c r="AJ4" s="493">
        <v>710.05</v>
      </c>
      <c r="AK4" s="493">
        <v>710.05</v>
      </c>
      <c r="AL4" s="493">
        <v>814.19</v>
      </c>
      <c r="AM4" s="493">
        <v>1380.75</v>
      </c>
      <c r="AN4" s="493">
        <v>1890.66</v>
      </c>
      <c r="AO4" s="493">
        <v>2114.1</v>
      </c>
      <c r="AP4" s="493">
        <v>1438.04</v>
      </c>
      <c r="AQ4" s="493">
        <v>870.84</v>
      </c>
      <c r="AR4" s="493">
        <v>761.99</v>
      </c>
      <c r="AS4" s="493">
        <v>421.29</v>
      </c>
      <c r="AT4" s="493">
        <v>1873.47</v>
      </c>
      <c r="AU4" s="493">
        <v>2192.64</v>
      </c>
      <c r="AV4" s="493">
        <v>1701.59</v>
      </c>
      <c r="AW4" s="493">
        <v>899.49</v>
      </c>
      <c r="AX4" s="493">
        <v>1581.28</v>
      </c>
      <c r="AY4" s="493">
        <v>1410.18</v>
      </c>
      <c r="AZ4" s="493">
        <v>1205.43</v>
      </c>
      <c r="BA4" s="493">
        <v>516.13</v>
      </c>
      <c r="BB4" s="493">
        <v>790.88</v>
      </c>
      <c r="BC4" s="493">
        <v>1352.1</v>
      </c>
      <c r="BD4" s="493">
        <v>1278.3399999999999</v>
      </c>
      <c r="BE4" s="493">
        <v>1362.13</v>
      </c>
      <c r="BF4" s="493">
        <v>1850.55</v>
      </c>
      <c r="BG4" s="495">
        <f>SUM(E4:BF4)</f>
        <v>72595.27</v>
      </c>
      <c r="BH4" s="1056"/>
      <c r="BI4" s="496">
        <f>BG4/BF4</f>
        <v>39.22902380373403</v>
      </c>
      <c r="BJ4" s="488"/>
      <c r="BK4" s="488"/>
      <c r="BL4" s="488"/>
      <c r="BM4" s="488"/>
    </row>
    <row r="5" spans="1:65" ht="283.89999999999998" hidden="1" customHeight="1" x14ac:dyDescent="1.25">
      <c r="A5" s="1089" t="s">
        <v>205</v>
      </c>
      <c r="B5" s="1090"/>
      <c r="C5" s="1052" t="s">
        <v>127</v>
      </c>
      <c r="D5" s="1052"/>
      <c r="E5" s="493">
        <v>250</v>
      </c>
      <c r="F5" s="493">
        <v>250</v>
      </c>
      <c r="G5" s="493">
        <v>250</v>
      </c>
      <c r="H5" s="493">
        <v>250</v>
      </c>
      <c r="I5" s="493">
        <v>250</v>
      </c>
      <c r="J5" s="493">
        <v>250</v>
      </c>
      <c r="K5" s="493">
        <v>250</v>
      </c>
      <c r="L5" s="493">
        <v>250</v>
      </c>
      <c r="M5" s="493">
        <v>250</v>
      </c>
      <c r="N5" s="493">
        <v>250</v>
      </c>
      <c r="O5" s="493">
        <v>250</v>
      </c>
      <c r="P5" s="493">
        <v>250</v>
      </c>
      <c r="Q5" s="493">
        <v>250</v>
      </c>
      <c r="R5" s="493">
        <v>250</v>
      </c>
      <c r="S5" s="493">
        <v>250</v>
      </c>
      <c r="T5" s="493">
        <v>250</v>
      </c>
      <c r="U5" s="493">
        <v>250</v>
      </c>
      <c r="V5" s="493">
        <v>250</v>
      </c>
      <c r="W5" s="493">
        <v>250</v>
      </c>
      <c r="X5" s="493">
        <v>250</v>
      </c>
      <c r="Y5" s="493">
        <v>250</v>
      </c>
      <c r="Z5" s="493">
        <v>250</v>
      </c>
      <c r="AA5" s="493">
        <v>250</v>
      </c>
      <c r="AB5" s="493">
        <v>250</v>
      </c>
      <c r="AC5" s="493">
        <v>250</v>
      </c>
      <c r="AD5" s="493">
        <v>250</v>
      </c>
      <c r="AE5" s="493">
        <v>250</v>
      </c>
      <c r="AF5" s="493">
        <v>250</v>
      </c>
      <c r="AG5" s="493">
        <v>250</v>
      </c>
      <c r="AH5" s="493">
        <v>250</v>
      </c>
      <c r="AI5" s="493">
        <v>250</v>
      </c>
      <c r="AJ5" s="493">
        <v>250</v>
      </c>
      <c r="AK5" s="493">
        <v>250</v>
      </c>
      <c r="AL5" s="493">
        <v>250</v>
      </c>
      <c r="AM5" s="493">
        <v>250</v>
      </c>
      <c r="AN5" s="493">
        <v>250</v>
      </c>
      <c r="AO5" s="493">
        <v>250</v>
      </c>
      <c r="AP5" s="493">
        <v>250</v>
      </c>
      <c r="AQ5" s="493">
        <v>250</v>
      </c>
      <c r="AR5" s="493">
        <v>250</v>
      </c>
      <c r="AS5" s="493">
        <v>250</v>
      </c>
      <c r="AT5" s="493">
        <v>250</v>
      </c>
      <c r="AU5" s="493">
        <v>250</v>
      </c>
      <c r="AV5" s="493">
        <v>250</v>
      </c>
      <c r="AW5" s="493">
        <v>250</v>
      </c>
      <c r="AX5" s="493">
        <v>250</v>
      </c>
      <c r="AY5" s="493">
        <v>250</v>
      </c>
      <c r="AZ5" s="493">
        <v>250</v>
      </c>
      <c r="BA5" s="493">
        <v>250</v>
      </c>
      <c r="BB5" s="493">
        <v>250</v>
      </c>
      <c r="BC5" s="493">
        <v>250</v>
      </c>
      <c r="BD5" s="493">
        <v>250</v>
      </c>
      <c r="BE5" s="493">
        <v>250</v>
      </c>
      <c r="BF5" s="493">
        <v>250</v>
      </c>
      <c r="BG5" s="495">
        <f t="shared" si="0"/>
        <v>13500</v>
      </c>
      <c r="BH5" s="1056">
        <f>BG6</f>
        <v>0</v>
      </c>
      <c r="BI5" s="496">
        <f t="shared" ref="BI5:BI62" si="1">BG5/BF5</f>
        <v>54</v>
      </c>
      <c r="BJ5" s="488"/>
      <c r="BK5" s="488"/>
      <c r="BL5" s="488"/>
      <c r="BM5" s="488"/>
    </row>
    <row r="6" spans="1:65" ht="283.89999999999998" hidden="1" customHeight="1" x14ac:dyDescent="1.25">
      <c r="A6" s="1089"/>
      <c r="B6" s="1090"/>
      <c r="C6" s="1052" t="s">
        <v>128</v>
      </c>
      <c r="D6" s="1052"/>
      <c r="E6" s="493"/>
      <c r="F6" s="493"/>
      <c r="G6" s="493"/>
      <c r="H6" s="493"/>
      <c r="I6" s="493"/>
      <c r="J6" s="493"/>
      <c r="K6" s="493"/>
      <c r="L6" s="493"/>
      <c r="M6" s="493"/>
      <c r="N6" s="493"/>
      <c r="O6" s="493"/>
      <c r="P6" s="493"/>
      <c r="Q6" s="493"/>
      <c r="R6" s="493"/>
      <c r="S6" s="493"/>
      <c r="T6" s="493"/>
      <c r="U6" s="493"/>
      <c r="V6" s="493"/>
      <c r="W6" s="493"/>
      <c r="X6" s="493"/>
      <c r="Y6" s="493"/>
      <c r="Z6" s="493"/>
      <c r="AA6" s="493"/>
      <c r="AB6" s="493"/>
      <c r="AC6" s="493"/>
      <c r="AD6" s="493"/>
      <c r="AE6" s="493"/>
      <c r="AF6" s="493"/>
      <c r="AG6" s="493"/>
      <c r="AH6" s="493"/>
      <c r="AI6" s="493"/>
      <c r="AJ6" s="493"/>
      <c r="AK6" s="493"/>
      <c r="AL6" s="493"/>
      <c r="AM6" s="493"/>
      <c r="AN6" s="493"/>
      <c r="AO6" s="493"/>
      <c r="AP6" s="493"/>
      <c r="AQ6" s="493"/>
      <c r="AR6" s="493"/>
      <c r="AS6" s="493"/>
      <c r="AT6" s="493"/>
      <c r="AU6" s="493"/>
      <c r="AV6" s="493"/>
      <c r="AW6" s="493"/>
      <c r="AX6" s="493"/>
      <c r="AY6" s="493"/>
      <c r="AZ6" s="493"/>
      <c r="BA6" s="493"/>
      <c r="BB6" s="493"/>
      <c r="BC6" s="493"/>
      <c r="BD6" s="493"/>
      <c r="BE6" s="493"/>
      <c r="BF6" s="493"/>
      <c r="BG6" s="495">
        <f>SUM(E6:BF6)</f>
        <v>0</v>
      </c>
      <c r="BH6" s="1056"/>
      <c r="BI6" s="496" t="e">
        <f t="shared" si="1"/>
        <v>#DIV/0!</v>
      </c>
      <c r="BJ6" s="488"/>
      <c r="BK6" s="488"/>
      <c r="BL6" s="488"/>
      <c r="BM6" s="488"/>
    </row>
    <row r="7" spans="1:65" s="511" customFormat="1" ht="190.15" customHeight="1" thickTop="1" thickBot="1" x14ac:dyDescent="1.3">
      <c r="A7" s="1089" t="s">
        <v>478</v>
      </c>
      <c r="B7" s="1090"/>
      <c r="C7" s="1053" t="s">
        <v>127</v>
      </c>
      <c r="D7" s="1053"/>
      <c r="E7" s="497">
        <v>250</v>
      </c>
      <c r="F7" s="497">
        <v>250</v>
      </c>
      <c r="G7" s="497">
        <v>250</v>
      </c>
      <c r="H7" s="497">
        <v>250</v>
      </c>
      <c r="I7" s="497">
        <v>250</v>
      </c>
      <c r="J7" s="497">
        <v>250</v>
      </c>
      <c r="K7" s="497">
        <v>250</v>
      </c>
      <c r="L7" s="497">
        <v>250</v>
      </c>
      <c r="M7" s="497">
        <v>250</v>
      </c>
      <c r="N7" s="497">
        <v>250</v>
      </c>
      <c r="O7" s="497">
        <v>250</v>
      </c>
      <c r="P7" s="497">
        <v>250</v>
      </c>
      <c r="Q7" s="497">
        <v>250</v>
      </c>
      <c r="R7" s="497">
        <v>250</v>
      </c>
      <c r="S7" s="497">
        <v>250</v>
      </c>
      <c r="T7" s="497">
        <v>250</v>
      </c>
      <c r="U7" s="497">
        <v>250</v>
      </c>
      <c r="V7" s="497">
        <v>250</v>
      </c>
      <c r="W7" s="497">
        <v>250</v>
      </c>
      <c r="X7" s="497">
        <v>250</v>
      </c>
      <c r="Y7" s="497">
        <v>250</v>
      </c>
      <c r="Z7" s="497">
        <v>250</v>
      </c>
      <c r="AA7" s="497">
        <v>250</v>
      </c>
      <c r="AB7" s="497">
        <v>250</v>
      </c>
      <c r="AC7" s="497">
        <v>250</v>
      </c>
      <c r="AD7" s="497">
        <v>250</v>
      </c>
      <c r="AE7" s="497">
        <v>250</v>
      </c>
      <c r="AF7" s="497">
        <v>250</v>
      </c>
      <c r="AG7" s="497">
        <v>250</v>
      </c>
      <c r="AH7" s="497">
        <v>250</v>
      </c>
      <c r="AI7" s="497">
        <v>250</v>
      </c>
      <c r="AJ7" s="497">
        <v>250</v>
      </c>
      <c r="AK7" s="497">
        <v>250</v>
      </c>
      <c r="AL7" s="497">
        <v>250</v>
      </c>
      <c r="AM7" s="497">
        <v>250</v>
      </c>
      <c r="AN7" s="497">
        <v>250</v>
      </c>
      <c r="AO7" s="497">
        <v>250</v>
      </c>
      <c r="AP7" s="497">
        <v>250</v>
      </c>
      <c r="AQ7" s="497">
        <v>250</v>
      </c>
      <c r="AR7" s="497">
        <v>250</v>
      </c>
      <c r="AS7" s="497">
        <v>250</v>
      </c>
      <c r="AT7" s="497">
        <v>250</v>
      </c>
      <c r="AU7" s="497">
        <v>250</v>
      </c>
      <c r="AV7" s="497">
        <v>250</v>
      </c>
      <c r="AW7" s="497">
        <v>250</v>
      </c>
      <c r="AX7" s="497">
        <v>250</v>
      </c>
      <c r="AY7" s="497">
        <v>250</v>
      </c>
      <c r="AZ7" s="497">
        <v>250</v>
      </c>
      <c r="BA7" s="497">
        <v>250</v>
      </c>
      <c r="BB7" s="497">
        <v>250</v>
      </c>
      <c r="BC7" s="497">
        <v>250</v>
      </c>
      <c r="BD7" s="497">
        <v>250</v>
      </c>
      <c r="BE7" s="497">
        <v>250</v>
      </c>
      <c r="BF7" s="497">
        <v>250</v>
      </c>
      <c r="BG7" s="497">
        <f>SUM(E7:BF7)</f>
        <v>13500</v>
      </c>
      <c r="BH7" s="1056">
        <f>BG8</f>
        <v>16848</v>
      </c>
      <c r="BI7" s="491">
        <f t="shared" si="1"/>
        <v>54</v>
      </c>
      <c r="BJ7" s="492"/>
      <c r="BK7" s="492"/>
      <c r="BL7" s="492"/>
      <c r="BM7" s="492"/>
    </row>
    <row r="8" spans="1:65" ht="190.15" customHeight="1" thickTop="1" thickBot="1" x14ac:dyDescent="1.3">
      <c r="A8" s="1089"/>
      <c r="B8" s="1090"/>
      <c r="C8" s="1052" t="s">
        <v>128</v>
      </c>
      <c r="D8" s="1052"/>
      <c r="E8" s="493">
        <v>312</v>
      </c>
      <c r="F8" s="493">
        <v>312</v>
      </c>
      <c r="G8" s="493">
        <v>312</v>
      </c>
      <c r="H8" s="493">
        <v>312</v>
      </c>
      <c r="I8" s="493">
        <v>312</v>
      </c>
      <c r="J8" s="493">
        <v>312</v>
      </c>
      <c r="K8" s="493">
        <v>312</v>
      </c>
      <c r="L8" s="493">
        <v>312</v>
      </c>
      <c r="M8" s="493">
        <v>312</v>
      </c>
      <c r="N8" s="493">
        <v>312</v>
      </c>
      <c r="O8" s="493">
        <v>312</v>
      </c>
      <c r="P8" s="493">
        <v>312</v>
      </c>
      <c r="Q8" s="493">
        <v>312</v>
      </c>
      <c r="R8" s="493">
        <v>312</v>
      </c>
      <c r="S8" s="493">
        <v>312</v>
      </c>
      <c r="T8" s="493">
        <v>312</v>
      </c>
      <c r="U8" s="493">
        <v>312</v>
      </c>
      <c r="V8" s="493">
        <v>312</v>
      </c>
      <c r="W8" s="493">
        <v>312</v>
      </c>
      <c r="X8" s="493">
        <v>312</v>
      </c>
      <c r="Y8" s="493">
        <v>312</v>
      </c>
      <c r="Z8" s="493">
        <v>312</v>
      </c>
      <c r="AA8" s="493">
        <v>312</v>
      </c>
      <c r="AB8" s="493">
        <v>312</v>
      </c>
      <c r="AC8" s="493">
        <v>312</v>
      </c>
      <c r="AD8" s="493">
        <v>312</v>
      </c>
      <c r="AE8" s="493">
        <v>312</v>
      </c>
      <c r="AF8" s="493">
        <v>312</v>
      </c>
      <c r="AG8" s="493">
        <v>312</v>
      </c>
      <c r="AH8" s="493">
        <v>312</v>
      </c>
      <c r="AI8" s="493">
        <v>312</v>
      </c>
      <c r="AJ8" s="493">
        <v>312</v>
      </c>
      <c r="AK8" s="493">
        <v>312</v>
      </c>
      <c r="AL8" s="493">
        <v>312</v>
      </c>
      <c r="AM8" s="493">
        <v>312</v>
      </c>
      <c r="AN8" s="493">
        <v>312</v>
      </c>
      <c r="AO8" s="493">
        <v>312</v>
      </c>
      <c r="AP8" s="493">
        <v>312</v>
      </c>
      <c r="AQ8" s="493">
        <v>312</v>
      </c>
      <c r="AR8" s="493">
        <v>312</v>
      </c>
      <c r="AS8" s="493">
        <v>312</v>
      </c>
      <c r="AT8" s="493">
        <v>312</v>
      </c>
      <c r="AU8" s="493">
        <v>312</v>
      </c>
      <c r="AV8" s="493">
        <v>312</v>
      </c>
      <c r="AW8" s="493">
        <v>312</v>
      </c>
      <c r="AX8" s="493">
        <v>312</v>
      </c>
      <c r="AY8" s="493">
        <v>312</v>
      </c>
      <c r="AZ8" s="493">
        <v>312</v>
      </c>
      <c r="BA8" s="493">
        <v>312</v>
      </c>
      <c r="BB8" s="493">
        <v>312</v>
      </c>
      <c r="BC8" s="493">
        <v>312</v>
      </c>
      <c r="BD8" s="493">
        <v>312</v>
      </c>
      <c r="BE8" s="493">
        <v>312</v>
      </c>
      <c r="BF8" s="493">
        <v>312</v>
      </c>
      <c r="BG8" s="493">
        <f>SUM(E8:BF8)</f>
        <v>16848</v>
      </c>
      <c r="BH8" s="1056"/>
      <c r="BI8" s="496">
        <f t="shared" si="1"/>
        <v>54</v>
      </c>
      <c r="BJ8" s="488"/>
      <c r="BK8" s="488"/>
      <c r="BL8" s="488"/>
      <c r="BM8" s="488"/>
    </row>
    <row r="9" spans="1:65" s="511" customFormat="1" ht="189.75" customHeight="1" thickTop="1" thickBot="1" x14ac:dyDescent="1.3">
      <c r="A9" s="1089" t="s">
        <v>151</v>
      </c>
      <c r="B9" s="1090"/>
      <c r="C9" s="1053" t="s">
        <v>127</v>
      </c>
      <c r="D9" s="1053"/>
      <c r="E9" s="489">
        <v>281</v>
      </c>
      <c r="F9" s="489">
        <v>281</v>
      </c>
      <c r="G9" s="489">
        <v>281</v>
      </c>
      <c r="H9" s="489">
        <v>281</v>
      </c>
      <c r="I9" s="489">
        <v>281</v>
      </c>
      <c r="J9" s="489">
        <v>281</v>
      </c>
      <c r="K9" s="489">
        <v>281</v>
      </c>
      <c r="L9" s="489">
        <v>281</v>
      </c>
      <c r="M9" s="489">
        <v>281</v>
      </c>
      <c r="N9" s="489">
        <v>281</v>
      </c>
      <c r="O9" s="489">
        <v>281</v>
      </c>
      <c r="P9" s="489">
        <v>281</v>
      </c>
      <c r="Q9" s="489">
        <v>281</v>
      </c>
      <c r="R9" s="489">
        <v>281</v>
      </c>
      <c r="S9" s="489">
        <v>281</v>
      </c>
      <c r="T9" s="489">
        <v>281</v>
      </c>
      <c r="U9" s="489">
        <v>281</v>
      </c>
      <c r="V9" s="489">
        <v>281</v>
      </c>
      <c r="W9" s="489">
        <v>281</v>
      </c>
      <c r="X9" s="489">
        <v>281</v>
      </c>
      <c r="Y9" s="489">
        <v>281</v>
      </c>
      <c r="Z9" s="489">
        <v>281</v>
      </c>
      <c r="AA9" s="489">
        <v>281</v>
      </c>
      <c r="AB9" s="489">
        <v>281</v>
      </c>
      <c r="AC9" s="489">
        <v>281</v>
      </c>
      <c r="AD9" s="489">
        <v>281</v>
      </c>
      <c r="AE9" s="489">
        <v>281</v>
      </c>
      <c r="AF9" s="489">
        <v>281</v>
      </c>
      <c r="AG9" s="489">
        <v>281</v>
      </c>
      <c r="AH9" s="489">
        <v>281</v>
      </c>
      <c r="AI9" s="489">
        <v>281</v>
      </c>
      <c r="AJ9" s="489">
        <v>281</v>
      </c>
      <c r="AK9" s="489">
        <v>281</v>
      </c>
      <c r="AL9" s="489">
        <v>281</v>
      </c>
      <c r="AM9" s="489">
        <v>281</v>
      </c>
      <c r="AN9" s="489">
        <v>281</v>
      </c>
      <c r="AO9" s="489">
        <v>281</v>
      </c>
      <c r="AP9" s="489">
        <v>281</v>
      </c>
      <c r="AQ9" s="489">
        <v>281</v>
      </c>
      <c r="AR9" s="489">
        <v>281</v>
      </c>
      <c r="AS9" s="489">
        <v>281</v>
      </c>
      <c r="AT9" s="489">
        <v>281</v>
      </c>
      <c r="AU9" s="489">
        <v>281</v>
      </c>
      <c r="AV9" s="489">
        <v>281</v>
      </c>
      <c r="AW9" s="489">
        <v>281</v>
      </c>
      <c r="AX9" s="489">
        <v>281</v>
      </c>
      <c r="AY9" s="489">
        <v>281</v>
      </c>
      <c r="AZ9" s="489">
        <v>281</v>
      </c>
      <c r="BA9" s="489">
        <v>281</v>
      </c>
      <c r="BB9" s="489">
        <v>281</v>
      </c>
      <c r="BC9" s="489">
        <v>281</v>
      </c>
      <c r="BD9" s="489">
        <v>281</v>
      </c>
      <c r="BE9" s="489">
        <v>281</v>
      </c>
      <c r="BF9" s="489">
        <v>281</v>
      </c>
      <c r="BG9" s="490">
        <f t="shared" si="0"/>
        <v>15174</v>
      </c>
      <c r="BH9" s="1056">
        <f>BG10</f>
        <v>30938.220000000012</v>
      </c>
      <c r="BI9" s="491">
        <f t="shared" si="1"/>
        <v>54</v>
      </c>
      <c r="BJ9" s="492"/>
      <c r="BK9" s="492"/>
      <c r="BL9" s="492"/>
      <c r="BM9" s="492"/>
    </row>
    <row r="10" spans="1:65" ht="190.15" customHeight="1" thickTop="1" thickBot="1" x14ac:dyDescent="1.3">
      <c r="A10" s="1089"/>
      <c r="B10" s="1090"/>
      <c r="C10" s="1052" t="s">
        <v>128</v>
      </c>
      <c r="D10" s="1052"/>
      <c r="E10" s="498">
        <v>572.92999999999995</v>
      </c>
      <c r="F10" s="498">
        <v>1432.3249999999998</v>
      </c>
      <c r="G10" s="498">
        <v>1145.8599999999999</v>
      </c>
      <c r="H10" s="498">
        <v>572.92999999999995</v>
      </c>
      <c r="I10" s="498">
        <v>572.92999999999995</v>
      </c>
      <c r="J10" s="498">
        <v>859.39499999999998</v>
      </c>
      <c r="K10" s="498">
        <v>572.92999999999995</v>
      </c>
      <c r="L10" s="498">
        <v>572.92999999999995</v>
      </c>
      <c r="M10" s="498">
        <v>572.92999999999995</v>
      </c>
      <c r="N10" s="498">
        <v>859.39499999999998</v>
      </c>
      <c r="O10" s="498">
        <v>572.92999999999995</v>
      </c>
      <c r="P10" s="498">
        <v>859.39499999999998</v>
      </c>
      <c r="Q10" s="498">
        <v>1432.3249999999998</v>
      </c>
      <c r="R10" s="498">
        <v>572.92999999999995</v>
      </c>
      <c r="S10" s="498">
        <v>572.92999999999995</v>
      </c>
      <c r="T10" s="498">
        <v>0</v>
      </c>
      <c r="U10" s="498">
        <v>0</v>
      </c>
      <c r="V10" s="498">
        <v>0</v>
      </c>
      <c r="W10" s="498">
        <v>572.92999999999995</v>
      </c>
      <c r="X10" s="498">
        <v>572.92999999999995</v>
      </c>
      <c r="Y10" s="498">
        <v>1145.8599999999999</v>
      </c>
      <c r="Z10" s="498">
        <v>572.92999999999995</v>
      </c>
      <c r="AA10" s="498">
        <v>0</v>
      </c>
      <c r="AB10" s="498">
        <v>0</v>
      </c>
      <c r="AC10" s="498">
        <v>0</v>
      </c>
      <c r="AD10" s="498">
        <v>572.92999999999995</v>
      </c>
      <c r="AE10" s="498">
        <v>572.92999999999995</v>
      </c>
      <c r="AF10" s="498">
        <v>1145.8599999999999</v>
      </c>
      <c r="AG10" s="498">
        <v>572.92999999999995</v>
      </c>
      <c r="AH10" s="498">
        <v>572.92999999999995</v>
      </c>
      <c r="AI10" s="498">
        <v>572.92999999999995</v>
      </c>
      <c r="AJ10" s="498">
        <v>0</v>
      </c>
      <c r="AK10" s="498">
        <v>0</v>
      </c>
      <c r="AL10" s="498">
        <v>0</v>
      </c>
      <c r="AM10" s="498">
        <v>572.92999999999995</v>
      </c>
      <c r="AN10" s="498">
        <v>859.39499999999998</v>
      </c>
      <c r="AO10" s="498">
        <v>572.92999999999995</v>
      </c>
      <c r="AP10" s="498">
        <v>859.39499999999998</v>
      </c>
      <c r="AQ10" s="498">
        <v>572.92999999999995</v>
      </c>
      <c r="AR10" s="498">
        <v>286.46499999999997</v>
      </c>
      <c r="AS10" s="498">
        <v>286.46499999999997</v>
      </c>
      <c r="AT10" s="498">
        <v>572.92999999999995</v>
      </c>
      <c r="AU10" s="498">
        <v>859.39499999999998</v>
      </c>
      <c r="AV10" s="498">
        <v>572.92999999999995</v>
      </c>
      <c r="AW10" s="498">
        <v>572.92999999999995</v>
      </c>
      <c r="AX10" s="498">
        <v>572.92999999999995</v>
      </c>
      <c r="AY10" s="498">
        <v>572.92999999999995</v>
      </c>
      <c r="AZ10" s="498">
        <v>572.92999999999995</v>
      </c>
      <c r="BA10" s="498">
        <v>572.92999999999995</v>
      </c>
      <c r="BB10" s="498">
        <v>572.92999999999995</v>
      </c>
      <c r="BC10" s="498">
        <v>1145.8599999999999</v>
      </c>
      <c r="BD10" s="498">
        <v>572.92999999999995</v>
      </c>
      <c r="BE10" s="498">
        <v>572.92999999999995</v>
      </c>
      <c r="BF10" s="498">
        <v>572.92999999999995</v>
      </c>
      <c r="BG10" s="495">
        <f>SUM(E10:BF10)</f>
        <v>30938.220000000012</v>
      </c>
      <c r="BH10" s="1056"/>
      <c r="BI10" s="496">
        <f t="shared" ref="BI10:BI15" si="2">BG10/BF10</f>
        <v>54.000000000000028</v>
      </c>
      <c r="BJ10" s="488"/>
      <c r="BK10" s="488"/>
      <c r="BL10" s="488"/>
      <c r="BM10" s="488"/>
    </row>
    <row r="11" spans="1:65" s="511" customFormat="1" ht="190.15" customHeight="1" thickTop="1" thickBot="1" x14ac:dyDescent="1.3">
      <c r="A11" s="1089" t="s">
        <v>226</v>
      </c>
      <c r="B11" s="1090"/>
      <c r="C11" s="1053" t="s">
        <v>127</v>
      </c>
      <c r="D11" s="1053"/>
      <c r="E11" s="489">
        <v>117</v>
      </c>
      <c r="F11" s="489">
        <v>117</v>
      </c>
      <c r="G11" s="489">
        <v>117</v>
      </c>
      <c r="H11" s="489">
        <v>117</v>
      </c>
      <c r="I11" s="489">
        <v>117</v>
      </c>
      <c r="J11" s="489">
        <v>117</v>
      </c>
      <c r="K11" s="489">
        <v>117</v>
      </c>
      <c r="L11" s="489">
        <v>117</v>
      </c>
      <c r="M11" s="489">
        <v>117</v>
      </c>
      <c r="N11" s="489">
        <v>117</v>
      </c>
      <c r="O11" s="489">
        <v>117</v>
      </c>
      <c r="P11" s="489">
        <v>117</v>
      </c>
      <c r="Q11" s="489">
        <v>117</v>
      </c>
      <c r="R11" s="489">
        <v>117</v>
      </c>
      <c r="S11" s="489">
        <v>117</v>
      </c>
      <c r="T11" s="489">
        <v>117</v>
      </c>
      <c r="U11" s="489">
        <v>117</v>
      </c>
      <c r="V11" s="489">
        <v>117</v>
      </c>
      <c r="W11" s="489">
        <v>117</v>
      </c>
      <c r="X11" s="489">
        <v>117</v>
      </c>
      <c r="Y11" s="489">
        <v>117</v>
      </c>
      <c r="Z11" s="489">
        <v>117</v>
      </c>
      <c r="AA11" s="489">
        <v>117</v>
      </c>
      <c r="AB11" s="489">
        <v>117</v>
      </c>
      <c r="AC11" s="489">
        <v>117</v>
      </c>
      <c r="AD11" s="489">
        <v>117</v>
      </c>
      <c r="AE11" s="489">
        <v>117</v>
      </c>
      <c r="AF11" s="489">
        <v>117</v>
      </c>
      <c r="AG11" s="489">
        <v>117</v>
      </c>
      <c r="AH11" s="489">
        <v>117</v>
      </c>
      <c r="AI11" s="489">
        <v>117</v>
      </c>
      <c r="AJ11" s="489">
        <v>117</v>
      </c>
      <c r="AK11" s="489">
        <v>117</v>
      </c>
      <c r="AL11" s="489">
        <v>117</v>
      </c>
      <c r="AM11" s="489">
        <v>117</v>
      </c>
      <c r="AN11" s="489">
        <v>117</v>
      </c>
      <c r="AO11" s="489">
        <v>117</v>
      </c>
      <c r="AP11" s="489">
        <v>117</v>
      </c>
      <c r="AQ11" s="489">
        <v>117</v>
      </c>
      <c r="AR11" s="489">
        <v>117</v>
      </c>
      <c r="AS11" s="489">
        <v>117</v>
      </c>
      <c r="AT11" s="489">
        <v>117</v>
      </c>
      <c r="AU11" s="489">
        <v>117</v>
      </c>
      <c r="AV11" s="489">
        <v>117</v>
      </c>
      <c r="AW11" s="489">
        <v>117</v>
      </c>
      <c r="AX11" s="489">
        <v>117</v>
      </c>
      <c r="AY11" s="489">
        <v>117</v>
      </c>
      <c r="AZ11" s="489">
        <v>117</v>
      </c>
      <c r="BA11" s="489">
        <v>117</v>
      </c>
      <c r="BB11" s="489">
        <v>117</v>
      </c>
      <c r="BC11" s="489">
        <v>117</v>
      </c>
      <c r="BD11" s="489">
        <v>117</v>
      </c>
      <c r="BE11" s="489">
        <v>117</v>
      </c>
      <c r="BF11" s="489">
        <v>117</v>
      </c>
      <c r="BG11" s="490">
        <f t="shared" si="0"/>
        <v>6318</v>
      </c>
      <c r="BH11" s="1056">
        <f>BG12</f>
        <v>6875.16</v>
      </c>
      <c r="BI11" s="491">
        <f t="shared" si="2"/>
        <v>54</v>
      </c>
      <c r="BJ11" s="492"/>
      <c r="BK11" s="492"/>
      <c r="BL11" s="492"/>
      <c r="BM11" s="492"/>
    </row>
    <row r="12" spans="1:65" ht="190.15" customHeight="1" thickTop="1" thickBot="1" x14ac:dyDescent="1.3">
      <c r="A12" s="1089"/>
      <c r="B12" s="1090"/>
      <c r="C12" s="1052" t="s">
        <v>128</v>
      </c>
      <c r="D12" s="1052"/>
      <c r="E12" s="498">
        <v>0</v>
      </c>
      <c r="F12" s="498">
        <v>0</v>
      </c>
      <c r="G12" s="498">
        <v>0</v>
      </c>
      <c r="H12" s="498">
        <v>859.39499999999998</v>
      </c>
      <c r="I12" s="498">
        <v>859.39499999999998</v>
      </c>
      <c r="J12" s="498">
        <v>0</v>
      </c>
      <c r="K12" s="498">
        <v>0</v>
      </c>
      <c r="L12" s="498">
        <v>0</v>
      </c>
      <c r="M12" s="498">
        <v>0</v>
      </c>
      <c r="N12" s="498">
        <v>0</v>
      </c>
      <c r="O12" s="498">
        <v>0</v>
      </c>
      <c r="P12" s="498">
        <v>0</v>
      </c>
      <c r="Q12" s="498">
        <v>0</v>
      </c>
      <c r="R12" s="498">
        <v>0</v>
      </c>
      <c r="S12" s="498">
        <v>0</v>
      </c>
      <c r="T12" s="498">
        <v>0</v>
      </c>
      <c r="U12" s="498">
        <v>0</v>
      </c>
      <c r="V12" s="498">
        <v>0</v>
      </c>
      <c r="W12" s="498">
        <v>0</v>
      </c>
      <c r="X12" s="498">
        <v>0</v>
      </c>
      <c r="Y12" s="498">
        <v>0</v>
      </c>
      <c r="Z12" s="498">
        <v>0</v>
      </c>
      <c r="AA12" s="498">
        <v>0</v>
      </c>
      <c r="AB12" s="498">
        <v>0</v>
      </c>
      <c r="AC12" s="498">
        <v>0</v>
      </c>
      <c r="AD12" s="498">
        <v>0</v>
      </c>
      <c r="AE12" s="498">
        <v>572.92999999999995</v>
      </c>
      <c r="AF12" s="498">
        <v>0</v>
      </c>
      <c r="AG12" s="498">
        <v>0</v>
      </c>
      <c r="AH12" s="498">
        <v>0</v>
      </c>
      <c r="AI12" s="498">
        <v>859.39499999999998</v>
      </c>
      <c r="AJ12" s="498">
        <v>0</v>
      </c>
      <c r="AK12" s="498">
        <v>0</v>
      </c>
      <c r="AL12" s="498">
        <v>0</v>
      </c>
      <c r="AM12" s="498">
        <v>0</v>
      </c>
      <c r="AN12" s="498">
        <v>0</v>
      </c>
      <c r="AO12" s="498">
        <v>859.39499999999998</v>
      </c>
      <c r="AP12" s="498">
        <v>0</v>
      </c>
      <c r="AQ12" s="498">
        <v>0</v>
      </c>
      <c r="AR12" s="498">
        <v>0</v>
      </c>
      <c r="AS12" s="498">
        <v>0</v>
      </c>
      <c r="AT12" s="498">
        <v>859.39499999999998</v>
      </c>
      <c r="AU12" s="498">
        <v>0</v>
      </c>
      <c r="AV12" s="498">
        <v>0</v>
      </c>
      <c r="AW12" s="498">
        <v>0</v>
      </c>
      <c r="AX12" s="498">
        <v>0</v>
      </c>
      <c r="AY12" s="498">
        <v>0</v>
      </c>
      <c r="AZ12" s="498">
        <v>0</v>
      </c>
      <c r="BA12" s="498">
        <v>0</v>
      </c>
      <c r="BB12" s="498">
        <v>0</v>
      </c>
      <c r="BC12" s="498">
        <v>0</v>
      </c>
      <c r="BD12" s="498">
        <v>572.92999999999995</v>
      </c>
      <c r="BE12" s="498">
        <v>572.92999999999995</v>
      </c>
      <c r="BF12" s="498">
        <v>859.39499999999998</v>
      </c>
      <c r="BG12" s="495">
        <f>SUM(E12:BF12)</f>
        <v>6875.16</v>
      </c>
      <c r="BH12" s="1056"/>
      <c r="BI12" s="496">
        <f t="shared" si="2"/>
        <v>8</v>
      </c>
      <c r="BJ12" s="488"/>
      <c r="BK12" s="488"/>
      <c r="BL12" s="488"/>
      <c r="BM12" s="488"/>
    </row>
    <row r="13" spans="1:65" s="511" customFormat="1" ht="190.15" customHeight="1" thickTop="1" thickBot="1" x14ac:dyDescent="1.3">
      <c r="A13" s="1078" t="s">
        <v>129</v>
      </c>
      <c r="B13" s="1079"/>
      <c r="C13" s="1053" t="s">
        <v>127</v>
      </c>
      <c r="D13" s="1053"/>
      <c r="E13" s="489">
        <v>188</v>
      </c>
      <c r="F13" s="489">
        <v>188</v>
      </c>
      <c r="G13" s="489">
        <v>188</v>
      </c>
      <c r="H13" s="489">
        <v>188</v>
      </c>
      <c r="I13" s="489">
        <v>188</v>
      </c>
      <c r="J13" s="489">
        <v>188</v>
      </c>
      <c r="K13" s="489">
        <v>188</v>
      </c>
      <c r="L13" s="489">
        <v>188</v>
      </c>
      <c r="M13" s="489">
        <v>188</v>
      </c>
      <c r="N13" s="489">
        <v>188</v>
      </c>
      <c r="O13" s="489">
        <v>188</v>
      </c>
      <c r="P13" s="489">
        <v>188</v>
      </c>
      <c r="Q13" s="489">
        <v>188</v>
      </c>
      <c r="R13" s="489">
        <v>188</v>
      </c>
      <c r="S13" s="489">
        <v>188</v>
      </c>
      <c r="T13" s="489">
        <v>188</v>
      </c>
      <c r="U13" s="489">
        <v>188</v>
      </c>
      <c r="V13" s="489">
        <v>188</v>
      </c>
      <c r="W13" s="489">
        <v>188</v>
      </c>
      <c r="X13" s="489">
        <v>188</v>
      </c>
      <c r="Y13" s="489">
        <v>188</v>
      </c>
      <c r="Z13" s="489">
        <v>188</v>
      </c>
      <c r="AA13" s="489">
        <v>188</v>
      </c>
      <c r="AB13" s="489">
        <v>188</v>
      </c>
      <c r="AC13" s="489">
        <v>188</v>
      </c>
      <c r="AD13" s="489">
        <v>188</v>
      </c>
      <c r="AE13" s="489">
        <v>188</v>
      </c>
      <c r="AF13" s="489">
        <v>188</v>
      </c>
      <c r="AG13" s="489">
        <v>188</v>
      </c>
      <c r="AH13" s="489">
        <v>188</v>
      </c>
      <c r="AI13" s="489">
        <v>188</v>
      </c>
      <c r="AJ13" s="489">
        <v>188</v>
      </c>
      <c r="AK13" s="489">
        <v>188</v>
      </c>
      <c r="AL13" s="489">
        <v>188</v>
      </c>
      <c r="AM13" s="489">
        <v>188</v>
      </c>
      <c r="AN13" s="489">
        <v>188</v>
      </c>
      <c r="AO13" s="489">
        <v>188</v>
      </c>
      <c r="AP13" s="489">
        <v>188</v>
      </c>
      <c r="AQ13" s="489">
        <v>188</v>
      </c>
      <c r="AR13" s="489">
        <v>188</v>
      </c>
      <c r="AS13" s="489">
        <v>188</v>
      </c>
      <c r="AT13" s="489">
        <v>188</v>
      </c>
      <c r="AU13" s="489">
        <v>188</v>
      </c>
      <c r="AV13" s="489">
        <v>188</v>
      </c>
      <c r="AW13" s="489">
        <v>188</v>
      </c>
      <c r="AX13" s="489">
        <v>188</v>
      </c>
      <c r="AY13" s="489">
        <v>188</v>
      </c>
      <c r="AZ13" s="489">
        <v>188</v>
      </c>
      <c r="BA13" s="489">
        <v>188</v>
      </c>
      <c r="BB13" s="489">
        <v>188</v>
      </c>
      <c r="BC13" s="489">
        <v>188</v>
      </c>
      <c r="BD13" s="489">
        <v>188</v>
      </c>
      <c r="BE13" s="489">
        <v>188</v>
      </c>
      <c r="BF13" s="489">
        <v>188</v>
      </c>
      <c r="BG13" s="490">
        <f t="shared" si="0"/>
        <v>10152</v>
      </c>
      <c r="BH13" s="1056">
        <f>BG14</f>
        <v>10218.039999999999</v>
      </c>
      <c r="BI13" s="491">
        <f t="shared" si="2"/>
        <v>54</v>
      </c>
      <c r="BJ13" s="492"/>
      <c r="BK13" s="492"/>
      <c r="BL13" s="492"/>
      <c r="BM13" s="492"/>
    </row>
    <row r="14" spans="1:65" ht="190.15" customHeight="1" thickTop="1" thickBot="1" x14ac:dyDescent="1.3">
      <c r="A14" s="1078"/>
      <c r="B14" s="1079"/>
      <c r="C14" s="1052" t="s">
        <v>128</v>
      </c>
      <c r="D14" s="1052"/>
      <c r="E14" s="498">
        <v>189.34800000000001</v>
      </c>
      <c r="F14" s="498">
        <v>189.34800000000001</v>
      </c>
      <c r="G14" s="498">
        <v>189.34800000000001</v>
      </c>
      <c r="H14" s="498">
        <v>189.34800000000001</v>
      </c>
      <c r="I14" s="498">
        <v>189.34800000000001</v>
      </c>
      <c r="J14" s="498">
        <v>189.34800000000001</v>
      </c>
      <c r="K14" s="498">
        <v>189.34800000000001</v>
      </c>
      <c r="L14" s="498">
        <v>189.34800000000001</v>
      </c>
      <c r="M14" s="498">
        <v>189.34800000000001</v>
      </c>
      <c r="N14" s="498">
        <v>189.34800000000001</v>
      </c>
      <c r="O14" s="498">
        <v>189.34800000000001</v>
      </c>
      <c r="P14" s="498">
        <v>189.34800000000001</v>
      </c>
      <c r="Q14" s="498">
        <v>189.34800000000001</v>
      </c>
      <c r="R14" s="498">
        <v>189.34800000000001</v>
      </c>
      <c r="S14" s="498">
        <v>189.34800000000001</v>
      </c>
      <c r="T14" s="498">
        <v>189.34800000000001</v>
      </c>
      <c r="U14" s="498">
        <v>189.34800000000001</v>
      </c>
      <c r="V14" s="498">
        <v>189.34800000000001</v>
      </c>
      <c r="W14" s="498">
        <v>189.34800000000001</v>
      </c>
      <c r="X14" s="498">
        <v>189.34800000000001</v>
      </c>
      <c r="Y14" s="498">
        <v>189.34800000000001</v>
      </c>
      <c r="Z14" s="498">
        <v>189.34800000000001</v>
      </c>
      <c r="AA14" s="498">
        <v>187.82400000000001</v>
      </c>
      <c r="AB14" s="498">
        <v>186.14000000000001</v>
      </c>
      <c r="AC14" s="498">
        <v>187.82400000000001</v>
      </c>
      <c r="AD14" s="498">
        <v>189.34800000000001</v>
      </c>
      <c r="AE14" s="498">
        <v>189.34800000000001</v>
      </c>
      <c r="AF14" s="498">
        <v>189.34800000000001</v>
      </c>
      <c r="AG14" s="498">
        <v>189.34800000000001</v>
      </c>
      <c r="AH14" s="498">
        <v>189.34800000000001</v>
      </c>
      <c r="AI14" s="498">
        <v>189.34800000000001</v>
      </c>
      <c r="AJ14" s="498">
        <v>189.34800000000001</v>
      </c>
      <c r="AK14" s="498">
        <v>189.34800000000001</v>
      </c>
      <c r="AL14" s="498">
        <v>189.34800000000001</v>
      </c>
      <c r="AM14" s="498">
        <v>189.34800000000001</v>
      </c>
      <c r="AN14" s="498">
        <v>189.34800000000001</v>
      </c>
      <c r="AO14" s="498">
        <v>189.34800000000001</v>
      </c>
      <c r="AP14" s="498">
        <v>189.34800000000001</v>
      </c>
      <c r="AQ14" s="498">
        <v>189.34800000000001</v>
      </c>
      <c r="AR14" s="498">
        <v>189.34800000000001</v>
      </c>
      <c r="AS14" s="498">
        <v>189.34800000000001</v>
      </c>
      <c r="AT14" s="498">
        <v>189.34800000000001</v>
      </c>
      <c r="AU14" s="498">
        <v>189.34800000000001</v>
      </c>
      <c r="AV14" s="498">
        <v>189.34800000000001</v>
      </c>
      <c r="AW14" s="498">
        <v>189.34800000000001</v>
      </c>
      <c r="AX14" s="498">
        <v>189.34800000000001</v>
      </c>
      <c r="AY14" s="498">
        <v>189.34800000000001</v>
      </c>
      <c r="AZ14" s="498">
        <v>189.34800000000001</v>
      </c>
      <c r="BA14" s="498">
        <v>189.34800000000001</v>
      </c>
      <c r="BB14" s="498">
        <v>189.34800000000001</v>
      </c>
      <c r="BC14" s="498">
        <v>189.34800000000001</v>
      </c>
      <c r="BD14" s="498">
        <v>189.34800000000001</v>
      </c>
      <c r="BE14" s="498">
        <v>189.2</v>
      </c>
      <c r="BF14" s="498">
        <v>189</v>
      </c>
      <c r="BG14" s="495">
        <f>SUM(E14:BF14)</f>
        <v>10218.039999999999</v>
      </c>
      <c r="BH14" s="1056"/>
      <c r="BI14" s="496">
        <f t="shared" si="2"/>
        <v>54.063703703703702</v>
      </c>
      <c r="BJ14" s="488"/>
      <c r="BK14" s="488">
        <f>AX14+AI14+AH14+AG14+AC14+AB14+AA14+X14+W14</f>
        <v>1697.8760000000002</v>
      </c>
      <c r="BL14" s="488">
        <f>3*188</f>
        <v>564</v>
      </c>
      <c r="BM14" s="488">
        <f>BK14-BL14</f>
        <v>1133.8760000000002</v>
      </c>
    </row>
    <row r="15" spans="1:65" s="511" customFormat="1" ht="190.15" customHeight="1" thickTop="1" thickBot="1" x14ac:dyDescent="1.3">
      <c r="A15" s="1078" t="s">
        <v>130</v>
      </c>
      <c r="B15" s="1079"/>
      <c r="C15" s="1053" t="s">
        <v>127</v>
      </c>
      <c r="D15" s="1053"/>
      <c r="E15" s="489">
        <v>200</v>
      </c>
      <c r="F15" s="489">
        <v>200</v>
      </c>
      <c r="G15" s="489">
        <v>200</v>
      </c>
      <c r="H15" s="489">
        <v>200</v>
      </c>
      <c r="I15" s="489">
        <v>200</v>
      </c>
      <c r="J15" s="489">
        <v>200</v>
      </c>
      <c r="K15" s="489">
        <v>200</v>
      </c>
      <c r="L15" s="489">
        <v>200</v>
      </c>
      <c r="M15" s="489">
        <v>200</v>
      </c>
      <c r="N15" s="489">
        <v>200</v>
      </c>
      <c r="O15" s="489">
        <v>200</v>
      </c>
      <c r="P15" s="489">
        <v>200</v>
      </c>
      <c r="Q15" s="489">
        <v>200</v>
      </c>
      <c r="R15" s="489">
        <v>200</v>
      </c>
      <c r="S15" s="489">
        <v>200</v>
      </c>
      <c r="T15" s="489">
        <v>200</v>
      </c>
      <c r="U15" s="489">
        <v>200</v>
      </c>
      <c r="V15" s="489">
        <v>200</v>
      </c>
      <c r="W15" s="489">
        <v>200</v>
      </c>
      <c r="X15" s="489">
        <v>200</v>
      </c>
      <c r="Y15" s="489">
        <v>200</v>
      </c>
      <c r="Z15" s="489">
        <v>200</v>
      </c>
      <c r="AA15" s="489">
        <v>200</v>
      </c>
      <c r="AB15" s="489">
        <v>200</v>
      </c>
      <c r="AC15" s="489">
        <v>200</v>
      </c>
      <c r="AD15" s="489">
        <v>200</v>
      </c>
      <c r="AE15" s="489">
        <v>200</v>
      </c>
      <c r="AF15" s="489">
        <v>200</v>
      </c>
      <c r="AG15" s="489">
        <v>200</v>
      </c>
      <c r="AH15" s="489">
        <v>200</v>
      </c>
      <c r="AI15" s="489">
        <v>200</v>
      </c>
      <c r="AJ15" s="489">
        <v>200</v>
      </c>
      <c r="AK15" s="489">
        <v>200</v>
      </c>
      <c r="AL15" s="489">
        <v>200</v>
      </c>
      <c r="AM15" s="489">
        <v>200</v>
      </c>
      <c r="AN15" s="489">
        <v>200</v>
      </c>
      <c r="AO15" s="489">
        <v>200</v>
      </c>
      <c r="AP15" s="489">
        <v>200</v>
      </c>
      <c r="AQ15" s="489">
        <v>200</v>
      </c>
      <c r="AR15" s="489">
        <v>200</v>
      </c>
      <c r="AS15" s="489">
        <v>200</v>
      </c>
      <c r="AT15" s="489">
        <v>200</v>
      </c>
      <c r="AU15" s="489">
        <v>200</v>
      </c>
      <c r="AV15" s="489">
        <v>200</v>
      </c>
      <c r="AW15" s="489">
        <v>200</v>
      </c>
      <c r="AX15" s="489">
        <v>200</v>
      </c>
      <c r="AY15" s="489">
        <v>200</v>
      </c>
      <c r="AZ15" s="489">
        <v>200</v>
      </c>
      <c r="BA15" s="489">
        <v>200</v>
      </c>
      <c r="BB15" s="489">
        <v>200</v>
      </c>
      <c r="BC15" s="489">
        <v>200</v>
      </c>
      <c r="BD15" s="489">
        <v>200</v>
      </c>
      <c r="BE15" s="489">
        <v>200</v>
      </c>
      <c r="BF15" s="489">
        <v>200</v>
      </c>
      <c r="BG15" s="490">
        <f t="shared" si="0"/>
        <v>10800</v>
      </c>
      <c r="BH15" s="1056">
        <f>BG16</f>
        <v>9445.2360000000062</v>
      </c>
      <c r="BI15" s="491">
        <f t="shared" si="2"/>
        <v>54</v>
      </c>
      <c r="BJ15" s="492"/>
      <c r="BK15" s="492"/>
      <c r="BL15" s="492"/>
      <c r="BM15" s="492"/>
    </row>
    <row r="16" spans="1:65" ht="190.15" customHeight="1" thickTop="1" thickBot="1" x14ac:dyDescent="1.3">
      <c r="A16" s="1078"/>
      <c r="B16" s="1079"/>
      <c r="C16" s="1052" t="s">
        <v>128</v>
      </c>
      <c r="D16" s="1052"/>
      <c r="E16" s="498">
        <v>166.75200000000001</v>
      </c>
      <c r="F16" s="498">
        <v>166.75200000000001</v>
      </c>
      <c r="G16" s="498">
        <v>166.75200000000001</v>
      </c>
      <c r="H16" s="498">
        <v>225.39699999999999</v>
      </c>
      <c r="I16" s="498">
        <v>225.39699999999999</v>
      </c>
      <c r="J16" s="498">
        <v>166.75200000000001</v>
      </c>
      <c r="K16" s="498">
        <v>166.75200000000001</v>
      </c>
      <c r="L16" s="498">
        <v>166.75200000000001</v>
      </c>
      <c r="M16" s="498">
        <v>166.75200000000001</v>
      </c>
      <c r="N16" s="498">
        <v>166.75200000000001</v>
      </c>
      <c r="O16" s="498">
        <v>166.75200000000001</v>
      </c>
      <c r="P16" s="498">
        <v>166.75200000000001</v>
      </c>
      <c r="Q16" s="498">
        <v>166.75200000000001</v>
      </c>
      <c r="R16" s="498">
        <v>166.75200000000001</v>
      </c>
      <c r="S16" s="498">
        <v>166.75200000000001</v>
      </c>
      <c r="T16" s="498">
        <v>166.75200000000001</v>
      </c>
      <c r="U16" s="498">
        <v>166.75200000000001</v>
      </c>
      <c r="V16" s="498">
        <v>166.75200000000001</v>
      </c>
      <c r="W16" s="498">
        <v>166.75200000000001</v>
      </c>
      <c r="X16" s="498">
        <v>166.75200000000001</v>
      </c>
      <c r="Y16" s="498">
        <v>166.75200000000001</v>
      </c>
      <c r="Z16" s="498">
        <v>166.75200000000001</v>
      </c>
      <c r="AA16" s="498">
        <v>167.56200000000001</v>
      </c>
      <c r="AB16" s="498">
        <v>168.37200000000001</v>
      </c>
      <c r="AC16" s="498">
        <v>167.56200000000001</v>
      </c>
      <c r="AD16" s="498">
        <v>166.75200000000001</v>
      </c>
      <c r="AE16" s="498">
        <v>166.75200000000001</v>
      </c>
      <c r="AF16" s="498">
        <v>166.75200000000001</v>
      </c>
      <c r="AG16" s="498">
        <v>195.73500000000001</v>
      </c>
      <c r="AH16" s="498">
        <v>195.73500000000001</v>
      </c>
      <c r="AI16" s="498">
        <v>225.39699999999999</v>
      </c>
      <c r="AJ16" s="498">
        <v>166.75200000000001</v>
      </c>
      <c r="AK16" s="498">
        <v>166.75200000000001</v>
      </c>
      <c r="AL16" s="498">
        <v>166.75200000000001</v>
      </c>
      <c r="AM16" s="498">
        <v>166.75200000000001</v>
      </c>
      <c r="AN16" s="498">
        <v>166.75200000000001</v>
      </c>
      <c r="AO16" s="498">
        <v>225.39699999999999</v>
      </c>
      <c r="AP16" s="498">
        <v>166.75200000000001</v>
      </c>
      <c r="AQ16" s="498">
        <v>166.75200000000001</v>
      </c>
      <c r="AR16" s="498">
        <v>166.75200000000001</v>
      </c>
      <c r="AS16" s="498">
        <v>166.75200000000001</v>
      </c>
      <c r="AT16" s="498">
        <v>225.39699999999999</v>
      </c>
      <c r="AU16" s="498">
        <v>166.75200000000001</v>
      </c>
      <c r="AV16" s="498">
        <v>166.75200000000001</v>
      </c>
      <c r="AW16" s="498">
        <v>166.75200000000001</v>
      </c>
      <c r="AX16" s="498">
        <v>195.73500000000001</v>
      </c>
      <c r="AY16" s="498">
        <v>166.75200000000001</v>
      </c>
      <c r="AZ16" s="498">
        <v>166.75200000000001</v>
      </c>
      <c r="BA16" s="498">
        <v>166.75200000000001</v>
      </c>
      <c r="BB16" s="498">
        <v>166.75200000000001</v>
      </c>
      <c r="BC16" s="498">
        <v>166.75200000000001</v>
      </c>
      <c r="BD16" s="498">
        <v>195.73500000000001</v>
      </c>
      <c r="BE16" s="498">
        <v>195.73500000000001</v>
      </c>
      <c r="BF16" s="498">
        <v>166</v>
      </c>
      <c r="BG16" s="495">
        <f>SUM(E16:BF16)</f>
        <v>9445.2360000000062</v>
      </c>
      <c r="BH16" s="1056"/>
      <c r="BI16" s="496">
        <f>BG16/175</f>
        <v>53.972777142857176</v>
      </c>
      <c r="BJ16" s="488"/>
      <c r="BK16" s="488">
        <f>AX16+AI16+AH16+AG16+AF16+AE16+Y16+X16+W16</f>
        <v>1646.3619999999999</v>
      </c>
      <c r="BL16" s="488"/>
      <c r="BM16" s="488"/>
    </row>
    <row r="17" spans="1:65" s="511" customFormat="1" ht="190.15" customHeight="1" thickTop="1" thickBot="1" x14ac:dyDescent="1.3">
      <c r="A17" s="1078" t="s">
        <v>238</v>
      </c>
      <c r="B17" s="1079"/>
      <c r="C17" s="1053" t="s">
        <v>127</v>
      </c>
      <c r="D17" s="1053"/>
      <c r="E17" s="489">
        <v>330</v>
      </c>
      <c r="F17" s="489">
        <v>330</v>
      </c>
      <c r="G17" s="489">
        <v>330</v>
      </c>
      <c r="H17" s="489">
        <v>330</v>
      </c>
      <c r="I17" s="489">
        <v>330</v>
      </c>
      <c r="J17" s="489">
        <v>330</v>
      </c>
      <c r="K17" s="489">
        <v>330</v>
      </c>
      <c r="L17" s="489">
        <v>330</v>
      </c>
      <c r="M17" s="489">
        <v>330</v>
      </c>
      <c r="N17" s="489">
        <v>330</v>
      </c>
      <c r="O17" s="489">
        <v>330</v>
      </c>
      <c r="P17" s="489">
        <v>330</v>
      </c>
      <c r="Q17" s="489">
        <v>330</v>
      </c>
      <c r="R17" s="489">
        <v>330</v>
      </c>
      <c r="S17" s="489">
        <v>330</v>
      </c>
      <c r="T17" s="489">
        <v>330</v>
      </c>
      <c r="U17" s="489">
        <v>330</v>
      </c>
      <c r="V17" s="489">
        <v>330</v>
      </c>
      <c r="W17" s="489">
        <v>330</v>
      </c>
      <c r="X17" s="489">
        <v>330</v>
      </c>
      <c r="Y17" s="489">
        <v>330</v>
      </c>
      <c r="Z17" s="489">
        <v>330</v>
      </c>
      <c r="AA17" s="489">
        <v>330</v>
      </c>
      <c r="AB17" s="489">
        <v>330</v>
      </c>
      <c r="AC17" s="489">
        <v>330</v>
      </c>
      <c r="AD17" s="489">
        <v>330</v>
      </c>
      <c r="AE17" s="489">
        <v>330</v>
      </c>
      <c r="AF17" s="489">
        <v>330</v>
      </c>
      <c r="AG17" s="489">
        <v>330</v>
      </c>
      <c r="AH17" s="489">
        <v>330</v>
      </c>
      <c r="AI17" s="489">
        <v>330</v>
      </c>
      <c r="AJ17" s="489">
        <v>330</v>
      </c>
      <c r="AK17" s="489">
        <v>330</v>
      </c>
      <c r="AL17" s="489">
        <v>330</v>
      </c>
      <c r="AM17" s="489">
        <v>330</v>
      </c>
      <c r="AN17" s="489">
        <v>330</v>
      </c>
      <c r="AO17" s="489">
        <v>330</v>
      </c>
      <c r="AP17" s="489">
        <v>330</v>
      </c>
      <c r="AQ17" s="489">
        <v>330</v>
      </c>
      <c r="AR17" s="489">
        <v>330</v>
      </c>
      <c r="AS17" s="489">
        <v>330</v>
      </c>
      <c r="AT17" s="489">
        <v>330</v>
      </c>
      <c r="AU17" s="489">
        <v>330</v>
      </c>
      <c r="AV17" s="489">
        <v>330</v>
      </c>
      <c r="AW17" s="489">
        <v>330</v>
      </c>
      <c r="AX17" s="489">
        <v>330</v>
      </c>
      <c r="AY17" s="489">
        <v>330</v>
      </c>
      <c r="AZ17" s="489">
        <v>330</v>
      </c>
      <c r="BA17" s="489">
        <v>330</v>
      </c>
      <c r="BB17" s="489">
        <v>330</v>
      </c>
      <c r="BC17" s="489">
        <v>330</v>
      </c>
      <c r="BD17" s="489">
        <v>330</v>
      </c>
      <c r="BE17" s="489">
        <v>330</v>
      </c>
      <c r="BF17" s="489">
        <v>330</v>
      </c>
      <c r="BG17" s="490">
        <f t="shared" si="0"/>
        <v>17820</v>
      </c>
      <c r="BH17" s="1056">
        <f>BG18</f>
        <v>18770.319</v>
      </c>
      <c r="BI17" s="491">
        <f t="shared" si="1"/>
        <v>54</v>
      </c>
      <c r="BJ17" s="492"/>
      <c r="BK17" s="492"/>
      <c r="BL17" s="492"/>
      <c r="BM17" s="492"/>
    </row>
    <row r="18" spans="1:65" ht="185.1" customHeight="1" thickTop="1" thickBot="1" x14ac:dyDescent="1.3">
      <c r="A18" s="1078"/>
      <c r="B18" s="1079"/>
      <c r="C18" s="1052" t="s">
        <v>128</v>
      </c>
      <c r="D18" s="1052"/>
      <c r="E18" s="498">
        <v>347.5985</v>
      </c>
      <c r="F18" s="498">
        <v>347.5985</v>
      </c>
      <c r="G18" s="498">
        <v>347.5985</v>
      </c>
      <c r="H18" s="498">
        <v>347.5985</v>
      </c>
      <c r="I18" s="498">
        <v>347.5985</v>
      </c>
      <c r="J18" s="498">
        <v>347.5985</v>
      </c>
      <c r="K18" s="498">
        <v>347.5985</v>
      </c>
      <c r="L18" s="498">
        <v>347.5985</v>
      </c>
      <c r="M18" s="498">
        <v>347.5985</v>
      </c>
      <c r="N18" s="498">
        <v>347.5985</v>
      </c>
      <c r="O18" s="498">
        <v>347.5985</v>
      </c>
      <c r="P18" s="498">
        <v>347.5985</v>
      </c>
      <c r="Q18" s="498">
        <v>347.5985</v>
      </c>
      <c r="R18" s="498">
        <v>347.5985</v>
      </c>
      <c r="S18" s="498">
        <v>347.5985</v>
      </c>
      <c r="T18" s="498">
        <v>347.5985</v>
      </c>
      <c r="U18" s="498">
        <v>347.5985</v>
      </c>
      <c r="V18" s="498">
        <v>347.5985</v>
      </c>
      <c r="W18" s="498">
        <v>347.5985</v>
      </c>
      <c r="X18" s="498">
        <v>347.5985</v>
      </c>
      <c r="Y18" s="498">
        <v>347.5985</v>
      </c>
      <c r="Z18" s="498">
        <v>347.5985</v>
      </c>
      <c r="AA18" s="498">
        <v>347.5985</v>
      </c>
      <c r="AB18" s="498">
        <v>347.5985</v>
      </c>
      <c r="AC18" s="498">
        <v>347.5985</v>
      </c>
      <c r="AD18" s="498">
        <v>347.5985</v>
      </c>
      <c r="AE18" s="498">
        <v>347.5985</v>
      </c>
      <c r="AF18" s="498">
        <v>347.5985</v>
      </c>
      <c r="AG18" s="498">
        <v>347.5985</v>
      </c>
      <c r="AH18" s="498">
        <v>347.5985</v>
      </c>
      <c r="AI18" s="498">
        <v>347.5985</v>
      </c>
      <c r="AJ18" s="498">
        <v>347.5985</v>
      </c>
      <c r="AK18" s="498">
        <v>347.5985</v>
      </c>
      <c r="AL18" s="498">
        <v>347.5985</v>
      </c>
      <c r="AM18" s="498">
        <v>347.5985</v>
      </c>
      <c r="AN18" s="498">
        <v>347.5985</v>
      </c>
      <c r="AO18" s="498">
        <v>347.5985</v>
      </c>
      <c r="AP18" s="498">
        <v>347.5985</v>
      </c>
      <c r="AQ18" s="498">
        <v>347.5985</v>
      </c>
      <c r="AR18" s="498">
        <v>347.5985</v>
      </c>
      <c r="AS18" s="498">
        <v>347.5985</v>
      </c>
      <c r="AT18" s="498">
        <v>347.5985</v>
      </c>
      <c r="AU18" s="498">
        <v>347.5985</v>
      </c>
      <c r="AV18" s="498">
        <v>347.5985</v>
      </c>
      <c r="AW18" s="498">
        <v>347.5985</v>
      </c>
      <c r="AX18" s="498">
        <v>347.5985</v>
      </c>
      <c r="AY18" s="498">
        <v>347.5985</v>
      </c>
      <c r="AZ18" s="498">
        <v>347.5985</v>
      </c>
      <c r="BA18" s="498">
        <v>347.5985</v>
      </c>
      <c r="BB18" s="498">
        <v>347.5985</v>
      </c>
      <c r="BC18" s="498">
        <v>347.5985</v>
      </c>
      <c r="BD18" s="498">
        <v>347.5985</v>
      </c>
      <c r="BE18" s="498">
        <v>347.5985</v>
      </c>
      <c r="BF18" s="498">
        <v>347.5985</v>
      </c>
      <c r="BG18" s="495">
        <f>SUM(E18:BF18)</f>
        <v>18770.319</v>
      </c>
      <c r="BH18" s="1056"/>
      <c r="BI18" s="496">
        <f t="shared" si="1"/>
        <v>54</v>
      </c>
      <c r="BJ18" s="488"/>
      <c r="BK18" s="488"/>
      <c r="BL18" s="488"/>
      <c r="BM18" s="488"/>
    </row>
    <row r="19" spans="1:65" s="511" customFormat="1" ht="184.9" customHeight="1" thickTop="1" thickBot="1" x14ac:dyDescent="1.3">
      <c r="A19" s="1078" t="s">
        <v>507</v>
      </c>
      <c r="B19" s="1079"/>
      <c r="C19" s="1053" t="s">
        <v>127</v>
      </c>
      <c r="D19" s="1053"/>
      <c r="E19" s="489">
        <v>330</v>
      </c>
      <c r="F19" s="489">
        <v>330</v>
      </c>
      <c r="G19" s="489">
        <v>330</v>
      </c>
      <c r="H19" s="489">
        <v>330</v>
      </c>
      <c r="I19" s="489">
        <v>330</v>
      </c>
      <c r="J19" s="489">
        <v>330</v>
      </c>
      <c r="K19" s="489">
        <v>330</v>
      </c>
      <c r="L19" s="489">
        <v>330</v>
      </c>
      <c r="M19" s="489">
        <v>330</v>
      </c>
      <c r="N19" s="489">
        <v>330</v>
      </c>
      <c r="O19" s="489">
        <v>330</v>
      </c>
      <c r="P19" s="489">
        <v>330</v>
      </c>
      <c r="Q19" s="489">
        <v>330</v>
      </c>
      <c r="R19" s="489">
        <v>330</v>
      </c>
      <c r="S19" s="489">
        <v>330</v>
      </c>
      <c r="T19" s="489">
        <v>330</v>
      </c>
      <c r="U19" s="489">
        <v>330</v>
      </c>
      <c r="V19" s="489">
        <v>330</v>
      </c>
      <c r="W19" s="489">
        <v>330</v>
      </c>
      <c r="X19" s="489">
        <v>330</v>
      </c>
      <c r="Y19" s="489">
        <v>330</v>
      </c>
      <c r="Z19" s="489">
        <v>330</v>
      </c>
      <c r="AA19" s="489">
        <v>330</v>
      </c>
      <c r="AB19" s="489">
        <v>330</v>
      </c>
      <c r="AC19" s="489">
        <v>330</v>
      </c>
      <c r="AD19" s="489">
        <v>330</v>
      </c>
      <c r="AE19" s="489">
        <v>330</v>
      </c>
      <c r="AF19" s="489">
        <v>330</v>
      </c>
      <c r="AG19" s="489">
        <v>330</v>
      </c>
      <c r="AH19" s="489">
        <v>330</v>
      </c>
      <c r="AI19" s="489">
        <v>330</v>
      </c>
      <c r="AJ19" s="489">
        <v>330</v>
      </c>
      <c r="AK19" s="489">
        <v>330</v>
      </c>
      <c r="AL19" s="489">
        <v>330</v>
      </c>
      <c r="AM19" s="489">
        <v>330</v>
      </c>
      <c r="AN19" s="489">
        <v>330</v>
      </c>
      <c r="AO19" s="489">
        <v>330</v>
      </c>
      <c r="AP19" s="489">
        <v>330</v>
      </c>
      <c r="AQ19" s="489">
        <v>330</v>
      </c>
      <c r="AR19" s="489">
        <v>330</v>
      </c>
      <c r="AS19" s="489">
        <v>330</v>
      </c>
      <c r="AT19" s="489">
        <v>330</v>
      </c>
      <c r="AU19" s="489">
        <v>330</v>
      </c>
      <c r="AV19" s="489">
        <v>330</v>
      </c>
      <c r="AW19" s="489">
        <v>330</v>
      </c>
      <c r="AX19" s="489">
        <v>330</v>
      </c>
      <c r="AY19" s="489">
        <v>330</v>
      </c>
      <c r="AZ19" s="489">
        <v>330</v>
      </c>
      <c r="BA19" s="489">
        <v>330</v>
      </c>
      <c r="BB19" s="489">
        <v>330</v>
      </c>
      <c r="BC19" s="489">
        <v>330</v>
      </c>
      <c r="BD19" s="489">
        <v>330</v>
      </c>
      <c r="BE19" s="489">
        <v>330</v>
      </c>
      <c r="BF19" s="489">
        <v>330</v>
      </c>
      <c r="BG19" s="490">
        <f>SUM(E19:BF19)</f>
        <v>17820</v>
      </c>
      <c r="BH19" s="1056">
        <f>BG20</f>
        <v>18145.080000000016</v>
      </c>
      <c r="BI19" s="491">
        <f>BG19/BF19</f>
        <v>54</v>
      </c>
      <c r="BJ19" s="492"/>
      <c r="BK19" s="492"/>
      <c r="BL19" s="492"/>
      <c r="BM19" s="492"/>
    </row>
    <row r="20" spans="1:65" ht="185.1" customHeight="1" thickTop="1" thickBot="1" x14ac:dyDescent="1.3">
      <c r="A20" s="1078"/>
      <c r="B20" s="1079"/>
      <c r="C20" s="1052" t="s">
        <v>128</v>
      </c>
      <c r="D20" s="1052"/>
      <c r="E20" s="498">
        <v>336.02</v>
      </c>
      <c r="F20" s="498">
        <v>336.02</v>
      </c>
      <c r="G20" s="498">
        <v>336.02</v>
      </c>
      <c r="H20" s="498">
        <v>336.02</v>
      </c>
      <c r="I20" s="498">
        <v>336.02</v>
      </c>
      <c r="J20" s="498">
        <v>336.02</v>
      </c>
      <c r="K20" s="498">
        <v>336.02</v>
      </c>
      <c r="L20" s="498">
        <v>336.02</v>
      </c>
      <c r="M20" s="498">
        <v>336.02</v>
      </c>
      <c r="N20" s="498">
        <v>336.02</v>
      </c>
      <c r="O20" s="498">
        <v>336.02</v>
      </c>
      <c r="P20" s="498">
        <v>336.02</v>
      </c>
      <c r="Q20" s="498">
        <v>336.02</v>
      </c>
      <c r="R20" s="498">
        <v>336.02</v>
      </c>
      <c r="S20" s="498">
        <v>336.02</v>
      </c>
      <c r="T20" s="498">
        <v>336.02</v>
      </c>
      <c r="U20" s="498">
        <v>336.02</v>
      </c>
      <c r="V20" s="498">
        <v>336.02</v>
      </c>
      <c r="W20" s="498">
        <v>336.02</v>
      </c>
      <c r="X20" s="498">
        <v>336.02</v>
      </c>
      <c r="Y20" s="498">
        <v>336.02</v>
      </c>
      <c r="Z20" s="498">
        <v>336.02</v>
      </c>
      <c r="AA20" s="498">
        <v>336.02</v>
      </c>
      <c r="AB20" s="498">
        <v>336.02</v>
      </c>
      <c r="AC20" s="498">
        <v>336.02</v>
      </c>
      <c r="AD20" s="498">
        <v>336.02</v>
      </c>
      <c r="AE20" s="498">
        <v>336.02</v>
      </c>
      <c r="AF20" s="498">
        <v>336.02</v>
      </c>
      <c r="AG20" s="498">
        <v>336.02</v>
      </c>
      <c r="AH20" s="498">
        <v>336.02</v>
      </c>
      <c r="AI20" s="498">
        <v>336.02</v>
      </c>
      <c r="AJ20" s="498">
        <v>336.02</v>
      </c>
      <c r="AK20" s="498">
        <v>336.02</v>
      </c>
      <c r="AL20" s="498">
        <v>336.02</v>
      </c>
      <c r="AM20" s="498">
        <v>336.02</v>
      </c>
      <c r="AN20" s="498">
        <v>336.02</v>
      </c>
      <c r="AO20" s="498">
        <v>336.02</v>
      </c>
      <c r="AP20" s="498">
        <v>336.02</v>
      </c>
      <c r="AQ20" s="498">
        <v>336.02</v>
      </c>
      <c r="AR20" s="498">
        <v>336.02</v>
      </c>
      <c r="AS20" s="498">
        <v>336.02</v>
      </c>
      <c r="AT20" s="498">
        <v>336.02</v>
      </c>
      <c r="AU20" s="498">
        <v>336.02</v>
      </c>
      <c r="AV20" s="498">
        <v>336.02</v>
      </c>
      <c r="AW20" s="498">
        <v>336.02</v>
      </c>
      <c r="AX20" s="498">
        <v>336.02</v>
      </c>
      <c r="AY20" s="498">
        <v>336.02</v>
      </c>
      <c r="AZ20" s="498">
        <v>336.02</v>
      </c>
      <c r="BA20" s="498">
        <v>336.02</v>
      </c>
      <c r="BB20" s="498">
        <v>336.02</v>
      </c>
      <c r="BC20" s="498">
        <v>336.02</v>
      </c>
      <c r="BD20" s="498">
        <v>336.02</v>
      </c>
      <c r="BE20" s="498">
        <v>336.02</v>
      </c>
      <c r="BF20" s="498">
        <v>336.02</v>
      </c>
      <c r="BG20" s="495">
        <f t="shared" ref="BG20" si="3">SUM(E20:BF20)</f>
        <v>18145.080000000016</v>
      </c>
      <c r="BH20" s="1056"/>
      <c r="BI20" s="496">
        <f>BG20/BF20</f>
        <v>54.00000000000005</v>
      </c>
      <c r="BJ20" s="488"/>
      <c r="BK20" s="488"/>
      <c r="BL20" s="488"/>
      <c r="BM20" s="488"/>
    </row>
    <row r="21" spans="1:65" s="511" customFormat="1" ht="185.1" customHeight="1" thickTop="1" thickBot="1" x14ac:dyDescent="1.3">
      <c r="A21" s="1088" t="s">
        <v>131</v>
      </c>
      <c r="B21" s="499"/>
      <c r="C21" s="1053" t="s">
        <v>127</v>
      </c>
      <c r="D21" s="1053"/>
      <c r="E21" s="500">
        <v>385</v>
      </c>
      <c r="F21" s="500">
        <v>385</v>
      </c>
      <c r="G21" s="500">
        <v>385</v>
      </c>
      <c r="H21" s="500">
        <v>385</v>
      </c>
      <c r="I21" s="500">
        <v>385</v>
      </c>
      <c r="J21" s="500">
        <v>385</v>
      </c>
      <c r="K21" s="500">
        <v>385</v>
      </c>
      <c r="L21" s="500">
        <v>385</v>
      </c>
      <c r="M21" s="500">
        <v>385</v>
      </c>
      <c r="N21" s="500">
        <v>385</v>
      </c>
      <c r="O21" s="500">
        <v>385</v>
      </c>
      <c r="P21" s="500">
        <v>385</v>
      </c>
      <c r="Q21" s="500">
        <v>385</v>
      </c>
      <c r="R21" s="500">
        <v>385</v>
      </c>
      <c r="S21" s="500">
        <v>385</v>
      </c>
      <c r="T21" s="500">
        <v>385</v>
      </c>
      <c r="U21" s="500">
        <v>385</v>
      </c>
      <c r="V21" s="500">
        <v>385</v>
      </c>
      <c r="W21" s="500">
        <v>385</v>
      </c>
      <c r="X21" s="500">
        <v>385</v>
      </c>
      <c r="Y21" s="500">
        <v>385</v>
      </c>
      <c r="Z21" s="500">
        <v>385</v>
      </c>
      <c r="AA21" s="500">
        <v>385</v>
      </c>
      <c r="AB21" s="500">
        <v>385</v>
      </c>
      <c r="AC21" s="500">
        <v>385</v>
      </c>
      <c r="AD21" s="500">
        <v>385</v>
      </c>
      <c r="AE21" s="500">
        <v>385</v>
      </c>
      <c r="AF21" s="500">
        <v>385</v>
      </c>
      <c r="AG21" s="500">
        <v>385</v>
      </c>
      <c r="AH21" s="500">
        <v>385</v>
      </c>
      <c r="AI21" s="500">
        <v>385</v>
      </c>
      <c r="AJ21" s="500">
        <v>385</v>
      </c>
      <c r="AK21" s="500">
        <v>385</v>
      </c>
      <c r="AL21" s="500">
        <v>385</v>
      </c>
      <c r="AM21" s="500">
        <v>385</v>
      </c>
      <c r="AN21" s="500">
        <v>385</v>
      </c>
      <c r="AO21" s="500">
        <v>385</v>
      </c>
      <c r="AP21" s="500">
        <v>385</v>
      </c>
      <c r="AQ21" s="500">
        <v>385</v>
      </c>
      <c r="AR21" s="500">
        <v>385</v>
      </c>
      <c r="AS21" s="500">
        <v>385</v>
      </c>
      <c r="AT21" s="500">
        <v>385</v>
      </c>
      <c r="AU21" s="500">
        <v>385</v>
      </c>
      <c r="AV21" s="500">
        <v>385</v>
      </c>
      <c r="AW21" s="500">
        <v>385</v>
      </c>
      <c r="AX21" s="500">
        <v>385</v>
      </c>
      <c r="AY21" s="500">
        <v>385</v>
      </c>
      <c r="AZ21" s="500">
        <v>385</v>
      </c>
      <c r="BA21" s="500">
        <v>385</v>
      </c>
      <c r="BB21" s="500">
        <v>385</v>
      </c>
      <c r="BC21" s="500">
        <v>385</v>
      </c>
      <c r="BD21" s="500">
        <v>385</v>
      </c>
      <c r="BE21" s="500">
        <v>385</v>
      </c>
      <c r="BF21" s="500">
        <v>385</v>
      </c>
      <c r="BG21" s="490">
        <f t="shared" si="0"/>
        <v>20790</v>
      </c>
      <c r="BH21" s="501"/>
      <c r="BI21" s="491">
        <f>BG21/BF21</f>
        <v>54</v>
      </c>
      <c r="BJ21" s="492"/>
      <c r="BK21" s="492"/>
      <c r="BL21" s="492"/>
      <c r="BM21" s="492"/>
    </row>
    <row r="22" spans="1:65" ht="185.1" customHeight="1" thickTop="1" thickBot="1" x14ac:dyDescent="1.3">
      <c r="A22" s="1088"/>
      <c r="B22" s="502" t="s">
        <v>132</v>
      </c>
      <c r="C22" s="1052" t="s">
        <v>128</v>
      </c>
      <c r="D22" s="1052"/>
      <c r="E22" s="498">
        <v>1.653</v>
      </c>
      <c r="F22" s="498">
        <v>1.1973999999999936</v>
      </c>
      <c r="G22" s="498">
        <v>1.6188299999999987</v>
      </c>
      <c r="H22" s="498">
        <v>1.1973999999999936</v>
      </c>
      <c r="I22" s="498">
        <v>1.1973999999999936</v>
      </c>
      <c r="J22" s="498">
        <v>1.4251999999999807</v>
      </c>
      <c r="K22" s="498">
        <v>1.1973999999999936</v>
      </c>
      <c r="L22" s="498">
        <v>1.1973999999999936</v>
      </c>
      <c r="M22" s="498">
        <v>1.1860099999999716</v>
      </c>
      <c r="N22" s="498">
        <v>1.1973999999999936</v>
      </c>
      <c r="O22" s="498">
        <v>1.3113000000000195</v>
      </c>
      <c r="P22" s="498">
        <v>1.1973999999999936</v>
      </c>
      <c r="Q22" s="498">
        <v>1.3113000000000195</v>
      </c>
      <c r="R22" s="498">
        <v>1.5846599999999973</v>
      </c>
      <c r="S22" s="498">
        <v>1.7782899999999833</v>
      </c>
      <c r="T22" s="498">
        <v>1.7441199999999819</v>
      </c>
      <c r="U22" s="498">
        <v>1.493539999999983</v>
      </c>
      <c r="V22" s="498">
        <v>1.9947000000000128</v>
      </c>
      <c r="W22" s="498">
        <v>1.9947000000000128</v>
      </c>
      <c r="X22" s="503">
        <v>1.1973999999999936</v>
      </c>
      <c r="Y22" s="498">
        <v>1.4251999999999807</v>
      </c>
      <c r="Z22" s="498">
        <v>1.1973999999999936</v>
      </c>
      <c r="AA22" s="503">
        <v>1.7668999999999935</v>
      </c>
      <c r="AB22" s="498">
        <v>1.7668999999999935</v>
      </c>
      <c r="AC22" s="503">
        <v>1.7668999999999935</v>
      </c>
      <c r="AD22" s="503">
        <v>1.9263599999999781</v>
      </c>
      <c r="AE22" s="498">
        <v>1.1973999999999936</v>
      </c>
      <c r="AF22" s="503">
        <v>1.1973999999999936</v>
      </c>
      <c r="AG22" s="498">
        <v>1.36825</v>
      </c>
      <c r="AH22" s="503">
        <v>1.1973999999999936</v>
      </c>
      <c r="AI22" s="503">
        <v>1.1973999999999936</v>
      </c>
      <c r="AJ22" s="503">
        <v>1.2201799999999727</v>
      </c>
      <c r="AK22" s="503">
        <v>1.6302199999999885</v>
      </c>
      <c r="AL22" s="498">
        <v>1.1973999999999936</v>
      </c>
      <c r="AM22" s="503">
        <v>1.7668999999999935</v>
      </c>
      <c r="AN22" s="503">
        <v>1.8238500000000064</v>
      </c>
      <c r="AO22" s="503">
        <v>1.1973999999999936</v>
      </c>
      <c r="AP22" s="503">
        <v>1.5618799999999857</v>
      </c>
      <c r="AQ22" s="503">
        <v>1.1973999999999936</v>
      </c>
      <c r="AR22" s="503">
        <v>1.4821499999999936</v>
      </c>
      <c r="AS22" s="503">
        <v>1.9035799999999989</v>
      </c>
      <c r="AT22" s="503">
        <v>1.1973999999999936</v>
      </c>
      <c r="AU22" s="503">
        <v>1.7327299999999921</v>
      </c>
      <c r="AV22" s="503">
        <v>1.1973999999999936</v>
      </c>
      <c r="AW22" s="503">
        <v>1.1973999999999936</v>
      </c>
      <c r="AX22" s="503">
        <v>1.1973999999999936</v>
      </c>
      <c r="AY22" s="503">
        <v>1.1973999999999936</v>
      </c>
      <c r="AZ22" s="503">
        <v>1.7668999999999935</v>
      </c>
      <c r="BA22" s="498">
        <v>1.7668999999999935</v>
      </c>
      <c r="BB22" s="498">
        <v>1.5390999999999742</v>
      </c>
      <c r="BC22" s="503">
        <v>1.1973999999999936</v>
      </c>
      <c r="BD22" s="503">
        <v>1.1973999999999936</v>
      </c>
      <c r="BE22" s="503">
        <v>1.1973999999999936</v>
      </c>
      <c r="BF22" s="503">
        <v>1.1973999999999936</v>
      </c>
      <c r="BG22" s="495">
        <f>SUM(E22:BF22)</f>
        <v>77.245549999999596</v>
      </c>
      <c r="BH22" s="1056">
        <f>SUM(BG22:BG29)</f>
        <v>20893.606810999994</v>
      </c>
      <c r="BI22" s="496"/>
      <c r="BJ22" s="488"/>
      <c r="BK22" s="488"/>
      <c r="BL22" s="488"/>
      <c r="BM22" s="488"/>
    </row>
    <row r="23" spans="1:65" ht="185.1" customHeight="1" thickTop="1" thickBot="1" x14ac:dyDescent="1.3">
      <c r="A23" s="1088"/>
      <c r="B23" s="502" t="s">
        <v>133</v>
      </c>
      <c r="C23" s="1052" t="s">
        <v>128</v>
      </c>
      <c r="D23" s="1052"/>
      <c r="E23" s="498">
        <v>63.636394999999993</v>
      </c>
      <c r="F23" s="498">
        <v>63.636394999999993</v>
      </c>
      <c r="G23" s="498">
        <v>63.636394999999993</v>
      </c>
      <c r="H23" s="498">
        <v>63.636394999999993</v>
      </c>
      <c r="I23" s="498">
        <v>63.636394999999993</v>
      </c>
      <c r="J23" s="498">
        <v>63.636394999999993</v>
      </c>
      <c r="K23" s="498">
        <v>63.636394999999993</v>
      </c>
      <c r="L23" s="498">
        <v>63.636394999999993</v>
      </c>
      <c r="M23" s="498">
        <v>63.636394999999993</v>
      </c>
      <c r="N23" s="498">
        <v>63.636394999999993</v>
      </c>
      <c r="O23" s="498">
        <v>63.636394999999993</v>
      </c>
      <c r="P23" s="498">
        <v>63.636394999999993</v>
      </c>
      <c r="Q23" s="498">
        <v>63.636394999999993</v>
      </c>
      <c r="R23" s="498">
        <v>63.636394999999993</v>
      </c>
      <c r="S23" s="498">
        <v>63.636394999999993</v>
      </c>
      <c r="T23" s="498">
        <v>63.636394999999993</v>
      </c>
      <c r="U23" s="498">
        <v>63.636394999999993</v>
      </c>
      <c r="V23" s="498">
        <v>63.636394999999993</v>
      </c>
      <c r="W23" s="498">
        <v>63.636394999999993</v>
      </c>
      <c r="X23" s="498">
        <v>63.636394999999993</v>
      </c>
      <c r="Y23" s="498">
        <v>63.636394999999993</v>
      </c>
      <c r="Z23" s="498">
        <v>63.636394999999993</v>
      </c>
      <c r="AA23" s="498">
        <v>63.636394999999993</v>
      </c>
      <c r="AB23" s="498">
        <v>63.636394999999993</v>
      </c>
      <c r="AC23" s="498">
        <v>63.636394999999993</v>
      </c>
      <c r="AD23" s="498">
        <v>63.636394999999993</v>
      </c>
      <c r="AE23" s="498">
        <v>63.636394999999993</v>
      </c>
      <c r="AF23" s="498">
        <v>63.636394999999993</v>
      </c>
      <c r="AG23" s="498">
        <v>63.636394999999993</v>
      </c>
      <c r="AH23" s="498">
        <v>63.636394999999993</v>
      </c>
      <c r="AI23" s="498">
        <v>63.636394999999993</v>
      </c>
      <c r="AJ23" s="498">
        <v>63.636394999999993</v>
      </c>
      <c r="AK23" s="498">
        <v>63.636394999999993</v>
      </c>
      <c r="AL23" s="498">
        <v>63.636394999999993</v>
      </c>
      <c r="AM23" s="498">
        <v>63.636394999999993</v>
      </c>
      <c r="AN23" s="498">
        <v>63.636394999999993</v>
      </c>
      <c r="AO23" s="498">
        <v>63.636394999999993</v>
      </c>
      <c r="AP23" s="498">
        <v>63.636394999999993</v>
      </c>
      <c r="AQ23" s="498">
        <v>63.636394999999993</v>
      </c>
      <c r="AR23" s="498">
        <v>63.636394999999993</v>
      </c>
      <c r="AS23" s="498">
        <v>63.636394999999993</v>
      </c>
      <c r="AT23" s="498">
        <v>63.636394999999993</v>
      </c>
      <c r="AU23" s="498">
        <v>63.636394999999993</v>
      </c>
      <c r="AV23" s="498">
        <v>63.636394999999993</v>
      </c>
      <c r="AW23" s="498">
        <v>63.636394999999993</v>
      </c>
      <c r="AX23" s="498">
        <v>63.636394999999993</v>
      </c>
      <c r="AY23" s="498">
        <v>63.636394999999993</v>
      </c>
      <c r="AZ23" s="498">
        <v>63.636394999999993</v>
      </c>
      <c r="BA23" s="498">
        <v>63.636394999999993</v>
      </c>
      <c r="BB23" s="498">
        <v>63.636394999999993</v>
      </c>
      <c r="BC23" s="498">
        <v>63.636394999999993</v>
      </c>
      <c r="BD23" s="498">
        <v>63.636394999999993</v>
      </c>
      <c r="BE23" s="498">
        <v>63.636394999999993</v>
      </c>
      <c r="BF23" s="498">
        <v>63.636394999999993</v>
      </c>
      <c r="BG23" s="495">
        <f t="shared" ref="BG23:BG28" si="4">SUM(E23:BF23)</f>
        <v>3436.3653299999996</v>
      </c>
      <c r="BH23" s="1056"/>
      <c r="BI23" s="496">
        <f t="shared" si="1"/>
        <v>54</v>
      </c>
      <c r="BJ23" s="488"/>
      <c r="BK23" s="488"/>
      <c r="BL23" s="488"/>
      <c r="BM23" s="488" t="s">
        <v>240</v>
      </c>
    </row>
    <row r="24" spans="1:65" ht="185.1" customHeight="1" thickTop="1" thickBot="1" x14ac:dyDescent="1.3">
      <c r="A24" s="1088"/>
      <c r="B24" s="502" t="s">
        <v>134</v>
      </c>
      <c r="C24" s="1052" t="s">
        <v>128</v>
      </c>
      <c r="D24" s="1052"/>
      <c r="E24" s="498">
        <v>59.99</v>
      </c>
      <c r="F24" s="498">
        <v>59.99</v>
      </c>
      <c r="G24" s="498">
        <v>59.99</v>
      </c>
      <c r="H24" s="498">
        <v>59.99</v>
      </c>
      <c r="I24" s="498">
        <v>59.99</v>
      </c>
      <c r="J24" s="498">
        <v>59.99</v>
      </c>
      <c r="K24" s="498">
        <v>59.99</v>
      </c>
      <c r="L24" s="498">
        <v>59.99</v>
      </c>
      <c r="M24" s="498">
        <v>59.99</v>
      </c>
      <c r="N24" s="498">
        <v>59.99</v>
      </c>
      <c r="O24" s="498">
        <v>59.99</v>
      </c>
      <c r="P24" s="498">
        <v>59.99</v>
      </c>
      <c r="Q24" s="498">
        <v>59.99</v>
      </c>
      <c r="R24" s="498">
        <v>59.99</v>
      </c>
      <c r="S24" s="498">
        <v>59.99</v>
      </c>
      <c r="T24" s="498">
        <v>59.99</v>
      </c>
      <c r="U24" s="498">
        <v>59.99</v>
      </c>
      <c r="V24" s="498">
        <v>59.99</v>
      </c>
      <c r="W24" s="498">
        <v>59.99</v>
      </c>
      <c r="X24" s="498">
        <v>59.99</v>
      </c>
      <c r="Y24" s="498">
        <v>59.99</v>
      </c>
      <c r="Z24" s="498">
        <v>59.99</v>
      </c>
      <c r="AA24" s="498">
        <v>59.99</v>
      </c>
      <c r="AB24" s="498">
        <v>59.99</v>
      </c>
      <c r="AC24" s="498">
        <v>59.99</v>
      </c>
      <c r="AD24" s="498">
        <v>59.99</v>
      </c>
      <c r="AE24" s="498">
        <v>59.99</v>
      </c>
      <c r="AF24" s="498">
        <v>59.99</v>
      </c>
      <c r="AG24" s="498">
        <v>59.99</v>
      </c>
      <c r="AH24" s="498">
        <v>59.99</v>
      </c>
      <c r="AI24" s="498">
        <v>59.99</v>
      </c>
      <c r="AJ24" s="498">
        <v>59.99</v>
      </c>
      <c r="AK24" s="498">
        <v>59.99</v>
      </c>
      <c r="AL24" s="498">
        <v>59.99</v>
      </c>
      <c r="AM24" s="498">
        <v>59.99</v>
      </c>
      <c r="AN24" s="498">
        <v>59.99</v>
      </c>
      <c r="AO24" s="498">
        <v>59.99</v>
      </c>
      <c r="AP24" s="498">
        <v>59.99</v>
      </c>
      <c r="AQ24" s="498">
        <v>59.99</v>
      </c>
      <c r="AR24" s="498">
        <v>59.99</v>
      </c>
      <c r="AS24" s="498">
        <v>59.99</v>
      </c>
      <c r="AT24" s="498">
        <v>59.99</v>
      </c>
      <c r="AU24" s="498">
        <v>59.99</v>
      </c>
      <c r="AV24" s="498">
        <v>59.99</v>
      </c>
      <c r="AW24" s="498">
        <v>59.99</v>
      </c>
      <c r="AX24" s="498">
        <v>59.99</v>
      </c>
      <c r="AY24" s="498">
        <v>59.99</v>
      </c>
      <c r="AZ24" s="498">
        <v>59.99</v>
      </c>
      <c r="BA24" s="498">
        <v>59.99</v>
      </c>
      <c r="BB24" s="498">
        <v>59.99</v>
      </c>
      <c r="BC24" s="498">
        <v>59.99</v>
      </c>
      <c r="BD24" s="498">
        <v>59.99</v>
      </c>
      <c r="BE24" s="498">
        <v>59.99</v>
      </c>
      <c r="BF24" s="498">
        <v>59.99</v>
      </c>
      <c r="BG24" s="495">
        <f t="shared" si="4"/>
        <v>3239.4599999999959</v>
      </c>
      <c r="BH24" s="1056"/>
      <c r="BI24" s="496">
        <f t="shared" si="1"/>
        <v>53.999999999999929</v>
      </c>
      <c r="BJ24" s="488"/>
      <c r="BK24" s="488"/>
      <c r="BL24" s="488"/>
      <c r="BM24" s="488" t="s">
        <v>241</v>
      </c>
    </row>
    <row r="25" spans="1:65" ht="185.1" customHeight="1" thickTop="1" thickBot="1" x14ac:dyDescent="1.3">
      <c r="A25" s="1088"/>
      <c r="B25" s="502" t="s">
        <v>135</v>
      </c>
      <c r="C25" s="1052" t="s">
        <v>128</v>
      </c>
      <c r="D25" s="1052"/>
      <c r="E25" s="498">
        <v>60.064999999999998</v>
      </c>
      <c r="F25" s="498">
        <v>60.064999999999998</v>
      </c>
      <c r="G25" s="498">
        <v>60.064999999999998</v>
      </c>
      <c r="H25" s="498">
        <v>60.064999999999998</v>
      </c>
      <c r="I25" s="498">
        <v>60.064999999999998</v>
      </c>
      <c r="J25" s="498">
        <v>60.064999999999998</v>
      </c>
      <c r="K25" s="498">
        <v>60.064999999999998</v>
      </c>
      <c r="L25" s="498">
        <v>60.064999999999998</v>
      </c>
      <c r="M25" s="498">
        <v>60.064999999999998</v>
      </c>
      <c r="N25" s="498">
        <v>60.064999999999998</v>
      </c>
      <c r="O25" s="498">
        <v>60.064999999999998</v>
      </c>
      <c r="P25" s="498">
        <v>60.064999999999998</v>
      </c>
      <c r="Q25" s="498">
        <v>60.064999999999998</v>
      </c>
      <c r="R25" s="498">
        <v>60.064999999999998</v>
      </c>
      <c r="S25" s="498">
        <v>60.064999999999998</v>
      </c>
      <c r="T25" s="498">
        <v>60.064999999999998</v>
      </c>
      <c r="U25" s="498">
        <v>60.064999999999998</v>
      </c>
      <c r="V25" s="498">
        <v>60.064999999999998</v>
      </c>
      <c r="W25" s="498">
        <v>60.064999999999998</v>
      </c>
      <c r="X25" s="498">
        <v>60.064999999999998</v>
      </c>
      <c r="Y25" s="498">
        <v>60.064999999999998</v>
      </c>
      <c r="Z25" s="498">
        <v>60.064999999999998</v>
      </c>
      <c r="AA25" s="498">
        <v>60.064999999999998</v>
      </c>
      <c r="AB25" s="498">
        <v>60.064999999999998</v>
      </c>
      <c r="AC25" s="498">
        <v>60.064999999999998</v>
      </c>
      <c r="AD25" s="498">
        <v>60.064999999999998</v>
      </c>
      <c r="AE25" s="498">
        <v>60.064999999999998</v>
      </c>
      <c r="AF25" s="498">
        <v>60.064999999999998</v>
      </c>
      <c r="AG25" s="498">
        <v>60.064999999999998</v>
      </c>
      <c r="AH25" s="498">
        <v>60.064999999999998</v>
      </c>
      <c r="AI25" s="498">
        <v>60.064999999999998</v>
      </c>
      <c r="AJ25" s="498">
        <v>60.064999999999998</v>
      </c>
      <c r="AK25" s="498">
        <v>60.064999999999998</v>
      </c>
      <c r="AL25" s="498">
        <v>60.064999999999998</v>
      </c>
      <c r="AM25" s="498">
        <v>60.064999999999998</v>
      </c>
      <c r="AN25" s="498">
        <v>60.064999999999998</v>
      </c>
      <c r="AO25" s="498">
        <v>60.064999999999998</v>
      </c>
      <c r="AP25" s="498">
        <v>60.064999999999998</v>
      </c>
      <c r="AQ25" s="498">
        <v>60.064999999999998</v>
      </c>
      <c r="AR25" s="498">
        <v>60.064999999999998</v>
      </c>
      <c r="AS25" s="498">
        <v>60.064999999999998</v>
      </c>
      <c r="AT25" s="498">
        <v>60.064999999999998</v>
      </c>
      <c r="AU25" s="498">
        <v>60.064999999999998</v>
      </c>
      <c r="AV25" s="498">
        <v>60.064999999999998</v>
      </c>
      <c r="AW25" s="498">
        <v>60.064999999999998</v>
      </c>
      <c r="AX25" s="498">
        <v>60.064999999999998</v>
      </c>
      <c r="AY25" s="498">
        <v>60.064999999999998</v>
      </c>
      <c r="AZ25" s="498">
        <v>60.064999999999998</v>
      </c>
      <c r="BA25" s="498">
        <v>60.064999999999998</v>
      </c>
      <c r="BB25" s="498">
        <v>60.064999999999998</v>
      </c>
      <c r="BC25" s="498">
        <v>60.064999999999998</v>
      </c>
      <c r="BD25" s="498">
        <v>60.064999999999998</v>
      </c>
      <c r="BE25" s="498">
        <v>60.064999999999998</v>
      </c>
      <c r="BF25" s="498">
        <v>60.064999999999998</v>
      </c>
      <c r="BG25" s="495">
        <f t="shared" si="4"/>
        <v>3243.5100000000025</v>
      </c>
      <c r="BH25" s="1056"/>
      <c r="BI25" s="496">
        <f t="shared" si="1"/>
        <v>54.000000000000043</v>
      </c>
      <c r="BJ25" s="488"/>
      <c r="BK25" s="488"/>
      <c r="BL25" s="488"/>
      <c r="BM25" s="488" t="s">
        <v>242</v>
      </c>
    </row>
    <row r="26" spans="1:65" ht="185.1" customHeight="1" thickTop="1" thickBot="1" x14ac:dyDescent="1.3">
      <c r="A26" s="1088"/>
      <c r="B26" s="502" t="s">
        <v>136</v>
      </c>
      <c r="C26" s="1052" t="s">
        <v>128</v>
      </c>
      <c r="D26" s="1052"/>
      <c r="E26" s="503">
        <v>59.825725000000006</v>
      </c>
      <c r="F26" s="503">
        <v>59.825725000000006</v>
      </c>
      <c r="G26" s="503">
        <v>59.825725000000006</v>
      </c>
      <c r="H26" s="503">
        <v>59.825725000000006</v>
      </c>
      <c r="I26" s="503">
        <v>59.825725000000006</v>
      </c>
      <c r="J26" s="503">
        <v>59.825725000000006</v>
      </c>
      <c r="K26" s="503">
        <v>59.825725000000006</v>
      </c>
      <c r="L26" s="503">
        <v>59.825725000000006</v>
      </c>
      <c r="M26" s="503">
        <v>59.825725000000006</v>
      </c>
      <c r="N26" s="503">
        <v>59.825725000000006</v>
      </c>
      <c r="O26" s="503">
        <v>59.825725000000006</v>
      </c>
      <c r="P26" s="503">
        <v>59.825725000000006</v>
      </c>
      <c r="Q26" s="503">
        <v>59.825725000000006</v>
      </c>
      <c r="R26" s="503">
        <v>59.825725000000006</v>
      </c>
      <c r="S26" s="503">
        <v>59.825725000000006</v>
      </c>
      <c r="T26" s="503">
        <v>59.825725000000006</v>
      </c>
      <c r="U26" s="503">
        <v>59.825725000000006</v>
      </c>
      <c r="V26" s="503">
        <v>59.825725000000006</v>
      </c>
      <c r="W26" s="503">
        <v>59.825725000000006</v>
      </c>
      <c r="X26" s="503">
        <v>59.825725000000006</v>
      </c>
      <c r="Y26" s="503">
        <v>59.825725000000006</v>
      </c>
      <c r="Z26" s="503">
        <v>59.825725000000006</v>
      </c>
      <c r="AA26" s="503">
        <v>59.825725000000006</v>
      </c>
      <c r="AB26" s="503">
        <v>59.825725000000006</v>
      </c>
      <c r="AC26" s="503">
        <v>59.825725000000006</v>
      </c>
      <c r="AD26" s="503">
        <v>59.825725000000006</v>
      </c>
      <c r="AE26" s="503">
        <v>59.825725000000006</v>
      </c>
      <c r="AF26" s="503">
        <v>59.825725000000006</v>
      </c>
      <c r="AG26" s="503">
        <v>59.825725000000006</v>
      </c>
      <c r="AH26" s="503">
        <v>59.825725000000006</v>
      </c>
      <c r="AI26" s="503">
        <v>59.825725000000006</v>
      </c>
      <c r="AJ26" s="503">
        <v>59.825725000000006</v>
      </c>
      <c r="AK26" s="503">
        <v>59.825725000000006</v>
      </c>
      <c r="AL26" s="503">
        <v>59.825725000000006</v>
      </c>
      <c r="AM26" s="503">
        <v>59.825725000000006</v>
      </c>
      <c r="AN26" s="503">
        <v>59.825725000000006</v>
      </c>
      <c r="AO26" s="503">
        <v>59.825725000000006</v>
      </c>
      <c r="AP26" s="503">
        <v>59.825725000000006</v>
      </c>
      <c r="AQ26" s="503">
        <v>59.825725000000006</v>
      </c>
      <c r="AR26" s="503">
        <v>59.825725000000006</v>
      </c>
      <c r="AS26" s="503">
        <v>59.825725000000006</v>
      </c>
      <c r="AT26" s="503">
        <v>59.825725000000006</v>
      </c>
      <c r="AU26" s="503">
        <v>59.825725000000006</v>
      </c>
      <c r="AV26" s="503">
        <v>59.825725000000006</v>
      </c>
      <c r="AW26" s="503">
        <v>59.825725000000006</v>
      </c>
      <c r="AX26" s="503">
        <v>59.825725000000006</v>
      </c>
      <c r="AY26" s="503">
        <v>59.825725000000006</v>
      </c>
      <c r="AZ26" s="503">
        <v>59.825725000000006</v>
      </c>
      <c r="BA26" s="503">
        <v>59.825725000000006</v>
      </c>
      <c r="BB26" s="503">
        <v>59.825725000000006</v>
      </c>
      <c r="BC26" s="503">
        <v>59.825725000000006</v>
      </c>
      <c r="BD26" s="503">
        <v>59.825725000000006</v>
      </c>
      <c r="BE26" s="503">
        <v>59.825725000000006</v>
      </c>
      <c r="BF26" s="503">
        <v>59.825725000000006</v>
      </c>
      <c r="BG26" s="495">
        <f t="shared" si="4"/>
        <v>3230.5891500000021</v>
      </c>
      <c r="BH26" s="1056"/>
      <c r="BI26" s="496">
        <f t="shared" si="1"/>
        <v>54.000000000000028</v>
      </c>
      <c r="BJ26" s="488"/>
      <c r="BK26" s="488"/>
      <c r="BL26" s="488"/>
      <c r="BM26" s="488"/>
    </row>
    <row r="27" spans="1:65" ht="184.9" customHeight="1" thickTop="1" thickBot="1" x14ac:dyDescent="1.3">
      <c r="A27" s="1088"/>
      <c r="B27" s="502" t="s">
        <v>137</v>
      </c>
      <c r="C27" s="1052" t="s">
        <v>128</v>
      </c>
      <c r="D27" s="1052"/>
      <c r="E27" s="503">
        <v>61.187772500000008</v>
      </c>
      <c r="F27" s="503">
        <v>61.187772500000008</v>
      </c>
      <c r="G27" s="503">
        <v>61.187772500000008</v>
      </c>
      <c r="H27" s="503">
        <v>61.187772500000008</v>
      </c>
      <c r="I27" s="503">
        <v>61.187772500000008</v>
      </c>
      <c r="J27" s="503">
        <v>61.187772500000008</v>
      </c>
      <c r="K27" s="503">
        <v>61.187772500000008</v>
      </c>
      <c r="L27" s="503">
        <v>61.187772500000008</v>
      </c>
      <c r="M27" s="503">
        <v>61.187772500000008</v>
      </c>
      <c r="N27" s="503">
        <v>61.187772500000008</v>
      </c>
      <c r="O27" s="503">
        <v>61.187772500000008</v>
      </c>
      <c r="P27" s="503">
        <v>61.187772500000008</v>
      </c>
      <c r="Q27" s="503">
        <v>61.187772500000008</v>
      </c>
      <c r="R27" s="503">
        <v>61.187772500000008</v>
      </c>
      <c r="S27" s="503">
        <v>61.187772500000008</v>
      </c>
      <c r="T27" s="503">
        <v>61.187772500000008</v>
      </c>
      <c r="U27" s="503">
        <v>61.187772500000008</v>
      </c>
      <c r="V27" s="503">
        <v>61.187772500000008</v>
      </c>
      <c r="W27" s="503">
        <v>61.187772500000008</v>
      </c>
      <c r="X27" s="503">
        <v>61.187772500000008</v>
      </c>
      <c r="Y27" s="503">
        <v>61.187772500000008</v>
      </c>
      <c r="Z27" s="503">
        <v>61.187772500000008</v>
      </c>
      <c r="AA27" s="503">
        <v>61.187772500000008</v>
      </c>
      <c r="AB27" s="503">
        <v>61.187772500000008</v>
      </c>
      <c r="AC27" s="503">
        <v>61.187772500000008</v>
      </c>
      <c r="AD27" s="503">
        <v>61.187772500000008</v>
      </c>
      <c r="AE27" s="503">
        <v>61.187772500000008</v>
      </c>
      <c r="AF27" s="503">
        <v>61.187772500000008</v>
      </c>
      <c r="AG27" s="503">
        <v>61.187772500000008</v>
      </c>
      <c r="AH27" s="503">
        <v>61.187772500000008</v>
      </c>
      <c r="AI27" s="503">
        <v>61.187772500000008</v>
      </c>
      <c r="AJ27" s="503">
        <v>61.187772500000008</v>
      </c>
      <c r="AK27" s="503">
        <v>61.187772500000008</v>
      </c>
      <c r="AL27" s="503">
        <v>61.187772500000008</v>
      </c>
      <c r="AM27" s="503">
        <v>61.187772500000008</v>
      </c>
      <c r="AN27" s="503">
        <v>61.187772500000008</v>
      </c>
      <c r="AO27" s="503">
        <v>61.187772500000008</v>
      </c>
      <c r="AP27" s="503">
        <v>61.187772500000008</v>
      </c>
      <c r="AQ27" s="503">
        <v>61.187772500000008</v>
      </c>
      <c r="AR27" s="503">
        <v>61.187772500000008</v>
      </c>
      <c r="AS27" s="503">
        <v>61.187772500000008</v>
      </c>
      <c r="AT27" s="503">
        <v>61.187772500000008</v>
      </c>
      <c r="AU27" s="503">
        <v>61.187772500000008</v>
      </c>
      <c r="AV27" s="503">
        <v>61.187772500000008</v>
      </c>
      <c r="AW27" s="503">
        <v>61.187772500000008</v>
      </c>
      <c r="AX27" s="503">
        <v>61.187772500000008</v>
      </c>
      <c r="AY27" s="503">
        <v>61.187772500000008</v>
      </c>
      <c r="AZ27" s="503">
        <v>61.187772500000008</v>
      </c>
      <c r="BA27" s="503">
        <v>61.187772500000008</v>
      </c>
      <c r="BB27" s="503">
        <v>61.187772500000008</v>
      </c>
      <c r="BC27" s="503">
        <v>61.187772500000008</v>
      </c>
      <c r="BD27" s="503">
        <v>61.187772500000008</v>
      </c>
      <c r="BE27" s="503">
        <v>61.187772500000008</v>
      </c>
      <c r="BF27" s="503">
        <v>61.187772500000008</v>
      </c>
      <c r="BG27" s="495">
        <f>SUM(E27:BF27)</f>
        <v>3304.139714999998</v>
      </c>
      <c r="BH27" s="1056"/>
      <c r="BI27" s="496">
        <f t="shared" si="1"/>
        <v>53.999999999999957</v>
      </c>
      <c r="BJ27" s="488"/>
      <c r="BK27" s="488"/>
      <c r="BL27" s="488"/>
      <c r="BM27" s="488"/>
    </row>
    <row r="28" spans="1:65" ht="185.1" customHeight="1" thickTop="1" thickBot="1" x14ac:dyDescent="1.3">
      <c r="A28" s="1088"/>
      <c r="B28" s="502" t="s">
        <v>138</v>
      </c>
      <c r="C28" s="1052" t="s">
        <v>128</v>
      </c>
      <c r="D28" s="1052"/>
      <c r="E28" s="503">
        <v>70.951319000000012</v>
      </c>
      <c r="F28" s="503">
        <v>70.951319000000012</v>
      </c>
      <c r="G28" s="503">
        <v>70.951319000000012</v>
      </c>
      <c r="H28" s="503">
        <v>70.951319000000012</v>
      </c>
      <c r="I28" s="503">
        <v>70.951319000000012</v>
      </c>
      <c r="J28" s="503">
        <v>70.951319000000012</v>
      </c>
      <c r="K28" s="503">
        <v>70.951319000000012</v>
      </c>
      <c r="L28" s="503">
        <v>70.951319000000012</v>
      </c>
      <c r="M28" s="503">
        <v>70.951319000000012</v>
      </c>
      <c r="N28" s="503">
        <v>70.951319000000012</v>
      </c>
      <c r="O28" s="503">
        <v>70.951319000000012</v>
      </c>
      <c r="P28" s="503">
        <v>70.951319000000012</v>
      </c>
      <c r="Q28" s="503">
        <v>70.951319000000012</v>
      </c>
      <c r="R28" s="503">
        <v>70.951319000000012</v>
      </c>
      <c r="S28" s="503">
        <v>70.951319000000012</v>
      </c>
      <c r="T28" s="503">
        <v>70.951319000000012</v>
      </c>
      <c r="U28" s="503">
        <v>70.951319000000012</v>
      </c>
      <c r="V28" s="503">
        <v>70.951319000000012</v>
      </c>
      <c r="W28" s="503">
        <v>70.951319000000012</v>
      </c>
      <c r="X28" s="503">
        <v>70.951319000000012</v>
      </c>
      <c r="Y28" s="503">
        <v>70.951319000000012</v>
      </c>
      <c r="Z28" s="503">
        <v>70.951319000000012</v>
      </c>
      <c r="AA28" s="503">
        <v>70.951319000000012</v>
      </c>
      <c r="AB28" s="503">
        <v>70.951319000000012</v>
      </c>
      <c r="AC28" s="503">
        <v>70.951319000000012</v>
      </c>
      <c r="AD28" s="503">
        <v>70.951319000000012</v>
      </c>
      <c r="AE28" s="503">
        <v>70.951319000000012</v>
      </c>
      <c r="AF28" s="503">
        <v>70.951319000000012</v>
      </c>
      <c r="AG28" s="503">
        <v>70.951319000000012</v>
      </c>
      <c r="AH28" s="503">
        <v>70.951319000000012</v>
      </c>
      <c r="AI28" s="503">
        <v>70.951319000000012</v>
      </c>
      <c r="AJ28" s="503">
        <v>70.951319000000012</v>
      </c>
      <c r="AK28" s="503">
        <v>70.951319000000012</v>
      </c>
      <c r="AL28" s="503">
        <v>70.951319000000012</v>
      </c>
      <c r="AM28" s="503">
        <v>70.951319000000012</v>
      </c>
      <c r="AN28" s="503">
        <v>70.951319000000012</v>
      </c>
      <c r="AO28" s="503">
        <v>70.951319000000012</v>
      </c>
      <c r="AP28" s="503">
        <v>70.951319000000012</v>
      </c>
      <c r="AQ28" s="503">
        <v>70.951319000000012</v>
      </c>
      <c r="AR28" s="503">
        <v>70.951319000000012</v>
      </c>
      <c r="AS28" s="503">
        <v>70.951319000000012</v>
      </c>
      <c r="AT28" s="503">
        <v>70.951319000000012</v>
      </c>
      <c r="AU28" s="503">
        <v>70.951319000000012</v>
      </c>
      <c r="AV28" s="503">
        <v>70.951319000000012</v>
      </c>
      <c r="AW28" s="503">
        <v>70.951319000000012</v>
      </c>
      <c r="AX28" s="503">
        <v>70.951319000000012</v>
      </c>
      <c r="AY28" s="503">
        <v>70.951319000000012</v>
      </c>
      <c r="AZ28" s="503">
        <v>70.951319000000012</v>
      </c>
      <c r="BA28" s="503">
        <v>70.951319000000012</v>
      </c>
      <c r="BB28" s="503">
        <v>70.951319000000012</v>
      </c>
      <c r="BC28" s="503">
        <v>70.951319000000012</v>
      </c>
      <c r="BD28" s="503">
        <v>70.951319000000012</v>
      </c>
      <c r="BE28" s="503">
        <v>70.951319000000012</v>
      </c>
      <c r="BF28" s="503">
        <v>70.951319000000012</v>
      </c>
      <c r="BG28" s="495">
        <f t="shared" si="4"/>
        <v>3831.3712259999947</v>
      </c>
      <c r="BH28" s="1056"/>
      <c r="BI28" s="496">
        <f t="shared" si="1"/>
        <v>53.999999999999915</v>
      </c>
      <c r="BJ28" s="488"/>
      <c r="BK28" s="488"/>
      <c r="BL28" s="488"/>
      <c r="BM28" s="488"/>
    </row>
    <row r="29" spans="1:65" ht="185.1" customHeight="1" thickTop="1" thickBot="1" x14ac:dyDescent="1.3">
      <c r="A29" s="1088"/>
      <c r="B29" s="502" t="s">
        <v>139</v>
      </c>
      <c r="C29" s="1052" t="s">
        <v>128</v>
      </c>
      <c r="D29" s="1052"/>
      <c r="E29" s="503">
        <v>9.8319600000000005</v>
      </c>
      <c r="F29" s="503">
        <v>9.8319600000000005</v>
      </c>
      <c r="G29" s="503">
        <v>9.8319600000000005</v>
      </c>
      <c r="H29" s="503">
        <v>9.8319600000000005</v>
      </c>
      <c r="I29" s="503">
        <v>9.8319600000000005</v>
      </c>
      <c r="J29" s="503">
        <v>9.8319600000000005</v>
      </c>
      <c r="K29" s="503">
        <v>9.8319600000000005</v>
      </c>
      <c r="L29" s="503">
        <v>9.8319600000000005</v>
      </c>
      <c r="M29" s="503">
        <v>9.8319600000000005</v>
      </c>
      <c r="N29" s="503">
        <v>9.8319600000000005</v>
      </c>
      <c r="O29" s="503">
        <v>9.8319600000000005</v>
      </c>
      <c r="P29" s="503">
        <v>9.8319600000000005</v>
      </c>
      <c r="Q29" s="503">
        <v>9.8319600000000005</v>
      </c>
      <c r="R29" s="503">
        <v>9.8319600000000005</v>
      </c>
      <c r="S29" s="503">
        <v>9.8319600000000005</v>
      </c>
      <c r="T29" s="503">
        <v>9.8319600000000005</v>
      </c>
      <c r="U29" s="503">
        <v>9.8319600000000005</v>
      </c>
      <c r="V29" s="503">
        <v>9.8319600000000005</v>
      </c>
      <c r="W29" s="503">
        <v>9.8319600000000005</v>
      </c>
      <c r="X29" s="503">
        <v>9.8319600000000005</v>
      </c>
      <c r="Y29" s="503">
        <v>9.8319600000000005</v>
      </c>
      <c r="Z29" s="503">
        <v>9.8319600000000005</v>
      </c>
      <c r="AA29" s="503">
        <v>9.8319600000000005</v>
      </c>
      <c r="AB29" s="503">
        <v>9.8319600000000005</v>
      </c>
      <c r="AC29" s="503">
        <v>9.8319600000000005</v>
      </c>
      <c r="AD29" s="503">
        <v>9.8319600000000005</v>
      </c>
      <c r="AE29" s="503">
        <v>9.8319600000000005</v>
      </c>
      <c r="AF29" s="503">
        <v>9.8319600000000005</v>
      </c>
      <c r="AG29" s="503">
        <v>9.8319600000000005</v>
      </c>
      <c r="AH29" s="503">
        <v>9.8319600000000005</v>
      </c>
      <c r="AI29" s="503">
        <v>9.8319600000000005</v>
      </c>
      <c r="AJ29" s="503">
        <v>9.8319600000000005</v>
      </c>
      <c r="AK29" s="503">
        <v>9.8319600000000005</v>
      </c>
      <c r="AL29" s="503">
        <v>9.8319600000000005</v>
      </c>
      <c r="AM29" s="503">
        <v>9.8319600000000005</v>
      </c>
      <c r="AN29" s="503">
        <v>9.8319600000000005</v>
      </c>
      <c r="AO29" s="503">
        <v>9.8319600000000005</v>
      </c>
      <c r="AP29" s="503">
        <v>9.8319600000000005</v>
      </c>
      <c r="AQ29" s="503">
        <v>9.8319600000000005</v>
      </c>
      <c r="AR29" s="503">
        <v>9.8319600000000005</v>
      </c>
      <c r="AS29" s="503">
        <v>9.8319600000000005</v>
      </c>
      <c r="AT29" s="503">
        <v>9.8319600000000005</v>
      </c>
      <c r="AU29" s="503">
        <v>9.8319600000000005</v>
      </c>
      <c r="AV29" s="503">
        <v>9.8319600000000005</v>
      </c>
      <c r="AW29" s="503">
        <v>9.8319600000000005</v>
      </c>
      <c r="AX29" s="503">
        <v>9.8319600000000005</v>
      </c>
      <c r="AY29" s="503">
        <v>9.8319600000000005</v>
      </c>
      <c r="AZ29" s="503">
        <v>9.8319600000000005</v>
      </c>
      <c r="BA29" s="503">
        <v>9.8319600000000005</v>
      </c>
      <c r="BB29" s="503">
        <v>9.8319600000000005</v>
      </c>
      <c r="BC29" s="503">
        <v>9.8319600000000005</v>
      </c>
      <c r="BD29" s="503">
        <v>9.8319600000000005</v>
      </c>
      <c r="BE29" s="503">
        <v>9.8319600000000005</v>
      </c>
      <c r="BF29" s="503">
        <v>9.8319600000000005</v>
      </c>
      <c r="BG29" s="495">
        <f t="shared" ref="BG29" si="5">SUM(E29:BF29)</f>
        <v>530.92583999999965</v>
      </c>
      <c r="BH29" s="1056"/>
      <c r="BI29" s="496">
        <f t="shared" si="1"/>
        <v>53.999999999999964</v>
      </c>
      <c r="BJ29" s="488"/>
      <c r="BK29" s="488"/>
      <c r="BL29" s="488"/>
      <c r="BM29" s="488"/>
    </row>
    <row r="30" spans="1:65" s="511" customFormat="1" ht="184.9" customHeight="1" thickTop="1" thickBot="1" x14ac:dyDescent="1.3">
      <c r="A30" s="1088" t="s">
        <v>140</v>
      </c>
      <c r="B30" s="499"/>
      <c r="C30" s="1053" t="s">
        <v>127</v>
      </c>
      <c r="D30" s="1053"/>
      <c r="E30" s="489">
        <v>121</v>
      </c>
      <c r="F30" s="489">
        <v>121</v>
      </c>
      <c r="G30" s="489">
        <v>121</v>
      </c>
      <c r="H30" s="489">
        <v>121</v>
      </c>
      <c r="I30" s="489">
        <v>121</v>
      </c>
      <c r="J30" s="489">
        <v>121</v>
      </c>
      <c r="K30" s="489">
        <v>121</v>
      </c>
      <c r="L30" s="489">
        <v>121</v>
      </c>
      <c r="M30" s="489">
        <v>121</v>
      </c>
      <c r="N30" s="489">
        <v>121</v>
      </c>
      <c r="O30" s="489">
        <v>121</v>
      </c>
      <c r="P30" s="489">
        <v>121</v>
      </c>
      <c r="Q30" s="489">
        <v>121</v>
      </c>
      <c r="R30" s="489">
        <v>121</v>
      </c>
      <c r="S30" s="489">
        <v>121</v>
      </c>
      <c r="T30" s="489">
        <v>121</v>
      </c>
      <c r="U30" s="489">
        <v>121</v>
      </c>
      <c r="V30" s="489">
        <v>121</v>
      </c>
      <c r="W30" s="489">
        <v>121</v>
      </c>
      <c r="X30" s="489">
        <v>121</v>
      </c>
      <c r="Y30" s="489">
        <v>121</v>
      </c>
      <c r="Z30" s="489">
        <v>121</v>
      </c>
      <c r="AA30" s="489">
        <v>121</v>
      </c>
      <c r="AB30" s="489">
        <v>121</v>
      </c>
      <c r="AC30" s="489">
        <v>121</v>
      </c>
      <c r="AD30" s="489">
        <v>121</v>
      </c>
      <c r="AE30" s="489">
        <v>121</v>
      </c>
      <c r="AF30" s="489">
        <v>121</v>
      </c>
      <c r="AG30" s="489">
        <v>121</v>
      </c>
      <c r="AH30" s="489">
        <v>121</v>
      </c>
      <c r="AI30" s="489">
        <v>121</v>
      </c>
      <c r="AJ30" s="489">
        <v>121</v>
      </c>
      <c r="AK30" s="489">
        <v>121</v>
      </c>
      <c r="AL30" s="489">
        <v>121</v>
      </c>
      <c r="AM30" s="489">
        <v>121</v>
      </c>
      <c r="AN30" s="489">
        <v>121</v>
      </c>
      <c r="AO30" s="489">
        <v>121</v>
      </c>
      <c r="AP30" s="489">
        <v>121</v>
      </c>
      <c r="AQ30" s="489">
        <v>121</v>
      </c>
      <c r="AR30" s="489">
        <v>121</v>
      </c>
      <c r="AS30" s="489">
        <v>121</v>
      </c>
      <c r="AT30" s="489">
        <v>121</v>
      </c>
      <c r="AU30" s="489">
        <v>121</v>
      </c>
      <c r="AV30" s="489">
        <v>121</v>
      </c>
      <c r="AW30" s="489">
        <v>121</v>
      </c>
      <c r="AX30" s="489">
        <v>121</v>
      </c>
      <c r="AY30" s="489">
        <v>121</v>
      </c>
      <c r="AZ30" s="489">
        <v>121</v>
      </c>
      <c r="BA30" s="489">
        <v>121</v>
      </c>
      <c r="BB30" s="489">
        <v>121</v>
      </c>
      <c r="BC30" s="489">
        <v>121</v>
      </c>
      <c r="BD30" s="489">
        <v>121</v>
      </c>
      <c r="BE30" s="489">
        <v>121</v>
      </c>
      <c r="BF30" s="489">
        <v>121</v>
      </c>
      <c r="BG30" s="490">
        <f t="shared" si="0"/>
        <v>6534</v>
      </c>
      <c r="BH30" s="501"/>
      <c r="BI30" s="491">
        <f t="shared" si="1"/>
        <v>54</v>
      </c>
      <c r="BJ30" s="492"/>
      <c r="BK30" s="492"/>
      <c r="BL30" s="492"/>
      <c r="BM30" s="492"/>
    </row>
    <row r="31" spans="1:65" ht="185.1" customHeight="1" thickTop="1" thickBot="1" x14ac:dyDescent="1.3">
      <c r="A31" s="1088"/>
      <c r="B31" s="502" t="s">
        <v>141</v>
      </c>
      <c r="C31" s="1052" t="s">
        <v>128</v>
      </c>
      <c r="D31" s="1052"/>
      <c r="E31" s="498">
        <v>37.11</v>
      </c>
      <c r="F31" s="498">
        <v>34.03</v>
      </c>
      <c r="G31" s="498">
        <v>36.880000000000003</v>
      </c>
      <c r="H31" s="498">
        <v>34.03</v>
      </c>
      <c r="I31" s="498">
        <v>34.03</v>
      </c>
      <c r="J31" s="498">
        <v>35.57</v>
      </c>
      <c r="K31" s="498">
        <v>34.03</v>
      </c>
      <c r="L31" s="498">
        <v>34.03</v>
      </c>
      <c r="M31" s="498">
        <v>33.96</v>
      </c>
      <c r="N31" s="498">
        <v>34.03</v>
      </c>
      <c r="O31" s="498">
        <v>34.799999999999997</v>
      </c>
      <c r="P31" s="498">
        <v>34.03</v>
      </c>
      <c r="Q31" s="498">
        <v>34.799999999999997</v>
      </c>
      <c r="R31" s="498">
        <v>36.64</v>
      </c>
      <c r="S31" s="498">
        <v>37.950000000000003</v>
      </c>
      <c r="T31" s="498">
        <v>37.72</v>
      </c>
      <c r="U31" s="503">
        <v>36.03</v>
      </c>
      <c r="V31" s="503">
        <v>39.409999999999997</v>
      </c>
      <c r="W31" s="503">
        <v>39.409999999999997</v>
      </c>
      <c r="X31" s="503">
        <v>34.03877999999996</v>
      </c>
      <c r="Y31" s="503">
        <v>35.574779999999876</v>
      </c>
      <c r="Z31" s="503">
        <v>34.03877999999996</v>
      </c>
      <c r="AA31" s="503">
        <v>37.878779999999963</v>
      </c>
      <c r="AB31" s="503">
        <v>37.878779999999963</v>
      </c>
      <c r="AC31" s="503">
        <v>37.878779999999963</v>
      </c>
      <c r="AD31" s="503">
        <v>38.953979999999859</v>
      </c>
      <c r="AE31" s="503">
        <v>34.03877999999996</v>
      </c>
      <c r="AF31" s="503">
        <v>34.03877999999996</v>
      </c>
      <c r="AG31" s="503">
        <v>35.190780000000004</v>
      </c>
      <c r="AH31" s="503">
        <v>34.03877999999996</v>
      </c>
      <c r="AI31" s="503">
        <v>34.03877999999996</v>
      </c>
      <c r="AJ31" s="503">
        <v>34.192379999999815</v>
      </c>
      <c r="AK31" s="503">
        <v>36.957179999999923</v>
      </c>
      <c r="AL31" s="503">
        <v>34.03877999999996</v>
      </c>
      <c r="AM31" s="503">
        <v>37.878779999999963</v>
      </c>
      <c r="AN31" s="503">
        <v>38.262780000000049</v>
      </c>
      <c r="AO31" s="503">
        <v>34.03877999999996</v>
      </c>
      <c r="AP31" s="503">
        <v>36.496379999999903</v>
      </c>
      <c r="AQ31" s="503">
        <v>34.03877999999996</v>
      </c>
      <c r="AR31" s="503">
        <v>35.958779999999962</v>
      </c>
      <c r="AS31" s="503">
        <v>38.80037999999999</v>
      </c>
      <c r="AT31" s="503">
        <v>34.03877999999996</v>
      </c>
      <c r="AU31" s="503">
        <v>37.648379999999946</v>
      </c>
      <c r="AV31" s="503">
        <v>34.03877999999996</v>
      </c>
      <c r="AW31" s="503">
        <v>34.03877999999996</v>
      </c>
      <c r="AX31" s="503">
        <v>34.03877999999996</v>
      </c>
      <c r="AY31" s="503">
        <v>34.03877999999996</v>
      </c>
      <c r="AZ31" s="503">
        <v>37.878779999999963</v>
      </c>
      <c r="BA31" s="503">
        <v>37.878779999999963</v>
      </c>
      <c r="BB31" s="503">
        <v>36.342779999999834</v>
      </c>
      <c r="BC31" s="503">
        <v>34.03877999999996</v>
      </c>
      <c r="BD31" s="503">
        <v>34.03877999999996</v>
      </c>
      <c r="BE31" s="503">
        <v>34.03877999999996</v>
      </c>
      <c r="BF31" s="503">
        <v>34.03877999999996</v>
      </c>
      <c r="BG31" s="495">
        <f>SUM(E31:BF31)</f>
        <v>1922.8392999999969</v>
      </c>
      <c r="BH31" s="1056">
        <f>SUM(BG31:BG37)</f>
        <v>6476.347179999997</v>
      </c>
      <c r="BI31" s="496">
        <f>BG31/37</f>
        <v>51.968629729729649</v>
      </c>
      <c r="BJ31" s="488"/>
      <c r="BK31" s="488"/>
      <c r="BL31" s="488"/>
      <c r="BM31" s="488"/>
    </row>
    <row r="32" spans="1:65" ht="185.1" customHeight="1" thickTop="1" thickBot="1" x14ac:dyDescent="1.3">
      <c r="A32" s="1088"/>
      <c r="B32" s="502" t="s">
        <v>142</v>
      </c>
      <c r="C32" s="1052" t="s">
        <v>128</v>
      </c>
      <c r="D32" s="1052"/>
      <c r="E32" s="498">
        <v>18.030820000000002</v>
      </c>
      <c r="F32" s="498">
        <v>18.030820000000002</v>
      </c>
      <c r="G32" s="498">
        <v>18.030820000000002</v>
      </c>
      <c r="H32" s="498">
        <v>18.030820000000002</v>
      </c>
      <c r="I32" s="498">
        <v>18.030820000000002</v>
      </c>
      <c r="J32" s="498">
        <v>18.030820000000002</v>
      </c>
      <c r="K32" s="498">
        <v>18.030820000000002</v>
      </c>
      <c r="L32" s="498">
        <v>18.030820000000002</v>
      </c>
      <c r="M32" s="498">
        <v>18.030820000000002</v>
      </c>
      <c r="N32" s="498">
        <v>18.030820000000002</v>
      </c>
      <c r="O32" s="498">
        <v>18.030820000000002</v>
      </c>
      <c r="P32" s="498">
        <v>18.030820000000002</v>
      </c>
      <c r="Q32" s="498">
        <v>18.030820000000002</v>
      </c>
      <c r="R32" s="498">
        <v>18.030820000000002</v>
      </c>
      <c r="S32" s="498">
        <v>18.030820000000002</v>
      </c>
      <c r="T32" s="498">
        <v>18.030820000000002</v>
      </c>
      <c r="U32" s="498">
        <v>18.030820000000002</v>
      </c>
      <c r="V32" s="498">
        <v>18.030820000000002</v>
      </c>
      <c r="W32" s="498">
        <v>18.030820000000002</v>
      </c>
      <c r="X32" s="498">
        <v>18.030820000000002</v>
      </c>
      <c r="Y32" s="498">
        <v>18.030820000000002</v>
      </c>
      <c r="Z32" s="498">
        <v>18.030820000000002</v>
      </c>
      <c r="AA32" s="498">
        <v>18.030820000000002</v>
      </c>
      <c r="AB32" s="498">
        <v>18.030820000000002</v>
      </c>
      <c r="AC32" s="498">
        <v>18.030820000000002</v>
      </c>
      <c r="AD32" s="498">
        <v>18.030820000000002</v>
      </c>
      <c r="AE32" s="498">
        <v>18.030820000000002</v>
      </c>
      <c r="AF32" s="498">
        <v>18.030820000000002</v>
      </c>
      <c r="AG32" s="498">
        <v>18.030820000000002</v>
      </c>
      <c r="AH32" s="498">
        <v>18.030820000000002</v>
      </c>
      <c r="AI32" s="498">
        <v>18.030820000000002</v>
      </c>
      <c r="AJ32" s="498">
        <v>18.030820000000002</v>
      </c>
      <c r="AK32" s="498">
        <v>18.030820000000002</v>
      </c>
      <c r="AL32" s="498">
        <v>18.030820000000002</v>
      </c>
      <c r="AM32" s="498">
        <v>18.030820000000002</v>
      </c>
      <c r="AN32" s="498">
        <v>18.030820000000002</v>
      </c>
      <c r="AO32" s="498">
        <v>18.030820000000002</v>
      </c>
      <c r="AP32" s="498">
        <v>18.030820000000002</v>
      </c>
      <c r="AQ32" s="498">
        <v>18.030820000000002</v>
      </c>
      <c r="AR32" s="498">
        <v>18.030820000000002</v>
      </c>
      <c r="AS32" s="498">
        <v>18.030820000000002</v>
      </c>
      <c r="AT32" s="498">
        <v>18.030820000000002</v>
      </c>
      <c r="AU32" s="498">
        <v>18.030820000000002</v>
      </c>
      <c r="AV32" s="498">
        <v>18.030820000000002</v>
      </c>
      <c r="AW32" s="498">
        <v>18.030820000000002</v>
      </c>
      <c r="AX32" s="498">
        <v>18.030820000000002</v>
      </c>
      <c r="AY32" s="498">
        <v>18.030820000000002</v>
      </c>
      <c r="AZ32" s="498">
        <v>18.030820000000002</v>
      </c>
      <c r="BA32" s="498">
        <v>18.030820000000002</v>
      </c>
      <c r="BB32" s="498">
        <v>18.030820000000002</v>
      </c>
      <c r="BC32" s="498">
        <v>18.030820000000002</v>
      </c>
      <c r="BD32" s="498">
        <v>18.030820000000002</v>
      </c>
      <c r="BE32" s="498">
        <v>18.030820000000002</v>
      </c>
      <c r="BF32" s="498">
        <v>18.030820000000002</v>
      </c>
      <c r="BG32" s="495">
        <f t="shared" ref="BG32:BG37" si="6">SUM(E32:BF32)</f>
        <v>973.66427999999883</v>
      </c>
      <c r="BH32" s="1056"/>
      <c r="BI32" s="496">
        <f t="shared" si="1"/>
        <v>53.999999999999929</v>
      </c>
      <c r="BJ32" s="488"/>
      <c r="BK32" s="488"/>
      <c r="BL32" s="488"/>
      <c r="BM32" s="488"/>
    </row>
    <row r="33" spans="1:65" ht="185.1" customHeight="1" thickTop="1" thickBot="1" x14ac:dyDescent="1.3">
      <c r="A33" s="1088"/>
      <c r="B33" s="502" t="s">
        <v>143</v>
      </c>
      <c r="C33" s="1052" t="s">
        <v>128</v>
      </c>
      <c r="D33" s="1052"/>
      <c r="E33" s="498">
        <v>17.595400000000001</v>
      </c>
      <c r="F33" s="498">
        <v>17.595400000000001</v>
      </c>
      <c r="G33" s="498">
        <v>17.595400000000001</v>
      </c>
      <c r="H33" s="498">
        <v>17.595400000000001</v>
      </c>
      <c r="I33" s="498">
        <v>17.595400000000001</v>
      </c>
      <c r="J33" s="498">
        <v>17.595400000000001</v>
      </c>
      <c r="K33" s="498">
        <v>17.595400000000001</v>
      </c>
      <c r="L33" s="498">
        <v>17.595400000000001</v>
      </c>
      <c r="M33" s="498">
        <v>17.595400000000001</v>
      </c>
      <c r="N33" s="498">
        <v>17.595400000000001</v>
      </c>
      <c r="O33" s="498">
        <v>17.595400000000001</v>
      </c>
      <c r="P33" s="498">
        <v>17.595400000000001</v>
      </c>
      <c r="Q33" s="498">
        <v>17.595400000000001</v>
      </c>
      <c r="R33" s="498">
        <v>17.595400000000001</v>
      </c>
      <c r="S33" s="498">
        <v>17.595400000000001</v>
      </c>
      <c r="T33" s="498">
        <v>17.595400000000001</v>
      </c>
      <c r="U33" s="498">
        <v>17.595400000000001</v>
      </c>
      <c r="V33" s="498">
        <v>17.595400000000001</v>
      </c>
      <c r="W33" s="498">
        <v>17.595400000000001</v>
      </c>
      <c r="X33" s="498">
        <v>17.595400000000001</v>
      </c>
      <c r="Y33" s="498">
        <v>17.595400000000001</v>
      </c>
      <c r="Z33" s="498">
        <v>17.595400000000001</v>
      </c>
      <c r="AA33" s="498">
        <v>17.595400000000001</v>
      </c>
      <c r="AB33" s="498">
        <v>17.595400000000001</v>
      </c>
      <c r="AC33" s="498">
        <v>17.595400000000001</v>
      </c>
      <c r="AD33" s="498">
        <v>17.595400000000001</v>
      </c>
      <c r="AE33" s="498">
        <v>17.595400000000001</v>
      </c>
      <c r="AF33" s="498">
        <v>17.595400000000001</v>
      </c>
      <c r="AG33" s="498">
        <v>17.595400000000001</v>
      </c>
      <c r="AH33" s="498">
        <v>17.595400000000001</v>
      </c>
      <c r="AI33" s="498">
        <v>17.595400000000001</v>
      </c>
      <c r="AJ33" s="498">
        <v>17.595400000000001</v>
      </c>
      <c r="AK33" s="498">
        <v>17.595400000000001</v>
      </c>
      <c r="AL33" s="498">
        <v>17.595400000000001</v>
      </c>
      <c r="AM33" s="498">
        <v>17.595400000000001</v>
      </c>
      <c r="AN33" s="498">
        <v>17.595400000000001</v>
      </c>
      <c r="AO33" s="498">
        <v>17.595400000000001</v>
      </c>
      <c r="AP33" s="498">
        <v>17.595400000000001</v>
      </c>
      <c r="AQ33" s="498">
        <v>17.595400000000001</v>
      </c>
      <c r="AR33" s="498">
        <v>17.595400000000001</v>
      </c>
      <c r="AS33" s="498">
        <v>17.595400000000001</v>
      </c>
      <c r="AT33" s="498">
        <v>17.595400000000001</v>
      </c>
      <c r="AU33" s="498">
        <v>17.595400000000001</v>
      </c>
      <c r="AV33" s="498">
        <v>17.595400000000001</v>
      </c>
      <c r="AW33" s="498">
        <v>17.595400000000001</v>
      </c>
      <c r="AX33" s="498">
        <v>17.595400000000001</v>
      </c>
      <c r="AY33" s="498">
        <v>17.595400000000001</v>
      </c>
      <c r="AZ33" s="498">
        <v>17.595400000000001</v>
      </c>
      <c r="BA33" s="498">
        <v>17.595400000000001</v>
      </c>
      <c r="BB33" s="498">
        <v>17.595400000000001</v>
      </c>
      <c r="BC33" s="498">
        <v>17.595400000000001</v>
      </c>
      <c r="BD33" s="498">
        <v>17.595400000000001</v>
      </c>
      <c r="BE33" s="498">
        <v>17.595400000000001</v>
      </c>
      <c r="BF33" s="498">
        <v>17.595400000000001</v>
      </c>
      <c r="BG33" s="495">
        <f>SUM(E33:BF33)</f>
        <v>950.15160000000083</v>
      </c>
      <c r="BH33" s="1056"/>
      <c r="BI33" s="496">
        <f t="shared" si="1"/>
        <v>54.000000000000043</v>
      </c>
      <c r="BJ33" s="488">
        <v>1618</v>
      </c>
      <c r="BK33" s="488"/>
      <c r="BL33" s="488"/>
      <c r="BM33" s="488"/>
    </row>
    <row r="34" spans="1:65" ht="184.9" customHeight="1" thickTop="1" thickBot="1" x14ac:dyDescent="1.3">
      <c r="A34" s="1088"/>
      <c r="B34" s="502" t="s">
        <v>144</v>
      </c>
      <c r="C34" s="1052" t="s">
        <v>128</v>
      </c>
      <c r="D34" s="1052"/>
      <c r="E34" s="503">
        <v>15.5684</v>
      </c>
      <c r="F34" s="503">
        <v>15.5684</v>
      </c>
      <c r="G34" s="503">
        <v>15.5684</v>
      </c>
      <c r="H34" s="503">
        <v>15.5684</v>
      </c>
      <c r="I34" s="503">
        <v>15.5684</v>
      </c>
      <c r="J34" s="503">
        <v>15.5684</v>
      </c>
      <c r="K34" s="503">
        <v>15.5684</v>
      </c>
      <c r="L34" s="503">
        <v>15.5684</v>
      </c>
      <c r="M34" s="503">
        <v>15.5684</v>
      </c>
      <c r="N34" s="503">
        <v>15.5684</v>
      </c>
      <c r="O34" s="503">
        <v>15.5684</v>
      </c>
      <c r="P34" s="503">
        <v>15.5684</v>
      </c>
      <c r="Q34" s="503">
        <v>15.5684</v>
      </c>
      <c r="R34" s="503">
        <v>15.5684</v>
      </c>
      <c r="S34" s="503">
        <v>15.5684</v>
      </c>
      <c r="T34" s="503">
        <v>15.5684</v>
      </c>
      <c r="U34" s="503">
        <v>15.5684</v>
      </c>
      <c r="V34" s="503">
        <v>15.5684</v>
      </c>
      <c r="W34" s="503">
        <v>15.5684</v>
      </c>
      <c r="X34" s="503">
        <v>15.5684</v>
      </c>
      <c r="Y34" s="503">
        <v>15.5684</v>
      </c>
      <c r="Z34" s="503">
        <v>15.5684</v>
      </c>
      <c r="AA34" s="503">
        <v>15.5684</v>
      </c>
      <c r="AB34" s="503">
        <v>15.5684</v>
      </c>
      <c r="AC34" s="503">
        <v>15.5684</v>
      </c>
      <c r="AD34" s="503">
        <v>15.5684</v>
      </c>
      <c r="AE34" s="503">
        <v>15.5684</v>
      </c>
      <c r="AF34" s="503">
        <v>15.5684</v>
      </c>
      <c r="AG34" s="503">
        <v>15.5684</v>
      </c>
      <c r="AH34" s="503">
        <v>15.5684</v>
      </c>
      <c r="AI34" s="503">
        <v>15.5684</v>
      </c>
      <c r="AJ34" s="503">
        <v>15.5684</v>
      </c>
      <c r="AK34" s="503">
        <v>15.5684</v>
      </c>
      <c r="AL34" s="503">
        <v>15.5684</v>
      </c>
      <c r="AM34" s="503">
        <v>15.5684</v>
      </c>
      <c r="AN34" s="503">
        <v>15.5684</v>
      </c>
      <c r="AO34" s="503">
        <v>15.5684</v>
      </c>
      <c r="AP34" s="503">
        <v>15.5684</v>
      </c>
      <c r="AQ34" s="503">
        <v>15.5684</v>
      </c>
      <c r="AR34" s="503">
        <v>15.5684</v>
      </c>
      <c r="AS34" s="503">
        <v>15.5684</v>
      </c>
      <c r="AT34" s="503">
        <v>15.5684</v>
      </c>
      <c r="AU34" s="503">
        <v>15.5684</v>
      </c>
      <c r="AV34" s="503">
        <v>15.5684</v>
      </c>
      <c r="AW34" s="503">
        <v>15.5684</v>
      </c>
      <c r="AX34" s="503">
        <v>15.5684</v>
      </c>
      <c r="AY34" s="503">
        <v>15.5684</v>
      </c>
      <c r="AZ34" s="503">
        <v>15.5684</v>
      </c>
      <c r="BA34" s="503">
        <v>15.5684</v>
      </c>
      <c r="BB34" s="503">
        <v>15.5684</v>
      </c>
      <c r="BC34" s="503">
        <v>15.5684</v>
      </c>
      <c r="BD34" s="503">
        <v>15.5684</v>
      </c>
      <c r="BE34" s="503">
        <v>15.5684</v>
      </c>
      <c r="BF34" s="503">
        <v>15.5684</v>
      </c>
      <c r="BG34" s="495">
        <f>SUM(E34:BF34)</f>
        <v>840.69359999999995</v>
      </c>
      <c r="BH34" s="1056"/>
      <c r="BI34" s="496">
        <f t="shared" si="1"/>
        <v>53.999999999999993</v>
      </c>
      <c r="BJ34" s="488">
        <v>1919.05</v>
      </c>
      <c r="BK34" s="488"/>
      <c r="BL34" s="488"/>
      <c r="BM34" s="488"/>
    </row>
    <row r="35" spans="1:65" ht="185.1" customHeight="1" thickTop="1" thickBot="1" x14ac:dyDescent="1.3">
      <c r="A35" s="1088"/>
      <c r="B35" s="502" t="s">
        <v>145</v>
      </c>
      <c r="C35" s="1052" t="s">
        <v>128</v>
      </c>
      <c r="D35" s="1052"/>
      <c r="E35" s="503">
        <v>15.5684</v>
      </c>
      <c r="F35" s="503">
        <v>15.5684</v>
      </c>
      <c r="G35" s="503">
        <v>15.5684</v>
      </c>
      <c r="H35" s="503">
        <v>15.5684</v>
      </c>
      <c r="I35" s="503">
        <v>15.5684</v>
      </c>
      <c r="J35" s="503">
        <v>15.5684</v>
      </c>
      <c r="K35" s="503">
        <v>15.5684</v>
      </c>
      <c r="L35" s="503">
        <v>15.5684</v>
      </c>
      <c r="M35" s="503">
        <v>15.5684</v>
      </c>
      <c r="N35" s="503">
        <v>15.5684</v>
      </c>
      <c r="O35" s="503">
        <v>15.5684</v>
      </c>
      <c r="P35" s="503">
        <v>15.5684</v>
      </c>
      <c r="Q35" s="503">
        <v>15.5684</v>
      </c>
      <c r="R35" s="503">
        <v>15.5684</v>
      </c>
      <c r="S35" s="503">
        <v>15.5684</v>
      </c>
      <c r="T35" s="503">
        <v>15.5684</v>
      </c>
      <c r="U35" s="503">
        <v>15.5684</v>
      </c>
      <c r="V35" s="503">
        <v>15.5684</v>
      </c>
      <c r="W35" s="503">
        <v>15.5684</v>
      </c>
      <c r="X35" s="503">
        <v>15.5684</v>
      </c>
      <c r="Y35" s="503">
        <v>15.5684</v>
      </c>
      <c r="Z35" s="503">
        <v>15.5684</v>
      </c>
      <c r="AA35" s="503">
        <v>15.5684</v>
      </c>
      <c r="AB35" s="503">
        <v>15.5684</v>
      </c>
      <c r="AC35" s="503">
        <v>15.5684</v>
      </c>
      <c r="AD35" s="503">
        <v>15.5684</v>
      </c>
      <c r="AE35" s="503">
        <v>15.5684</v>
      </c>
      <c r="AF35" s="503">
        <v>15.5684</v>
      </c>
      <c r="AG35" s="503">
        <v>15.5684</v>
      </c>
      <c r="AH35" s="503">
        <v>15.5684</v>
      </c>
      <c r="AI35" s="503">
        <v>15.5684</v>
      </c>
      <c r="AJ35" s="503">
        <v>15.5684</v>
      </c>
      <c r="AK35" s="503">
        <v>15.5684</v>
      </c>
      <c r="AL35" s="503">
        <v>15.5684</v>
      </c>
      <c r="AM35" s="503">
        <v>15.5684</v>
      </c>
      <c r="AN35" s="503">
        <v>15.5684</v>
      </c>
      <c r="AO35" s="503">
        <v>15.5684</v>
      </c>
      <c r="AP35" s="503">
        <v>15.5684</v>
      </c>
      <c r="AQ35" s="503">
        <v>15.5684</v>
      </c>
      <c r="AR35" s="503">
        <v>15.5684</v>
      </c>
      <c r="AS35" s="503">
        <v>15.5684</v>
      </c>
      <c r="AT35" s="503">
        <v>15.5684</v>
      </c>
      <c r="AU35" s="503">
        <v>15.5684</v>
      </c>
      <c r="AV35" s="503">
        <v>15.5684</v>
      </c>
      <c r="AW35" s="503">
        <v>15.5684</v>
      </c>
      <c r="AX35" s="503">
        <v>15.5684</v>
      </c>
      <c r="AY35" s="503">
        <v>15.5684</v>
      </c>
      <c r="AZ35" s="503">
        <v>15.5684</v>
      </c>
      <c r="BA35" s="503">
        <v>15.5684</v>
      </c>
      <c r="BB35" s="503">
        <v>15.5684</v>
      </c>
      <c r="BC35" s="503">
        <v>15.5684</v>
      </c>
      <c r="BD35" s="503">
        <v>15.5684</v>
      </c>
      <c r="BE35" s="503">
        <v>15.5684</v>
      </c>
      <c r="BF35" s="503">
        <v>15.5684</v>
      </c>
      <c r="BG35" s="495">
        <f>SUM(E35:BF35)</f>
        <v>840.69359999999995</v>
      </c>
      <c r="BH35" s="1056"/>
      <c r="BI35" s="496">
        <f t="shared" si="1"/>
        <v>53.999999999999993</v>
      </c>
      <c r="BJ35" s="488">
        <f>BJ34-BJ33</f>
        <v>301.04999999999995</v>
      </c>
      <c r="BK35" s="504">
        <f>BE32+BB35+BA34+AZ32+AW31+AR33+AN31+AC33+AA33+S32+K31+G32+F33+E33</f>
        <v>297.56864000000002</v>
      </c>
      <c r="BL35" s="488"/>
      <c r="BM35" s="488"/>
    </row>
    <row r="36" spans="1:65" ht="185.1" customHeight="1" thickTop="1" thickBot="1" x14ac:dyDescent="1.3">
      <c r="A36" s="1088"/>
      <c r="B36" s="502" t="s">
        <v>146</v>
      </c>
      <c r="C36" s="1052" t="s">
        <v>128</v>
      </c>
      <c r="D36" s="1052"/>
      <c r="E36" s="503">
        <v>13.9862</v>
      </c>
      <c r="F36" s="503">
        <v>13.9862</v>
      </c>
      <c r="G36" s="503">
        <v>13.9862</v>
      </c>
      <c r="H36" s="503">
        <v>13.9862</v>
      </c>
      <c r="I36" s="503">
        <v>13.9862</v>
      </c>
      <c r="J36" s="503">
        <v>13.9862</v>
      </c>
      <c r="K36" s="503">
        <v>13.9862</v>
      </c>
      <c r="L36" s="503">
        <v>13.9862</v>
      </c>
      <c r="M36" s="503">
        <v>13.9862</v>
      </c>
      <c r="N36" s="503">
        <v>13.9862</v>
      </c>
      <c r="O36" s="503">
        <v>13.9862</v>
      </c>
      <c r="P36" s="503">
        <v>13.9862</v>
      </c>
      <c r="Q36" s="503">
        <v>13.9862</v>
      </c>
      <c r="R36" s="503">
        <v>13.9862</v>
      </c>
      <c r="S36" s="503">
        <v>13.9862</v>
      </c>
      <c r="T36" s="503">
        <v>13.9862</v>
      </c>
      <c r="U36" s="503">
        <v>13.9862</v>
      </c>
      <c r="V36" s="503">
        <v>13.9862</v>
      </c>
      <c r="W36" s="503">
        <v>13.9862</v>
      </c>
      <c r="X36" s="503">
        <v>13.9862</v>
      </c>
      <c r="Y36" s="503">
        <v>13.9862</v>
      </c>
      <c r="Z36" s="503">
        <v>13.9862</v>
      </c>
      <c r="AA36" s="503">
        <v>13.9862</v>
      </c>
      <c r="AB36" s="503">
        <v>13.9862</v>
      </c>
      <c r="AC36" s="503">
        <v>13.9862</v>
      </c>
      <c r="AD36" s="503">
        <v>13.9862</v>
      </c>
      <c r="AE36" s="503">
        <v>13.9862</v>
      </c>
      <c r="AF36" s="503">
        <v>13.9862</v>
      </c>
      <c r="AG36" s="503">
        <v>13.9862</v>
      </c>
      <c r="AH36" s="503">
        <v>13.9862</v>
      </c>
      <c r="AI36" s="503">
        <v>13.9862</v>
      </c>
      <c r="AJ36" s="503">
        <v>13.9862</v>
      </c>
      <c r="AK36" s="503">
        <v>13.9862</v>
      </c>
      <c r="AL36" s="503">
        <v>13.9862</v>
      </c>
      <c r="AM36" s="503">
        <v>13.9862</v>
      </c>
      <c r="AN36" s="503">
        <v>13.9862</v>
      </c>
      <c r="AO36" s="503">
        <v>13.9862</v>
      </c>
      <c r="AP36" s="503">
        <v>13.9862</v>
      </c>
      <c r="AQ36" s="503">
        <v>13.9862</v>
      </c>
      <c r="AR36" s="503">
        <v>13.9862</v>
      </c>
      <c r="AS36" s="503">
        <v>13.9862</v>
      </c>
      <c r="AT36" s="503">
        <v>13.9862</v>
      </c>
      <c r="AU36" s="503">
        <v>13.9862</v>
      </c>
      <c r="AV36" s="503">
        <v>13.9862</v>
      </c>
      <c r="AW36" s="503">
        <v>13.9862</v>
      </c>
      <c r="AX36" s="503">
        <v>13.9862</v>
      </c>
      <c r="AY36" s="503">
        <v>13.9862</v>
      </c>
      <c r="AZ36" s="503">
        <v>13.9862</v>
      </c>
      <c r="BA36" s="503">
        <v>13.9862</v>
      </c>
      <c r="BB36" s="503">
        <v>13.9862</v>
      </c>
      <c r="BC36" s="503">
        <v>13.9862</v>
      </c>
      <c r="BD36" s="503">
        <v>13.9862</v>
      </c>
      <c r="BE36" s="503">
        <v>13.9862</v>
      </c>
      <c r="BF36" s="503">
        <v>13.9862</v>
      </c>
      <c r="BG36" s="495">
        <f t="shared" si="6"/>
        <v>755.25480000000084</v>
      </c>
      <c r="BH36" s="1056"/>
      <c r="BI36" s="496">
        <f t="shared" si="1"/>
        <v>54.000000000000057</v>
      </c>
      <c r="BJ36" s="488"/>
      <c r="BK36" s="488"/>
      <c r="BL36" s="488"/>
      <c r="BM36" s="488"/>
    </row>
    <row r="37" spans="1:65" ht="184.9" customHeight="1" thickTop="1" thickBot="1" x14ac:dyDescent="1.3">
      <c r="A37" s="1088"/>
      <c r="B37" s="502" t="s">
        <v>147</v>
      </c>
      <c r="C37" s="1052" t="s">
        <v>128</v>
      </c>
      <c r="D37" s="1052"/>
      <c r="E37" s="503">
        <v>3.5750000000000002</v>
      </c>
      <c r="F37" s="503">
        <v>3.5750000000000002</v>
      </c>
      <c r="G37" s="503">
        <v>3.5750000000000002</v>
      </c>
      <c r="H37" s="503">
        <v>3.5750000000000002</v>
      </c>
      <c r="I37" s="503">
        <v>3.5750000000000002</v>
      </c>
      <c r="J37" s="503">
        <v>3.5750000000000002</v>
      </c>
      <c r="K37" s="503">
        <v>3.5750000000000002</v>
      </c>
      <c r="L37" s="503">
        <v>3.5750000000000002</v>
      </c>
      <c r="M37" s="503">
        <v>3.5750000000000002</v>
      </c>
      <c r="N37" s="503">
        <v>3.5750000000000002</v>
      </c>
      <c r="O37" s="503">
        <v>3.5750000000000002</v>
      </c>
      <c r="P37" s="503">
        <v>3.5750000000000002</v>
      </c>
      <c r="Q37" s="503">
        <v>3.5750000000000002</v>
      </c>
      <c r="R37" s="503">
        <v>3.5750000000000002</v>
      </c>
      <c r="S37" s="503">
        <v>3.5750000000000002</v>
      </c>
      <c r="T37" s="503">
        <v>3.5750000000000002</v>
      </c>
      <c r="U37" s="503">
        <v>3.5750000000000002</v>
      </c>
      <c r="V37" s="503">
        <v>3.5750000000000002</v>
      </c>
      <c r="W37" s="503">
        <v>3.5750000000000002</v>
      </c>
      <c r="X37" s="503">
        <v>3.5750000000000002</v>
      </c>
      <c r="Y37" s="503">
        <v>3.5750000000000002</v>
      </c>
      <c r="Z37" s="503">
        <v>3.5750000000000002</v>
      </c>
      <c r="AA37" s="503">
        <v>3.5750000000000002</v>
      </c>
      <c r="AB37" s="503">
        <v>3.5750000000000002</v>
      </c>
      <c r="AC37" s="503">
        <v>3.5750000000000002</v>
      </c>
      <c r="AD37" s="503">
        <v>3.5750000000000002</v>
      </c>
      <c r="AE37" s="503">
        <v>3.5750000000000002</v>
      </c>
      <c r="AF37" s="503">
        <v>3.5750000000000002</v>
      </c>
      <c r="AG37" s="503">
        <v>3.5750000000000002</v>
      </c>
      <c r="AH37" s="503">
        <v>3.5750000000000002</v>
      </c>
      <c r="AI37" s="503">
        <v>3.5750000000000002</v>
      </c>
      <c r="AJ37" s="503">
        <v>3.5750000000000002</v>
      </c>
      <c r="AK37" s="503">
        <v>3.5750000000000002</v>
      </c>
      <c r="AL37" s="503">
        <v>3.5750000000000002</v>
      </c>
      <c r="AM37" s="503">
        <v>3.5750000000000002</v>
      </c>
      <c r="AN37" s="503">
        <v>3.5750000000000002</v>
      </c>
      <c r="AO37" s="503">
        <v>3.5750000000000002</v>
      </c>
      <c r="AP37" s="503">
        <v>3.5750000000000002</v>
      </c>
      <c r="AQ37" s="503">
        <v>3.5750000000000002</v>
      </c>
      <c r="AR37" s="503">
        <v>3.5750000000000002</v>
      </c>
      <c r="AS37" s="503">
        <v>3.5750000000000002</v>
      </c>
      <c r="AT37" s="503">
        <v>3.5750000000000002</v>
      </c>
      <c r="AU37" s="503">
        <v>3.5750000000000002</v>
      </c>
      <c r="AV37" s="503">
        <v>3.5750000000000002</v>
      </c>
      <c r="AW37" s="503">
        <v>3.5750000000000002</v>
      </c>
      <c r="AX37" s="503">
        <v>3.5750000000000002</v>
      </c>
      <c r="AY37" s="503">
        <v>3.5750000000000002</v>
      </c>
      <c r="AZ37" s="503">
        <v>3.5750000000000002</v>
      </c>
      <c r="BA37" s="503">
        <v>3.5750000000000002</v>
      </c>
      <c r="BB37" s="503">
        <v>3.5750000000000002</v>
      </c>
      <c r="BC37" s="503">
        <v>3.5750000000000002</v>
      </c>
      <c r="BD37" s="503">
        <v>3.5750000000000002</v>
      </c>
      <c r="BE37" s="503">
        <v>3.5750000000000002</v>
      </c>
      <c r="BF37" s="503">
        <v>3.5750000000000002</v>
      </c>
      <c r="BG37" s="495">
        <f t="shared" si="6"/>
        <v>193.04999999999987</v>
      </c>
      <c r="BH37" s="1056"/>
      <c r="BI37" s="496">
        <f t="shared" si="1"/>
        <v>53.999999999999957</v>
      </c>
      <c r="BJ37" s="488"/>
      <c r="BK37" s="488"/>
      <c r="BL37" s="488"/>
      <c r="BM37" s="488"/>
    </row>
    <row r="38" spans="1:65" ht="307.89999999999998" customHeight="1" thickTop="1" thickBot="1" x14ac:dyDescent="1.3">
      <c r="A38" s="1069" t="s">
        <v>802</v>
      </c>
      <c r="B38" s="1070"/>
      <c r="C38" s="1070"/>
      <c r="D38" s="542"/>
      <c r="E38" s="543"/>
      <c r="F38" s="543"/>
      <c r="G38" s="543"/>
      <c r="H38" s="543"/>
      <c r="I38" s="543"/>
      <c r="J38" s="543"/>
      <c r="K38" s="543"/>
      <c r="L38" s="543"/>
      <c r="M38" s="543"/>
      <c r="N38" s="543"/>
      <c r="O38" s="543"/>
      <c r="P38" s="543"/>
      <c r="Q38" s="543"/>
      <c r="R38" s="543"/>
      <c r="S38" s="1059" t="s">
        <v>150</v>
      </c>
      <c r="T38" s="1059"/>
      <c r="U38" s="543"/>
      <c r="V38" s="543"/>
      <c r="W38" s="543"/>
      <c r="X38" s="543"/>
      <c r="Y38" s="543"/>
      <c r="Z38" s="1071"/>
      <c r="AA38" s="1071"/>
      <c r="AB38" s="1071"/>
      <c r="AC38" s="1071"/>
      <c r="AD38" s="1071"/>
      <c r="AE38" s="543"/>
      <c r="AF38" s="543"/>
      <c r="AG38" s="543"/>
      <c r="AH38" s="543"/>
      <c r="AI38" s="543"/>
      <c r="AJ38" s="543"/>
      <c r="AK38" s="1071" t="s">
        <v>162</v>
      </c>
      <c r="AL38" s="1071"/>
      <c r="AM38" s="543"/>
      <c r="AN38" s="543"/>
      <c r="AO38" s="543"/>
      <c r="AP38" s="543"/>
      <c r="AQ38" s="543"/>
      <c r="AR38" s="543"/>
      <c r="AS38" s="543"/>
      <c r="AT38" s="543"/>
      <c r="AU38" s="543"/>
      <c r="AV38" s="543"/>
      <c r="AW38" s="543"/>
      <c r="AX38" s="543"/>
      <c r="AY38" s="543"/>
      <c r="AZ38" s="543"/>
      <c r="BA38" s="543"/>
      <c r="BB38" s="543"/>
      <c r="BC38" s="543"/>
      <c r="BD38" s="543"/>
      <c r="BE38" s="543"/>
      <c r="BF38" s="1071" t="s">
        <v>150</v>
      </c>
      <c r="BG38" s="1071"/>
      <c r="BH38" s="544"/>
      <c r="BI38" s="530"/>
    </row>
    <row r="39" spans="1:65" ht="165" thickTop="1" thickBot="1" x14ac:dyDescent="1.3">
      <c r="A39" s="1078" t="s">
        <v>125</v>
      </c>
      <c r="B39" s="1079"/>
      <c r="C39" s="1079"/>
      <c r="D39" s="1079"/>
      <c r="E39" s="484">
        <v>300</v>
      </c>
      <c r="F39" s="484">
        <v>301</v>
      </c>
      <c r="G39" s="484">
        <v>302</v>
      </c>
      <c r="H39" s="484">
        <v>303</v>
      </c>
      <c r="I39" s="484">
        <v>304</v>
      </c>
      <c r="J39" s="484">
        <v>305</v>
      </c>
      <c r="K39" s="484">
        <v>306</v>
      </c>
      <c r="L39" s="484">
        <v>307</v>
      </c>
      <c r="M39" s="484">
        <v>308</v>
      </c>
      <c r="N39" s="484">
        <v>309</v>
      </c>
      <c r="O39" s="484">
        <v>310</v>
      </c>
      <c r="P39" s="484">
        <v>311</v>
      </c>
      <c r="Q39" s="484">
        <v>312</v>
      </c>
      <c r="R39" s="484">
        <v>313</v>
      </c>
      <c r="S39" s="484">
        <v>314</v>
      </c>
      <c r="T39" s="484">
        <v>315</v>
      </c>
      <c r="U39" s="484">
        <v>316</v>
      </c>
      <c r="V39" s="484">
        <v>317</v>
      </c>
      <c r="W39" s="484">
        <v>318</v>
      </c>
      <c r="X39" s="484">
        <v>319</v>
      </c>
      <c r="Y39" s="484">
        <v>320</v>
      </c>
      <c r="Z39" s="484">
        <v>321</v>
      </c>
      <c r="AA39" s="484">
        <v>322</v>
      </c>
      <c r="AB39" s="484">
        <v>323</v>
      </c>
      <c r="AC39" s="484">
        <v>324</v>
      </c>
      <c r="AD39" s="484">
        <v>325</v>
      </c>
      <c r="AE39" s="484">
        <v>326</v>
      </c>
      <c r="AF39" s="484">
        <v>327</v>
      </c>
      <c r="AG39" s="484">
        <v>328</v>
      </c>
      <c r="AH39" s="484">
        <v>329</v>
      </c>
      <c r="AI39" s="484">
        <v>330</v>
      </c>
      <c r="AJ39" s="484">
        <v>331</v>
      </c>
      <c r="AK39" s="484">
        <v>332</v>
      </c>
      <c r="AL39" s="484">
        <v>333</v>
      </c>
      <c r="AM39" s="484">
        <v>334</v>
      </c>
      <c r="AN39" s="484">
        <v>335</v>
      </c>
      <c r="AO39" s="484">
        <v>336</v>
      </c>
      <c r="AP39" s="484">
        <v>337</v>
      </c>
      <c r="AQ39" s="484">
        <v>338</v>
      </c>
      <c r="AR39" s="484">
        <v>339</v>
      </c>
      <c r="AS39" s="484">
        <v>340</v>
      </c>
      <c r="AT39" s="484">
        <v>341</v>
      </c>
      <c r="AU39" s="484">
        <v>342</v>
      </c>
      <c r="AV39" s="484">
        <v>343</v>
      </c>
      <c r="AW39" s="484">
        <v>344</v>
      </c>
      <c r="AX39" s="484">
        <v>345</v>
      </c>
      <c r="AY39" s="484">
        <v>346</v>
      </c>
      <c r="AZ39" s="484">
        <v>347</v>
      </c>
      <c r="BA39" s="484">
        <v>348</v>
      </c>
      <c r="BB39" s="484">
        <v>349</v>
      </c>
      <c r="BC39" s="484">
        <v>350</v>
      </c>
      <c r="BD39" s="484">
        <v>351</v>
      </c>
      <c r="BE39" s="484">
        <v>352</v>
      </c>
      <c r="BF39" s="484">
        <v>353</v>
      </c>
      <c r="BG39" s="485" t="s">
        <v>160</v>
      </c>
      <c r="BH39" s="486" t="s">
        <v>161</v>
      </c>
      <c r="BI39" s="496"/>
      <c r="BJ39" s="488"/>
      <c r="BK39" s="488"/>
      <c r="BL39" s="488"/>
      <c r="BM39" s="488"/>
    </row>
    <row r="40" spans="1:65" s="511" customFormat="1" ht="207.6" customHeight="1" thickTop="1" thickBot="1" x14ac:dyDescent="1.3">
      <c r="A40" s="1063" t="s">
        <v>504</v>
      </c>
      <c r="B40" s="1054" t="s">
        <v>505</v>
      </c>
      <c r="C40" s="1053" t="s">
        <v>127</v>
      </c>
      <c r="D40" s="1053"/>
      <c r="E40" s="505">
        <v>330</v>
      </c>
      <c r="F40" s="505">
        <v>330</v>
      </c>
      <c r="G40" s="505">
        <v>330</v>
      </c>
      <c r="H40" s="505">
        <v>330</v>
      </c>
      <c r="I40" s="505">
        <v>330</v>
      </c>
      <c r="J40" s="505">
        <v>330</v>
      </c>
      <c r="K40" s="505">
        <v>330</v>
      </c>
      <c r="L40" s="505">
        <v>330</v>
      </c>
      <c r="M40" s="505">
        <v>330</v>
      </c>
      <c r="N40" s="505">
        <v>330</v>
      </c>
      <c r="O40" s="505">
        <v>330</v>
      </c>
      <c r="P40" s="505">
        <v>330</v>
      </c>
      <c r="Q40" s="505">
        <v>330</v>
      </c>
      <c r="R40" s="505">
        <v>330</v>
      </c>
      <c r="S40" s="505">
        <v>330</v>
      </c>
      <c r="T40" s="505">
        <v>330</v>
      </c>
      <c r="U40" s="505">
        <v>330</v>
      </c>
      <c r="V40" s="505">
        <v>330</v>
      </c>
      <c r="W40" s="505">
        <v>330</v>
      </c>
      <c r="X40" s="505">
        <v>330</v>
      </c>
      <c r="Y40" s="505">
        <v>330</v>
      </c>
      <c r="Z40" s="505">
        <v>330</v>
      </c>
      <c r="AA40" s="505">
        <v>330</v>
      </c>
      <c r="AB40" s="505">
        <v>330</v>
      </c>
      <c r="AC40" s="505">
        <v>330</v>
      </c>
      <c r="AD40" s="505">
        <v>330</v>
      </c>
      <c r="AE40" s="505">
        <v>330</v>
      </c>
      <c r="AF40" s="505">
        <v>330</v>
      </c>
      <c r="AG40" s="505">
        <v>330</v>
      </c>
      <c r="AH40" s="505">
        <v>330</v>
      </c>
      <c r="AI40" s="505">
        <v>330</v>
      </c>
      <c r="AJ40" s="505">
        <v>330</v>
      </c>
      <c r="AK40" s="505">
        <v>330</v>
      </c>
      <c r="AL40" s="505">
        <v>330</v>
      </c>
      <c r="AM40" s="505">
        <v>330</v>
      </c>
      <c r="AN40" s="505">
        <v>330</v>
      </c>
      <c r="AO40" s="505">
        <v>330</v>
      </c>
      <c r="AP40" s="505">
        <v>330</v>
      </c>
      <c r="AQ40" s="505">
        <v>330</v>
      </c>
      <c r="AR40" s="505">
        <v>330</v>
      </c>
      <c r="AS40" s="505">
        <v>330</v>
      </c>
      <c r="AT40" s="505">
        <v>330</v>
      </c>
      <c r="AU40" s="505">
        <v>330</v>
      </c>
      <c r="AV40" s="505">
        <v>330</v>
      </c>
      <c r="AW40" s="505">
        <v>330</v>
      </c>
      <c r="AX40" s="505">
        <v>330</v>
      </c>
      <c r="AY40" s="505">
        <v>330</v>
      </c>
      <c r="AZ40" s="505">
        <v>330</v>
      </c>
      <c r="BA40" s="505">
        <v>330</v>
      </c>
      <c r="BB40" s="505">
        <v>330</v>
      </c>
      <c r="BC40" s="505">
        <v>330</v>
      </c>
      <c r="BD40" s="505">
        <v>330</v>
      </c>
      <c r="BE40" s="505">
        <v>330</v>
      </c>
      <c r="BF40" s="505">
        <v>330</v>
      </c>
      <c r="BG40" s="490">
        <f t="shared" ref="BG40:BG43" si="7">SUM(E40:BF40)</f>
        <v>17820</v>
      </c>
      <c r="BH40" s="1077">
        <f>BG41</f>
        <v>18145.080000000016</v>
      </c>
      <c r="BI40" s="491">
        <f t="shared" si="1"/>
        <v>54</v>
      </c>
      <c r="BJ40" s="492"/>
      <c r="BK40" s="492"/>
      <c r="BL40" s="492"/>
      <c r="BM40" s="492"/>
    </row>
    <row r="41" spans="1:65" ht="207.6" customHeight="1" thickTop="1" thickBot="1" x14ac:dyDescent="1.3">
      <c r="A41" s="1063"/>
      <c r="B41" s="1054"/>
      <c r="C41" s="1052" t="s">
        <v>128</v>
      </c>
      <c r="D41" s="1052"/>
      <c r="E41" s="498">
        <v>336.02</v>
      </c>
      <c r="F41" s="498">
        <v>336.02</v>
      </c>
      <c r="G41" s="498">
        <v>336.02</v>
      </c>
      <c r="H41" s="498">
        <v>336.02</v>
      </c>
      <c r="I41" s="498">
        <v>336.02</v>
      </c>
      <c r="J41" s="498">
        <v>336.02</v>
      </c>
      <c r="K41" s="498">
        <v>336.02</v>
      </c>
      <c r="L41" s="498">
        <v>336.02</v>
      </c>
      <c r="M41" s="498">
        <v>336.02</v>
      </c>
      <c r="N41" s="498">
        <v>336.02</v>
      </c>
      <c r="O41" s="498">
        <v>336.02</v>
      </c>
      <c r="P41" s="498">
        <v>336.02</v>
      </c>
      <c r="Q41" s="498">
        <v>336.02</v>
      </c>
      <c r="R41" s="498">
        <v>336.02</v>
      </c>
      <c r="S41" s="498">
        <v>336.02</v>
      </c>
      <c r="T41" s="498">
        <v>336.02</v>
      </c>
      <c r="U41" s="498">
        <v>336.02</v>
      </c>
      <c r="V41" s="498">
        <v>336.02</v>
      </c>
      <c r="W41" s="498">
        <v>336.02</v>
      </c>
      <c r="X41" s="498">
        <v>336.02</v>
      </c>
      <c r="Y41" s="498">
        <v>336.02</v>
      </c>
      <c r="Z41" s="498">
        <v>336.02</v>
      </c>
      <c r="AA41" s="498">
        <v>336.02</v>
      </c>
      <c r="AB41" s="498">
        <v>336.02</v>
      </c>
      <c r="AC41" s="498">
        <v>336.02</v>
      </c>
      <c r="AD41" s="498">
        <v>336.02</v>
      </c>
      <c r="AE41" s="498">
        <v>336.02</v>
      </c>
      <c r="AF41" s="498">
        <v>336.02</v>
      </c>
      <c r="AG41" s="498">
        <v>336.02</v>
      </c>
      <c r="AH41" s="498">
        <v>336.02</v>
      </c>
      <c r="AI41" s="498">
        <v>336.02</v>
      </c>
      <c r="AJ41" s="498">
        <v>336.02</v>
      </c>
      <c r="AK41" s="498">
        <v>336.02</v>
      </c>
      <c r="AL41" s="498">
        <v>336.02</v>
      </c>
      <c r="AM41" s="498">
        <v>336.02</v>
      </c>
      <c r="AN41" s="498">
        <v>336.02</v>
      </c>
      <c r="AO41" s="498">
        <v>336.02</v>
      </c>
      <c r="AP41" s="498">
        <v>336.02</v>
      </c>
      <c r="AQ41" s="498">
        <v>336.02</v>
      </c>
      <c r="AR41" s="498">
        <v>336.02</v>
      </c>
      <c r="AS41" s="498">
        <v>336.02</v>
      </c>
      <c r="AT41" s="498">
        <v>336.02</v>
      </c>
      <c r="AU41" s="498">
        <v>336.02</v>
      </c>
      <c r="AV41" s="498">
        <v>336.02</v>
      </c>
      <c r="AW41" s="498">
        <v>336.02</v>
      </c>
      <c r="AX41" s="498">
        <v>336.02</v>
      </c>
      <c r="AY41" s="498">
        <v>336.02</v>
      </c>
      <c r="AZ41" s="498">
        <v>336.02</v>
      </c>
      <c r="BA41" s="498">
        <v>336.02</v>
      </c>
      <c r="BB41" s="498">
        <v>336.02</v>
      </c>
      <c r="BC41" s="498">
        <v>336.02</v>
      </c>
      <c r="BD41" s="498">
        <v>336.02</v>
      </c>
      <c r="BE41" s="498">
        <v>336.02</v>
      </c>
      <c r="BF41" s="498">
        <v>336.02</v>
      </c>
      <c r="BG41" s="495">
        <f t="shared" si="7"/>
        <v>18145.080000000016</v>
      </c>
      <c r="BH41" s="1077"/>
      <c r="BI41" s="496">
        <f t="shared" si="1"/>
        <v>54.00000000000005</v>
      </c>
      <c r="BJ41" s="488"/>
      <c r="BK41" s="488"/>
      <c r="BL41" s="488"/>
      <c r="BM41" s="488"/>
    </row>
    <row r="42" spans="1:65" s="511" customFormat="1" ht="207.6" customHeight="1" thickTop="1" thickBot="1" x14ac:dyDescent="1.3">
      <c r="A42" s="1063" t="s">
        <v>504</v>
      </c>
      <c r="B42" s="1054" t="s">
        <v>506</v>
      </c>
      <c r="C42" s="1053" t="s">
        <v>127</v>
      </c>
      <c r="D42" s="1053"/>
      <c r="E42" s="505">
        <v>330</v>
      </c>
      <c r="F42" s="505">
        <v>330</v>
      </c>
      <c r="G42" s="505">
        <v>330</v>
      </c>
      <c r="H42" s="505">
        <v>330</v>
      </c>
      <c r="I42" s="505">
        <v>330</v>
      </c>
      <c r="J42" s="505">
        <v>330</v>
      </c>
      <c r="K42" s="505">
        <v>330</v>
      </c>
      <c r="L42" s="505">
        <v>330</v>
      </c>
      <c r="M42" s="505">
        <v>330</v>
      </c>
      <c r="N42" s="505">
        <v>330</v>
      </c>
      <c r="O42" s="505">
        <v>330</v>
      </c>
      <c r="P42" s="505">
        <v>330</v>
      </c>
      <c r="Q42" s="505">
        <v>330</v>
      </c>
      <c r="R42" s="505">
        <v>330</v>
      </c>
      <c r="S42" s="505">
        <v>330</v>
      </c>
      <c r="T42" s="505">
        <v>330</v>
      </c>
      <c r="U42" s="505">
        <v>330</v>
      </c>
      <c r="V42" s="505">
        <v>330</v>
      </c>
      <c r="W42" s="505">
        <v>330</v>
      </c>
      <c r="X42" s="505">
        <v>330</v>
      </c>
      <c r="Y42" s="505">
        <v>330</v>
      </c>
      <c r="Z42" s="505">
        <v>330</v>
      </c>
      <c r="AA42" s="505">
        <v>330</v>
      </c>
      <c r="AB42" s="505">
        <v>330</v>
      </c>
      <c r="AC42" s="505">
        <v>330</v>
      </c>
      <c r="AD42" s="505">
        <v>330</v>
      </c>
      <c r="AE42" s="505">
        <v>330</v>
      </c>
      <c r="AF42" s="505">
        <v>330</v>
      </c>
      <c r="AG42" s="505">
        <v>330</v>
      </c>
      <c r="AH42" s="505">
        <v>330</v>
      </c>
      <c r="AI42" s="505">
        <v>330</v>
      </c>
      <c r="AJ42" s="505">
        <v>330</v>
      </c>
      <c r="AK42" s="505">
        <v>330</v>
      </c>
      <c r="AL42" s="505">
        <v>330</v>
      </c>
      <c r="AM42" s="505">
        <v>330</v>
      </c>
      <c r="AN42" s="505">
        <v>330</v>
      </c>
      <c r="AO42" s="505">
        <v>330</v>
      </c>
      <c r="AP42" s="505">
        <v>330</v>
      </c>
      <c r="AQ42" s="505">
        <v>330</v>
      </c>
      <c r="AR42" s="505">
        <v>330</v>
      </c>
      <c r="AS42" s="505">
        <v>330</v>
      </c>
      <c r="AT42" s="505">
        <v>330</v>
      </c>
      <c r="AU42" s="505">
        <v>330</v>
      </c>
      <c r="AV42" s="505">
        <v>330</v>
      </c>
      <c r="AW42" s="505">
        <v>330</v>
      </c>
      <c r="AX42" s="505">
        <v>330</v>
      </c>
      <c r="AY42" s="505">
        <v>330</v>
      </c>
      <c r="AZ42" s="505">
        <v>330</v>
      </c>
      <c r="BA42" s="505">
        <v>330</v>
      </c>
      <c r="BB42" s="505">
        <v>330</v>
      </c>
      <c r="BC42" s="505">
        <v>330</v>
      </c>
      <c r="BD42" s="505">
        <v>330</v>
      </c>
      <c r="BE42" s="505">
        <v>330</v>
      </c>
      <c r="BF42" s="505">
        <v>330</v>
      </c>
      <c r="BG42" s="490">
        <f t="shared" si="7"/>
        <v>17820</v>
      </c>
      <c r="BH42" s="1077">
        <f>BG43</f>
        <v>18145.080000000016</v>
      </c>
      <c r="BI42" s="491">
        <f t="shared" si="1"/>
        <v>54</v>
      </c>
      <c r="BJ42" s="492"/>
      <c r="BK42" s="492"/>
      <c r="BL42" s="492"/>
      <c r="BM42" s="492"/>
    </row>
    <row r="43" spans="1:65" ht="207.6" customHeight="1" thickTop="1" thickBot="1" x14ac:dyDescent="1.3">
      <c r="A43" s="1063"/>
      <c r="B43" s="1054"/>
      <c r="C43" s="1052" t="s">
        <v>128</v>
      </c>
      <c r="D43" s="1052"/>
      <c r="E43" s="498">
        <v>336.02</v>
      </c>
      <c r="F43" s="498">
        <v>336.02</v>
      </c>
      <c r="G43" s="498">
        <v>336.02</v>
      </c>
      <c r="H43" s="498">
        <v>336.02</v>
      </c>
      <c r="I43" s="498">
        <v>336.02</v>
      </c>
      <c r="J43" s="498">
        <v>336.02</v>
      </c>
      <c r="K43" s="498">
        <v>336.02</v>
      </c>
      <c r="L43" s="498">
        <v>336.02</v>
      </c>
      <c r="M43" s="498">
        <v>336.02</v>
      </c>
      <c r="N43" s="498">
        <v>336.02</v>
      </c>
      <c r="O43" s="498">
        <v>336.02</v>
      </c>
      <c r="P43" s="498">
        <v>336.02</v>
      </c>
      <c r="Q43" s="498">
        <v>336.02</v>
      </c>
      <c r="R43" s="498">
        <v>336.02</v>
      </c>
      <c r="S43" s="498">
        <v>336.02</v>
      </c>
      <c r="T43" s="498">
        <v>336.02</v>
      </c>
      <c r="U43" s="498">
        <v>336.02</v>
      </c>
      <c r="V43" s="498">
        <v>336.02</v>
      </c>
      <c r="W43" s="498">
        <v>336.02</v>
      </c>
      <c r="X43" s="498">
        <v>336.02</v>
      </c>
      <c r="Y43" s="498">
        <v>336.02</v>
      </c>
      <c r="Z43" s="498">
        <v>336.02</v>
      </c>
      <c r="AA43" s="498">
        <v>336.02</v>
      </c>
      <c r="AB43" s="498">
        <v>336.02</v>
      </c>
      <c r="AC43" s="498">
        <v>336.02</v>
      </c>
      <c r="AD43" s="498">
        <v>336.02</v>
      </c>
      <c r="AE43" s="498">
        <v>336.02</v>
      </c>
      <c r="AF43" s="498">
        <v>336.02</v>
      </c>
      <c r="AG43" s="498">
        <v>336.02</v>
      </c>
      <c r="AH43" s="498">
        <v>336.02</v>
      </c>
      <c r="AI43" s="498">
        <v>336.02</v>
      </c>
      <c r="AJ43" s="498">
        <v>336.02</v>
      </c>
      <c r="AK43" s="498">
        <v>336.02</v>
      </c>
      <c r="AL43" s="498">
        <v>336.02</v>
      </c>
      <c r="AM43" s="498">
        <v>336.02</v>
      </c>
      <c r="AN43" s="498">
        <v>336.02</v>
      </c>
      <c r="AO43" s="498">
        <v>336.02</v>
      </c>
      <c r="AP43" s="498">
        <v>336.02</v>
      </c>
      <c r="AQ43" s="498">
        <v>336.02</v>
      </c>
      <c r="AR43" s="498">
        <v>336.02</v>
      </c>
      <c r="AS43" s="498">
        <v>336.02</v>
      </c>
      <c r="AT43" s="498">
        <v>336.02</v>
      </c>
      <c r="AU43" s="498">
        <v>336.02</v>
      </c>
      <c r="AV43" s="498">
        <v>336.02</v>
      </c>
      <c r="AW43" s="498">
        <v>336.02</v>
      </c>
      <c r="AX43" s="498">
        <v>336.02</v>
      </c>
      <c r="AY43" s="498">
        <v>336.02</v>
      </c>
      <c r="AZ43" s="498">
        <v>336.02</v>
      </c>
      <c r="BA43" s="498">
        <v>336.02</v>
      </c>
      <c r="BB43" s="498">
        <v>336.02</v>
      </c>
      <c r="BC43" s="498">
        <v>336.02</v>
      </c>
      <c r="BD43" s="498">
        <v>336.02</v>
      </c>
      <c r="BE43" s="498">
        <v>336.02</v>
      </c>
      <c r="BF43" s="498">
        <v>336.02</v>
      </c>
      <c r="BG43" s="495">
        <f t="shared" si="7"/>
        <v>18145.080000000016</v>
      </c>
      <c r="BH43" s="1077"/>
      <c r="BI43" s="496">
        <f t="shared" si="1"/>
        <v>54.00000000000005</v>
      </c>
      <c r="BJ43" s="488"/>
      <c r="BK43" s="488"/>
      <c r="BL43" s="488"/>
      <c r="BM43" s="488"/>
    </row>
    <row r="44" spans="1:65" s="511" customFormat="1" ht="185.1" customHeight="1" thickTop="1" thickBot="1" x14ac:dyDescent="1.3">
      <c r="A44" s="1063" t="s">
        <v>456</v>
      </c>
      <c r="B44" s="1054" t="s">
        <v>457</v>
      </c>
      <c r="C44" s="1053" t="s">
        <v>127</v>
      </c>
      <c r="D44" s="1053"/>
      <c r="E44" s="500">
        <v>106</v>
      </c>
      <c r="F44" s="500">
        <v>106</v>
      </c>
      <c r="G44" s="500">
        <v>106</v>
      </c>
      <c r="H44" s="500">
        <v>106</v>
      </c>
      <c r="I44" s="500">
        <v>106</v>
      </c>
      <c r="J44" s="500">
        <v>106</v>
      </c>
      <c r="K44" s="500">
        <v>106</v>
      </c>
      <c r="L44" s="500">
        <v>106</v>
      </c>
      <c r="M44" s="500">
        <v>106</v>
      </c>
      <c r="N44" s="500">
        <v>106</v>
      </c>
      <c r="O44" s="500">
        <v>106</v>
      </c>
      <c r="P44" s="500">
        <v>106</v>
      </c>
      <c r="Q44" s="500">
        <v>106</v>
      </c>
      <c r="R44" s="500">
        <v>106</v>
      </c>
      <c r="S44" s="500">
        <v>106</v>
      </c>
      <c r="T44" s="500">
        <v>106</v>
      </c>
      <c r="U44" s="500">
        <v>106</v>
      </c>
      <c r="V44" s="500">
        <v>106</v>
      </c>
      <c r="W44" s="500">
        <v>106</v>
      </c>
      <c r="X44" s="500">
        <v>106</v>
      </c>
      <c r="Y44" s="500">
        <v>106</v>
      </c>
      <c r="Z44" s="500">
        <v>106</v>
      </c>
      <c r="AA44" s="500">
        <v>106</v>
      </c>
      <c r="AB44" s="500">
        <v>106</v>
      </c>
      <c r="AC44" s="500">
        <v>106</v>
      </c>
      <c r="AD44" s="500">
        <v>106</v>
      </c>
      <c r="AE44" s="500">
        <v>106</v>
      </c>
      <c r="AF44" s="500">
        <v>106</v>
      </c>
      <c r="AG44" s="500">
        <v>106</v>
      </c>
      <c r="AH44" s="500">
        <v>106</v>
      </c>
      <c r="AI44" s="500">
        <v>106</v>
      </c>
      <c r="AJ44" s="500">
        <v>106</v>
      </c>
      <c r="AK44" s="500">
        <v>106</v>
      </c>
      <c r="AL44" s="500">
        <v>106</v>
      </c>
      <c r="AM44" s="500">
        <v>106</v>
      </c>
      <c r="AN44" s="500">
        <v>106</v>
      </c>
      <c r="AO44" s="500">
        <v>106</v>
      </c>
      <c r="AP44" s="500">
        <v>106</v>
      </c>
      <c r="AQ44" s="500">
        <v>106</v>
      </c>
      <c r="AR44" s="500">
        <v>106</v>
      </c>
      <c r="AS44" s="500">
        <v>106</v>
      </c>
      <c r="AT44" s="500">
        <v>106</v>
      </c>
      <c r="AU44" s="500">
        <v>106</v>
      </c>
      <c r="AV44" s="500">
        <v>106</v>
      </c>
      <c r="AW44" s="500">
        <v>106</v>
      </c>
      <c r="AX44" s="500">
        <v>106</v>
      </c>
      <c r="AY44" s="500">
        <v>106</v>
      </c>
      <c r="AZ44" s="500">
        <v>106</v>
      </c>
      <c r="BA44" s="500">
        <v>106</v>
      </c>
      <c r="BB44" s="500">
        <v>106</v>
      </c>
      <c r="BC44" s="500">
        <v>106</v>
      </c>
      <c r="BD44" s="500">
        <v>106</v>
      </c>
      <c r="BE44" s="500">
        <v>106</v>
      </c>
      <c r="BF44" s="500">
        <v>106</v>
      </c>
      <c r="BG44" s="490">
        <f>SUM(E44:BF44)</f>
        <v>5724</v>
      </c>
      <c r="BH44" s="1077">
        <f>BG45</f>
        <v>5724</v>
      </c>
      <c r="BI44" s="491">
        <f t="shared" si="1"/>
        <v>54</v>
      </c>
      <c r="BJ44" s="492"/>
      <c r="BK44" s="492"/>
      <c r="BL44" s="492"/>
      <c r="BM44" s="492"/>
    </row>
    <row r="45" spans="1:65" ht="185.1" customHeight="1" thickTop="1" thickBot="1" x14ac:dyDescent="1.3">
      <c r="A45" s="1063"/>
      <c r="B45" s="1054"/>
      <c r="C45" s="1052" t="s">
        <v>128</v>
      </c>
      <c r="D45" s="1052"/>
      <c r="E45" s="503">
        <v>106</v>
      </c>
      <c r="F45" s="503">
        <v>106</v>
      </c>
      <c r="G45" s="503">
        <v>106</v>
      </c>
      <c r="H45" s="503">
        <v>106</v>
      </c>
      <c r="I45" s="503">
        <v>106</v>
      </c>
      <c r="J45" s="503">
        <v>106</v>
      </c>
      <c r="K45" s="503">
        <v>106</v>
      </c>
      <c r="L45" s="503">
        <v>106</v>
      </c>
      <c r="M45" s="503">
        <v>106</v>
      </c>
      <c r="N45" s="503">
        <v>106</v>
      </c>
      <c r="O45" s="503">
        <v>106</v>
      </c>
      <c r="P45" s="503">
        <v>106</v>
      </c>
      <c r="Q45" s="503">
        <v>106</v>
      </c>
      <c r="R45" s="503">
        <v>106</v>
      </c>
      <c r="S45" s="503">
        <v>106</v>
      </c>
      <c r="T45" s="503">
        <v>106</v>
      </c>
      <c r="U45" s="503">
        <v>106</v>
      </c>
      <c r="V45" s="503">
        <v>106</v>
      </c>
      <c r="W45" s="503">
        <v>106</v>
      </c>
      <c r="X45" s="503">
        <v>106</v>
      </c>
      <c r="Y45" s="503">
        <v>106</v>
      </c>
      <c r="Z45" s="503">
        <v>106</v>
      </c>
      <c r="AA45" s="503">
        <v>106</v>
      </c>
      <c r="AB45" s="503">
        <v>106</v>
      </c>
      <c r="AC45" s="503">
        <v>106</v>
      </c>
      <c r="AD45" s="503">
        <v>106</v>
      </c>
      <c r="AE45" s="503">
        <v>106</v>
      </c>
      <c r="AF45" s="503">
        <v>106</v>
      </c>
      <c r="AG45" s="503">
        <v>106</v>
      </c>
      <c r="AH45" s="503">
        <v>106</v>
      </c>
      <c r="AI45" s="503">
        <v>106</v>
      </c>
      <c r="AJ45" s="503">
        <v>106</v>
      </c>
      <c r="AK45" s="503">
        <v>106</v>
      </c>
      <c r="AL45" s="503">
        <v>106</v>
      </c>
      <c r="AM45" s="503">
        <v>106</v>
      </c>
      <c r="AN45" s="503">
        <v>106</v>
      </c>
      <c r="AO45" s="503">
        <v>106</v>
      </c>
      <c r="AP45" s="503">
        <v>106</v>
      </c>
      <c r="AQ45" s="503">
        <v>106</v>
      </c>
      <c r="AR45" s="503">
        <v>106</v>
      </c>
      <c r="AS45" s="503">
        <v>106</v>
      </c>
      <c r="AT45" s="503">
        <v>106</v>
      </c>
      <c r="AU45" s="503">
        <v>106</v>
      </c>
      <c r="AV45" s="503">
        <v>106</v>
      </c>
      <c r="AW45" s="503">
        <v>106</v>
      </c>
      <c r="AX45" s="503">
        <v>106</v>
      </c>
      <c r="AY45" s="503">
        <v>106</v>
      </c>
      <c r="AZ45" s="503">
        <v>106</v>
      </c>
      <c r="BA45" s="503">
        <v>106</v>
      </c>
      <c r="BB45" s="503">
        <v>106</v>
      </c>
      <c r="BC45" s="503">
        <v>106</v>
      </c>
      <c r="BD45" s="503">
        <v>106</v>
      </c>
      <c r="BE45" s="503">
        <v>106</v>
      </c>
      <c r="BF45" s="503">
        <v>106</v>
      </c>
      <c r="BG45" s="495">
        <f>SUM(E45:BF45)</f>
        <v>5724</v>
      </c>
      <c r="BH45" s="1077"/>
      <c r="BI45" s="496">
        <f t="shared" si="1"/>
        <v>54</v>
      </c>
      <c r="BJ45" s="488"/>
      <c r="BK45" s="488"/>
      <c r="BL45" s="488"/>
      <c r="BM45" s="488"/>
    </row>
    <row r="46" spans="1:65" s="511" customFormat="1" ht="185.1" customHeight="1" thickTop="1" thickBot="1" x14ac:dyDescent="1.3">
      <c r="A46" s="1063" t="s">
        <v>148</v>
      </c>
      <c r="B46" s="1054" t="s">
        <v>149</v>
      </c>
      <c r="C46" s="1053" t="s">
        <v>127</v>
      </c>
      <c r="D46" s="1053"/>
      <c r="E46" s="489">
        <v>795</v>
      </c>
      <c r="F46" s="489">
        <v>795</v>
      </c>
      <c r="G46" s="489">
        <v>795</v>
      </c>
      <c r="H46" s="489">
        <v>795</v>
      </c>
      <c r="I46" s="489">
        <v>795</v>
      </c>
      <c r="J46" s="489">
        <v>795</v>
      </c>
      <c r="K46" s="489">
        <v>795</v>
      </c>
      <c r="L46" s="489">
        <v>795</v>
      </c>
      <c r="M46" s="489">
        <v>795</v>
      </c>
      <c r="N46" s="489">
        <v>795</v>
      </c>
      <c r="O46" s="489">
        <v>795</v>
      </c>
      <c r="P46" s="489">
        <v>795</v>
      </c>
      <c r="Q46" s="489">
        <v>795</v>
      </c>
      <c r="R46" s="489">
        <v>795</v>
      </c>
      <c r="S46" s="489">
        <v>795</v>
      </c>
      <c r="T46" s="489">
        <v>795</v>
      </c>
      <c r="U46" s="489">
        <v>795</v>
      </c>
      <c r="V46" s="489">
        <v>795</v>
      </c>
      <c r="W46" s="489">
        <v>795</v>
      </c>
      <c r="X46" s="489">
        <v>795</v>
      </c>
      <c r="Y46" s="489">
        <v>795</v>
      </c>
      <c r="Z46" s="489">
        <v>795</v>
      </c>
      <c r="AA46" s="489">
        <v>795</v>
      </c>
      <c r="AB46" s="489">
        <v>795</v>
      </c>
      <c r="AC46" s="489">
        <v>795</v>
      </c>
      <c r="AD46" s="489">
        <v>795</v>
      </c>
      <c r="AE46" s="489">
        <v>795</v>
      </c>
      <c r="AF46" s="489">
        <v>795</v>
      </c>
      <c r="AG46" s="489">
        <v>795</v>
      </c>
      <c r="AH46" s="489">
        <v>795</v>
      </c>
      <c r="AI46" s="489">
        <v>795</v>
      </c>
      <c r="AJ46" s="489">
        <v>795</v>
      </c>
      <c r="AK46" s="489">
        <v>795</v>
      </c>
      <c r="AL46" s="489">
        <v>795</v>
      </c>
      <c r="AM46" s="489">
        <v>795</v>
      </c>
      <c r="AN46" s="489">
        <v>795</v>
      </c>
      <c r="AO46" s="489">
        <v>795</v>
      </c>
      <c r="AP46" s="489">
        <v>795</v>
      </c>
      <c r="AQ46" s="489">
        <v>795</v>
      </c>
      <c r="AR46" s="489">
        <v>795</v>
      </c>
      <c r="AS46" s="489">
        <v>795</v>
      </c>
      <c r="AT46" s="489">
        <v>795</v>
      </c>
      <c r="AU46" s="489">
        <v>795</v>
      </c>
      <c r="AV46" s="489">
        <v>795</v>
      </c>
      <c r="AW46" s="489">
        <v>795</v>
      </c>
      <c r="AX46" s="489">
        <v>795</v>
      </c>
      <c r="AY46" s="489">
        <v>795</v>
      </c>
      <c r="AZ46" s="489">
        <v>795</v>
      </c>
      <c r="BA46" s="489">
        <v>795</v>
      </c>
      <c r="BB46" s="489">
        <v>795</v>
      </c>
      <c r="BC46" s="489">
        <v>795</v>
      </c>
      <c r="BD46" s="489">
        <v>795</v>
      </c>
      <c r="BE46" s="489">
        <v>795</v>
      </c>
      <c r="BF46" s="489">
        <v>795</v>
      </c>
      <c r="BG46" s="490">
        <f t="shared" si="0"/>
        <v>42930</v>
      </c>
      <c r="BH46" s="1077">
        <f>SUM(BG47)</f>
        <v>43504.253499999999</v>
      </c>
      <c r="BI46" s="491">
        <f t="shared" si="1"/>
        <v>54</v>
      </c>
      <c r="BJ46" s="492"/>
      <c r="BK46" s="492"/>
      <c r="BL46" s="492"/>
      <c r="BM46" s="492"/>
    </row>
    <row r="47" spans="1:65" ht="185.1" customHeight="1" thickTop="1" thickBot="1" x14ac:dyDescent="1.3">
      <c r="A47" s="1063"/>
      <c r="B47" s="1054"/>
      <c r="C47" s="1052" t="s">
        <v>128</v>
      </c>
      <c r="D47" s="1052"/>
      <c r="E47" s="498">
        <v>797.18</v>
      </c>
      <c r="F47" s="498">
        <v>732.22399999999993</v>
      </c>
      <c r="G47" s="498">
        <v>792.30829999999992</v>
      </c>
      <c r="H47" s="498">
        <v>1025.27</v>
      </c>
      <c r="I47" s="498">
        <v>1025.27</v>
      </c>
      <c r="J47" s="498">
        <v>764.702</v>
      </c>
      <c r="K47" s="498">
        <v>732.22399999999993</v>
      </c>
      <c r="L47" s="498">
        <v>732.22399999999993</v>
      </c>
      <c r="M47" s="498">
        <v>730.60009999999988</v>
      </c>
      <c r="N47" s="498">
        <v>732.22399999999993</v>
      </c>
      <c r="O47" s="498">
        <v>748.46299999999997</v>
      </c>
      <c r="P47" s="498">
        <v>732.22399999999993</v>
      </c>
      <c r="Q47" s="498">
        <v>748.46299999999997</v>
      </c>
      <c r="R47" s="498">
        <v>787.4366</v>
      </c>
      <c r="S47" s="498">
        <v>815.04289999999992</v>
      </c>
      <c r="T47" s="498">
        <v>810.1712</v>
      </c>
      <c r="U47" s="503">
        <v>774.44539999999995</v>
      </c>
      <c r="V47" s="503">
        <v>845.89699999999993</v>
      </c>
      <c r="W47" s="503">
        <v>845.89699999999993</v>
      </c>
      <c r="X47" s="503">
        <v>732.22399999999993</v>
      </c>
      <c r="Y47" s="503">
        <v>764.702</v>
      </c>
      <c r="Z47" s="503">
        <v>732.22399999999993</v>
      </c>
      <c r="AA47" s="503">
        <v>809.29199999999992</v>
      </c>
      <c r="AB47" s="503">
        <v>805.11500000000001</v>
      </c>
      <c r="AC47" s="503">
        <v>809.29199999999992</v>
      </c>
      <c r="AD47" s="503">
        <v>836.15359999999998</v>
      </c>
      <c r="AE47" s="503">
        <v>732.22399999999993</v>
      </c>
      <c r="AF47" s="503">
        <v>732.22399999999993</v>
      </c>
      <c r="AG47" s="503">
        <v>900.84249999999997</v>
      </c>
      <c r="AH47" s="503">
        <v>876.48399999999992</v>
      </c>
      <c r="AI47" s="503">
        <v>1025.27</v>
      </c>
      <c r="AJ47" s="503">
        <v>735.47180000000003</v>
      </c>
      <c r="AK47" s="503">
        <v>793.93219999999997</v>
      </c>
      <c r="AL47" s="503">
        <v>732.22399999999993</v>
      </c>
      <c r="AM47" s="503">
        <v>813.41899999999998</v>
      </c>
      <c r="AN47" s="503">
        <v>821.53849999999989</v>
      </c>
      <c r="AO47" s="503">
        <v>1025.27</v>
      </c>
      <c r="AP47" s="503">
        <v>784.1887999999999</v>
      </c>
      <c r="AQ47" s="503">
        <v>732.22399999999993</v>
      </c>
      <c r="AR47" s="503">
        <v>772.82150000000001</v>
      </c>
      <c r="AS47" s="503">
        <v>832.9058</v>
      </c>
      <c r="AT47" s="503">
        <v>1025.27</v>
      </c>
      <c r="AU47" s="506">
        <v>808.54729999999995</v>
      </c>
      <c r="AV47" s="503">
        <v>732.22399999999993</v>
      </c>
      <c r="AW47" s="503">
        <v>732.22399999999993</v>
      </c>
      <c r="AX47" s="503">
        <v>876.48399999999992</v>
      </c>
      <c r="AY47" s="503">
        <v>732.22399999999993</v>
      </c>
      <c r="AZ47" s="503">
        <v>813.41899999999998</v>
      </c>
      <c r="BA47" s="503">
        <v>813.41899999999998</v>
      </c>
      <c r="BB47" s="503">
        <v>780.94099999999992</v>
      </c>
      <c r="BC47" s="503">
        <v>732.22399999999993</v>
      </c>
      <c r="BD47" s="503">
        <v>876.48399999999992</v>
      </c>
      <c r="BE47" s="503">
        <v>876.48399999999992</v>
      </c>
      <c r="BF47" s="503">
        <v>732</v>
      </c>
      <c r="BG47" s="495">
        <f t="shared" si="0"/>
        <v>43504.253499999999</v>
      </c>
      <c r="BH47" s="1077"/>
      <c r="BI47" s="496">
        <f>BG47/805</f>
        <v>54.04255093167702</v>
      </c>
      <c r="BJ47" s="488"/>
      <c r="BK47" s="488"/>
      <c r="BL47" s="488"/>
      <c r="BM47" s="488"/>
    </row>
    <row r="48" spans="1:65" s="511" customFormat="1" ht="185.1" customHeight="1" thickTop="1" thickBot="1" x14ac:dyDescent="1.3">
      <c r="A48" s="1063" t="s">
        <v>326</v>
      </c>
      <c r="B48" s="1054" t="s">
        <v>327</v>
      </c>
      <c r="C48" s="1053" t="s">
        <v>127</v>
      </c>
      <c r="D48" s="1053"/>
      <c r="E48" s="489">
        <v>27</v>
      </c>
      <c r="F48" s="489">
        <v>27</v>
      </c>
      <c r="G48" s="489">
        <v>27</v>
      </c>
      <c r="H48" s="489">
        <v>27</v>
      </c>
      <c r="I48" s="489">
        <v>27</v>
      </c>
      <c r="J48" s="489">
        <v>27</v>
      </c>
      <c r="K48" s="489">
        <v>27</v>
      </c>
      <c r="L48" s="489">
        <v>27</v>
      </c>
      <c r="M48" s="489">
        <v>27</v>
      </c>
      <c r="N48" s="489">
        <v>27</v>
      </c>
      <c r="O48" s="489">
        <v>27</v>
      </c>
      <c r="P48" s="489">
        <v>27</v>
      </c>
      <c r="Q48" s="489">
        <v>27</v>
      </c>
      <c r="R48" s="489">
        <v>27</v>
      </c>
      <c r="S48" s="489">
        <v>27</v>
      </c>
      <c r="T48" s="489">
        <v>27</v>
      </c>
      <c r="U48" s="489">
        <v>27</v>
      </c>
      <c r="V48" s="489">
        <v>27</v>
      </c>
      <c r="W48" s="489">
        <v>27</v>
      </c>
      <c r="X48" s="489">
        <v>27</v>
      </c>
      <c r="Y48" s="489">
        <v>27</v>
      </c>
      <c r="Z48" s="489">
        <v>27</v>
      </c>
      <c r="AA48" s="489">
        <v>27</v>
      </c>
      <c r="AB48" s="489">
        <v>27</v>
      </c>
      <c r="AC48" s="489">
        <v>27</v>
      </c>
      <c r="AD48" s="489">
        <v>27</v>
      </c>
      <c r="AE48" s="489">
        <v>27</v>
      </c>
      <c r="AF48" s="489">
        <v>27</v>
      </c>
      <c r="AG48" s="489">
        <v>27</v>
      </c>
      <c r="AH48" s="489">
        <v>27</v>
      </c>
      <c r="AI48" s="489">
        <v>27</v>
      </c>
      <c r="AJ48" s="489">
        <v>27</v>
      </c>
      <c r="AK48" s="489">
        <v>27</v>
      </c>
      <c r="AL48" s="489">
        <v>27</v>
      </c>
      <c r="AM48" s="489">
        <v>27</v>
      </c>
      <c r="AN48" s="489">
        <v>27</v>
      </c>
      <c r="AO48" s="489">
        <v>27</v>
      </c>
      <c r="AP48" s="489">
        <v>27</v>
      </c>
      <c r="AQ48" s="489">
        <v>27</v>
      </c>
      <c r="AR48" s="489">
        <v>27</v>
      </c>
      <c r="AS48" s="489">
        <v>27</v>
      </c>
      <c r="AT48" s="489">
        <v>27</v>
      </c>
      <c r="AU48" s="489">
        <v>27</v>
      </c>
      <c r="AV48" s="489">
        <v>27</v>
      </c>
      <c r="AW48" s="489">
        <v>27</v>
      </c>
      <c r="AX48" s="489">
        <v>27</v>
      </c>
      <c r="AY48" s="489">
        <v>27</v>
      </c>
      <c r="AZ48" s="489">
        <v>27</v>
      </c>
      <c r="BA48" s="489">
        <v>27</v>
      </c>
      <c r="BB48" s="489">
        <v>27</v>
      </c>
      <c r="BC48" s="489">
        <v>27</v>
      </c>
      <c r="BD48" s="489">
        <v>27</v>
      </c>
      <c r="BE48" s="489">
        <v>27</v>
      </c>
      <c r="BF48" s="489">
        <v>27</v>
      </c>
      <c r="BG48" s="490">
        <f t="shared" si="0"/>
        <v>1458</v>
      </c>
      <c r="BH48" s="1056">
        <f>SUM(BG49)</f>
        <v>1458</v>
      </c>
      <c r="BI48" s="491">
        <f t="shared" si="1"/>
        <v>54</v>
      </c>
      <c r="BJ48" s="492"/>
      <c r="BK48" s="492"/>
      <c r="BL48" s="492"/>
      <c r="BM48" s="492"/>
    </row>
    <row r="49" spans="1:65" ht="185.1" customHeight="1" thickTop="1" thickBot="1" x14ac:dyDescent="1.3">
      <c r="A49" s="1063"/>
      <c r="B49" s="1054"/>
      <c r="C49" s="1052" t="s">
        <v>128</v>
      </c>
      <c r="D49" s="1052"/>
      <c r="E49" s="498">
        <v>27</v>
      </c>
      <c r="F49" s="498">
        <v>27</v>
      </c>
      <c r="G49" s="498">
        <v>27</v>
      </c>
      <c r="H49" s="498">
        <v>27</v>
      </c>
      <c r="I49" s="498">
        <v>27</v>
      </c>
      <c r="J49" s="498">
        <v>27</v>
      </c>
      <c r="K49" s="498">
        <v>27</v>
      </c>
      <c r="L49" s="498">
        <v>27</v>
      </c>
      <c r="M49" s="498">
        <v>27</v>
      </c>
      <c r="N49" s="498">
        <v>27</v>
      </c>
      <c r="O49" s="498">
        <v>27</v>
      </c>
      <c r="P49" s="498">
        <v>27</v>
      </c>
      <c r="Q49" s="498">
        <v>27</v>
      </c>
      <c r="R49" s="498">
        <v>27</v>
      </c>
      <c r="S49" s="498">
        <v>27</v>
      </c>
      <c r="T49" s="498">
        <v>27</v>
      </c>
      <c r="U49" s="498">
        <v>27</v>
      </c>
      <c r="V49" s="498">
        <v>27</v>
      </c>
      <c r="W49" s="498">
        <v>27</v>
      </c>
      <c r="X49" s="498">
        <v>27</v>
      </c>
      <c r="Y49" s="498">
        <v>27</v>
      </c>
      <c r="Z49" s="498">
        <v>27</v>
      </c>
      <c r="AA49" s="498">
        <v>27</v>
      </c>
      <c r="AB49" s="498">
        <v>27</v>
      </c>
      <c r="AC49" s="498">
        <v>27</v>
      </c>
      <c r="AD49" s="498">
        <v>27</v>
      </c>
      <c r="AE49" s="498">
        <v>27</v>
      </c>
      <c r="AF49" s="498">
        <v>27</v>
      </c>
      <c r="AG49" s="498">
        <v>27</v>
      </c>
      <c r="AH49" s="498">
        <v>27</v>
      </c>
      <c r="AI49" s="498">
        <v>27</v>
      </c>
      <c r="AJ49" s="498">
        <v>27</v>
      </c>
      <c r="AK49" s="498">
        <v>27</v>
      </c>
      <c r="AL49" s="498">
        <v>27</v>
      </c>
      <c r="AM49" s="498">
        <v>27</v>
      </c>
      <c r="AN49" s="498">
        <v>27</v>
      </c>
      <c r="AO49" s="498">
        <v>27</v>
      </c>
      <c r="AP49" s="498">
        <v>27</v>
      </c>
      <c r="AQ49" s="498">
        <v>27</v>
      </c>
      <c r="AR49" s="498">
        <v>27</v>
      </c>
      <c r="AS49" s="498">
        <v>27</v>
      </c>
      <c r="AT49" s="498">
        <v>27</v>
      </c>
      <c r="AU49" s="498">
        <v>27</v>
      </c>
      <c r="AV49" s="498">
        <v>27</v>
      </c>
      <c r="AW49" s="498">
        <v>27</v>
      </c>
      <c r="AX49" s="498">
        <v>27</v>
      </c>
      <c r="AY49" s="498">
        <v>27</v>
      </c>
      <c r="AZ49" s="498">
        <v>27</v>
      </c>
      <c r="BA49" s="498">
        <v>27</v>
      </c>
      <c r="BB49" s="498">
        <v>27</v>
      </c>
      <c r="BC49" s="498">
        <v>27</v>
      </c>
      <c r="BD49" s="498">
        <v>27</v>
      </c>
      <c r="BE49" s="498">
        <v>27</v>
      </c>
      <c r="BF49" s="498">
        <v>27</v>
      </c>
      <c r="BG49" s="495">
        <f t="shared" si="0"/>
        <v>1458</v>
      </c>
      <c r="BH49" s="1056"/>
      <c r="BI49" s="496">
        <f t="shared" si="1"/>
        <v>54</v>
      </c>
      <c r="BJ49" s="488"/>
      <c r="BK49" s="488"/>
      <c r="BL49" s="488"/>
      <c r="BM49" s="488"/>
    </row>
    <row r="50" spans="1:65" s="511" customFormat="1" ht="185.1" customHeight="1" thickTop="1" thickBot="1" x14ac:dyDescent="1.3">
      <c r="A50" s="1063" t="s">
        <v>174</v>
      </c>
      <c r="B50" s="1054" t="s">
        <v>175</v>
      </c>
      <c r="C50" s="1053" t="s">
        <v>127</v>
      </c>
      <c r="D50" s="1053"/>
      <c r="E50" s="489">
        <v>114</v>
      </c>
      <c r="F50" s="489">
        <v>114</v>
      </c>
      <c r="G50" s="489">
        <v>114</v>
      </c>
      <c r="H50" s="489">
        <v>114</v>
      </c>
      <c r="I50" s="489">
        <v>114</v>
      </c>
      <c r="J50" s="489">
        <v>114</v>
      </c>
      <c r="K50" s="489">
        <v>114</v>
      </c>
      <c r="L50" s="489">
        <v>114</v>
      </c>
      <c r="M50" s="489">
        <v>114</v>
      </c>
      <c r="N50" s="489">
        <v>114</v>
      </c>
      <c r="O50" s="489">
        <v>114</v>
      </c>
      <c r="P50" s="489">
        <v>114</v>
      </c>
      <c r="Q50" s="489">
        <v>114</v>
      </c>
      <c r="R50" s="489">
        <v>114</v>
      </c>
      <c r="S50" s="489">
        <v>114</v>
      </c>
      <c r="T50" s="489">
        <v>114</v>
      </c>
      <c r="U50" s="489">
        <v>114</v>
      </c>
      <c r="V50" s="489">
        <v>114</v>
      </c>
      <c r="W50" s="489">
        <v>114</v>
      </c>
      <c r="X50" s="489">
        <v>114</v>
      </c>
      <c r="Y50" s="489">
        <v>114</v>
      </c>
      <c r="Z50" s="489">
        <v>114</v>
      </c>
      <c r="AA50" s="489">
        <v>114</v>
      </c>
      <c r="AB50" s="489">
        <v>114</v>
      </c>
      <c r="AC50" s="489">
        <v>114</v>
      </c>
      <c r="AD50" s="489">
        <v>114</v>
      </c>
      <c r="AE50" s="489">
        <v>114</v>
      </c>
      <c r="AF50" s="489">
        <v>114</v>
      </c>
      <c r="AG50" s="489">
        <v>114</v>
      </c>
      <c r="AH50" s="489">
        <v>114</v>
      </c>
      <c r="AI50" s="489">
        <v>114</v>
      </c>
      <c r="AJ50" s="489">
        <v>114</v>
      </c>
      <c r="AK50" s="489">
        <v>114</v>
      </c>
      <c r="AL50" s="489">
        <v>114</v>
      </c>
      <c r="AM50" s="489">
        <v>114</v>
      </c>
      <c r="AN50" s="489">
        <v>114</v>
      </c>
      <c r="AO50" s="489">
        <v>114</v>
      </c>
      <c r="AP50" s="489">
        <v>114</v>
      </c>
      <c r="AQ50" s="489">
        <v>114</v>
      </c>
      <c r="AR50" s="489">
        <v>114</v>
      </c>
      <c r="AS50" s="489">
        <v>114</v>
      </c>
      <c r="AT50" s="489">
        <v>114</v>
      </c>
      <c r="AU50" s="489">
        <v>114</v>
      </c>
      <c r="AV50" s="489">
        <v>114</v>
      </c>
      <c r="AW50" s="489">
        <v>114</v>
      </c>
      <c r="AX50" s="489">
        <v>114</v>
      </c>
      <c r="AY50" s="489">
        <v>114</v>
      </c>
      <c r="AZ50" s="489">
        <v>114</v>
      </c>
      <c r="BA50" s="489">
        <v>114</v>
      </c>
      <c r="BB50" s="489">
        <v>114</v>
      </c>
      <c r="BC50" s="489">
        <v>114</v>
      </c>
      <c r="BD50" s="489">
        <v>114</v>
      </c>
      <c r="BE50" s="489">
        <v>114</v>
      </c>
      <c r="BF50" s="489">
        <v>114</v>
      </c>
      <c r="BG50" s="490">
        <f t="shared" si="0"/>
        <v>6156</v>
      </c>
      <c r="BH50" s="1056">
        <f>SUM(BG51)</f>
        <v>5685.0812499999984</v>
      </c>
      <c r="BI50" s="491">
        <f t="shared" si="1"/>
        <v>54</v>
      </c>
      <c r="BJ50" s="492"/>
      <c r="BK50" s="492"/>
      <c r="BL50" s="492"/>
      <c r="BM50" s="492"/>
    </row>
    <row r="51" spans="1:65" ht="185.1" customHeight="1" thickTop="1" thickBot="1" x14ac:dyDescent="1.3">
      <c r="A51" s="1063"/>
      <c r="B51" s="1054"/>
      <c r="C51" s="1052" t="s">
        <v>128</v>
      </c>
      <c r="D51" s="1052"/>
      <c r="E51" s="498">
        <v>123.38450000000039</v>
      </c>
      <c r="F51" s="498">
        <v>97.062500000000014</v>
      </c>
      <c r="G51" s="498">
        <v>121.41035000000032</v>
      </c>
      <c r="H51" s="498">
        <v>59.244500000000009</v>
      </c>
      <c r="I51" s="498">
        <v>59.244500000000009</v>
      </c>
      <c r="J51" s="498">
        <v>110.22349999999926</v>
      </c>
      <c r="K51" s="498">
        <v>97.062500000000014</v>
      </c>
      <c r="L51" s="498">
        <v>97.062500000000014</v>
      </c>
      <c r="M51" s="498">
        <v>96.404449999998747</v>
      </c>
      <c r="N51" s="498">
        <v>97.062500000000014</v>
      </c>
      <c r="O51" s="498">
        <v>103.64300000000151</v>
      </c>
      <c r="P51" s="498">
        <v>97.062500000000014</v>
      </c>
      <c r="Q51" s="498">
        <v>103.64300000000151</v>
      </c>
      <c r="R51" s="498">
        <v>119.43620000000024</v>
      </c>
      <c r="S51" s="498">
        <v>130.62304999999941</v>
      </c>
      <c r="T51" s="498">
        <v>128.64889999999934</v>
      </c>
      <c r="U51" s="503">
        <v>114.17179999999942</v>
      </c>
      <c r="V51" s="503">
        <v>143.12600000000111</v>
      </c>
      <c r="W51" s="503">
        <v>143.12600000000111</v>
      </c>
      <c r="X51" s="503">
        <v>97.062500000000014</v>
      </c>
      <c r="Y51" s="503">
        <v>110.22349999999926</v>
      </c>
      <c r="Z51" s="503">
        <v>97.062500000000014</v>
      </c>
      <c r="AA51" s="503">
        <v>129.733</v>
      </c>
      <c r="AB51" s="503">
        <v>129.5</v>
      </c>
      <c r="AC51" s="503">
        <v>129.733</v>
      </c>
      <c r="AD51" s="503">
        <v>139.17769999999911</v>
      </c>
      <c r="AE51" s="503">
        <v>97.062500000000014</v>
      </c>
      <c r="AF51" s="503">
        <v>97.062500000000014</v>
      </c>
      <c r="AG51" s="503">
        <v>88.301749999999998</v>
      </c>
      <c r="AH51" s="503">
        <v>78.431000000000012</v>
      </c>
      <c r="AI51" s="503">
        <v>59.244500000000009</v>
      </c>
      <c r="AJ51" s="503">
        <v>98.378599999998812</v>
      </c>
      <c r="AK51" s="503">
        <v>122.06839999999971</v>
      </c>
      <c r="AL51" s="503">
        <v>97.062500000000014</v>
      </c>
      <c r="AM51" s="503">
        <v>129.965</v>
      </c>
      <c r="AN51" s="503">
        <v>133.25525000000076</v>
      </c>
      <c r="AO51" s="503">
        <v>59.244500000000009</v>
      </c>
      <c r="AP51" s="503">
        <v>118.12009999999957</v>
      </c>
      <c r="AQ51" s="503">
        <v>97.062500000000014</v>
      </c>
      <c r="AR51" s="503">
        <v>113.51375000000002</v>
      </c>
      <c r="AS51" s="503">
        <v>137.86160000000029</v>
      </c>
      <c r="AT51" s="503">
        <v>59.244500000000009</v>
      </c>
      <c r="AU51" s="503">
        <v>127.99084999999995</v>
      </c>
      <c r="AV51" s="503">
        <v>97.062500000000014</v>
      </c>
      <c r="AW51" s="503">
        <v>97.062500000000014</v>
      </c>
      <c r="AX51" s="503">
        <v>78.431000000000012</v>
      </c>
      <c r="AY51" s="503">
        <v>97.062500000000014</v>
      </c>
      <c r="AZ51" s="503">
        <v>129.965</v>
      </c>
      <c r="BA51" s="503">
        <v>129.965</v>
      </c>
      <c r="BB51" s="503">
        <v>116.80399999999889</v>
      </c>
      <c r="BC51" s="503">
        <v>97.062500000000014</v>
      </c>
      <c r="BD51" s="503">
        <v>78.431000000000012</v>
      </c>
      <c r="BE51" s="503">
        <v>78.230999999999995</v>
      </c>
      <c r="BF51" s="503">
        <v>97</v>
      </c>
      <c r="BG51" s="495">
        <f>SUM(E51:BF51)</f>
        <v>5685.0812499999984</v>
      </c>
      <c r="BH51" s="1056"/>
      <c r="BI51" s="496">
        <f>BG51/105</f>
        <v>54.143630952380938</v>
      </c>
      <c r="BJ51" s="488"/>
      <c r="BK51" s="488"/>
      <c r="BL51" s="488"/>
      <c r="BM51" s="488"/>
    </row>
    <row r="52" spans="1:65" ht="307.89999999999998" customHeight="1" thickTop="1" thickBot="1" x14ac:dyDescent="1.3">
      <c r="A52" s="1069" t="s">
        <v>802</v>
      </c>
      <c r="B52" s="1070"/>
      <c r="C52" s="1070"/>
      <c r="D52" s="542"/>
      <c r="E52" s="543"/>
      <c r="F52" s="543"/>
      <c r="G52" s="543"/>
      <c r="H52" s="543"/>
      <c r="I52" s="543"/>
      <c r="J52" s="543"/>
      <c r="K52" s="543"/>
      <c r="L52" s="543"/>
      <c r="M52" s="543"/>
      <c r="N52" s="543"/>
      <c r="O52" s="543"/>
      <c r="P52" s="543"/>
      <c r="Q52" s="543"/>
      <c r="R52" s="543"/>
      <c r="S52" s="1059" t="s">
        <v>150</v>
      </c>
      <c r="T52" s="1059"/>
      <c r="U52" s="543"/>
      <c r="V52" s="543"/>
      <c r="W52" s="543"/>
      <c r="X52" s="543"/>
      <c r="Y52" s="543"/>
      <c r="Z52" s="1071"/>
      <c r="AA52" s="1071"/>
      <c r="AB52" s="1071"/>
      <c r="AC52" s="1071"/>
      <c r="AD52" s="1071"/>
      <c r="AE52" s="543"/>
      <c r="AF52" s="543"/>
      <c r="AG52" s="543"/>
      <c r="AH52" s="543"/>
      <c r="AI52" s="543"/>
      <c r="AJ52" s="543"/>
      <c r="AK52" s="1071" t="s">
        <v>162</v>
      </c>
      <c r="AL52" s="1071"/>
      <c r="AM52" s="543"/>
      <c r="AN52" s="543"/>
      <c r="AO52" s="543"/>
      <c r="AP52" s="543"/>
      <c r="AQ52" s="543"/>
      <c r="AR52" s="543"/>
      <c r="AS52" s="543"/>
      <c r="AT52" s="543"/>
      <c r="AU52" s="543"/>
      <c r="AV52" s="543"/>
      <c r="AW52" s="543"/>
      <c r="AX52" s="543"/>
      <c r="AY52" s="543"/>
      <c r="AZ52" s="543"/>
      <c r="BA52" s="543"/>
      <c r="BB52" s="543"/>
      <c r="BC52" s="543"/>
      <c r="BD52" s="543"/>
      <c r="BE52" s="543"/>
      <c r="BF52" s="1071" t="s">
        <v>150</v>
      </c>
      <c r="BG52" s="1071"/>
      <c r="BH52" s="544"/>
      <c r="BI52" s="530"/>
    </row>
    <row r="53" spans="1:65" s="511" customFormat="1" ht="199.9" customHeight="1" thickTop="1" thickBot="1" x14ac:dyDescent="1.3">
      <c r="A53" s="1086" t="s">
        <v>125</v>
      </c>
      <c r="B53" s="1087"/>
      <c r="C53" s="1087"/>
      <c r="D53" s="1087"/>
      <c r="E53" s="508">
        <v>300</v>
      </c>
      <c r="F53" s="508">
        <v>301</v>
      </c>
      <c r="G53" s="508">
        <v>302</v>
      </c>
      <c r="H53" s="508">
        <v>303</v>
      </c>
      <c r="I53" s="508">
        <v>304</v>
      </c>
      <c r="J53" s="508">
        <v>305</v>
      </c>
      <c r="K53" s="508">
        <v>306</v>
      </c>
      <c r="L53" s="508">
        <v>307</v>
      </c>
      <c r="M53" s="508">
        <v>308</v>
      </c>
      <c r="N53" s="508">
        <v>309</v>
      </c>
      <c r="O53" s="508">
        <v>310</v>
      </c>
      <c r="P53" s="508">
        <v>311</v>
      </c>
      <c r="Q53" s="508">
        <v>312</v>
      </c>
      <c r="R53" s="508">
        <v>313</v>
      </c>
      <c r="S53" s="508">
        <v>314</v>
      </c>
      <c r="T53" s="508">
        <v>315</v>
      </c>
      <c r="U53" s="508">
        <v>316</v>
      </c>
      <c r="V53" s="508">
        <v>317</v>
      </c>
      <c r="W53" s="508">
        <v>318</v>
      </c>
      <c r="X53" s="508">
        <v>319</v>
      </c>
      <c r="Y53" s="508">
        <v>320</v>
      </c>
      <c r="Z53" s="508">
        <v>321</v>
      </c>
      <c r="AA53" s="508">
        <v>322</v>
      </c>
      <c r="AB53" s="508">
        <v>323</v>
      </c>
      <c r="AC53" s="508">
        <v>324</v>
      </c>
      <c r="AD53" s="508">
        <v>325</v>
      </c>
      <c r="AE53" s="508">
        <v>326</v>
      </c>
      <c r="AF53" s="508">
        <v>327</v>
      </c>
      <c r="AG53" s="508">
        <v>328</v>
      </c>
      <c r="AH53" s="508">
        <v>329</v>
      </c>
      <c r="AI53" s="508">
        <v>330</v>
      </c>
      <c r="AJ53" s="508">
        <v>331</v>
      </c>
      <c r="AK53" s="508">
        <v>332</v>
      </c>
      <c r="AL53" s="508">
        <v>333</v>
      </c>
      <c r="AM53" s="508">
        <v>334</v>
      </c>
      <c r="AN53" s="508">
        <v>335</v>
      </c>
      <c r="AO53" s="508">
        <v>336</v>
      </c>
      <c r="AP53" s="508">
        <v>337</v>
      </c>
      <c r="AQ53" s="508">
        <v>338</v>
      </c>
      <c r="AR53" s="508">
        <v>339</v>
      </c>
      <c r="AS53" s="508">
        <v>340</v>
      </c>
      <c r="AT53" s="508">
        <v>341</v>
      </c>
      <c r="AU53" s="508">
        <v>342</v>
      </c>
      <c r="AV53" s="508">
        <v>343</v>
      </c>
      <c r="AW53" s="508">
        <v>344</v>
      </c>
      <c r="AX53" s="508">
        <v>345</v>
      </c>
      <c r="AY53" s="508">
        <v>346</v>
      </c>
      <c r="AZ53" s="508">
        <v>347</v>
      </c>
      <c r="BA53" s="508">
        <v>348</v>
      </c>
      <c r="BB53" s="508">
        <v>349</v>
      </c>
      <c r="BC53" s="508">
        <v>350</v>
      </c>
      <c r="BD53" s="508">
        <v>351</v>
      </c>
      <c r="BE53" s="508">
        <v>352</v>
      </c>
      <c r="BF53" s="508">
        <v>353</v>
      </c>
      <c r="BG53" s="509" t="s">
        <v>160</v>
      </c>
      <c r="BH53" s="510" t="s">
        <v>161</v>
      </c>
      <c r="BI53" s="491"/>
    </row>
    <row r="54" spans="1:65" ht="199.9" customHeight="1" thickTop="1" thickBot="1" x14ac:dyDescent="1.3">
      <c r="A54" s="1063" t="s">
        <v>183</v>
      </c>
      <c r="B54" s="502" t="s">
        <v>176</v>
      </c>
      <c r="C54" s="1052" t="s">
        <v>127</v>
      </c>
      <c r="D54" s="1052"/>
      <c r="E54" s="512">
        <v>100</v>
      </c>
      <c r="F54" s="512">
        <v>100</v>
      </c>
      <c r="G54" s="512">
        <v>100</v>
      </c>
      <c r="H54" s="512">
        <v>100</v>
      </c>
      <c r="I54" s="512">
        <v>100</v>
      </c>
      <c r="J54" s="512">
        <v>100</v>
      </c>
      <c r="K54" s="512">
        <v>100</v>
      </c>
      <c r="L54" s="512">
        <v>100</v>
      </c>
      <c r="M54" s="512">
        <v>100</v>
      </c>
      <c r="N54" s="512">
        <v>100</v>
      </c>
      <c r="O54" s="512">
        <v>100</v>
      </c>
      <c r="P54" s="512">
        <v>100</v>
      </c>
      <c r="Q54" s="512">
        <v>100</v>
      </c>
      <c r="R54" s="512">
        <v>100</v>
      </c>
      <c r="S54" s="512">
        <v>100</v>
      </c>
      <c r="T54" s="512">
        <v>100</v>
      </c>
      <c r="U54" s="512">
        <v>100</v>
      </c>
      <c r="V54" s="512">
        <v>100</v>
      </c>
      <c r="W54" s="512">
        <v>100</v>
      </c>
      <c r="X54" s="512">
        <v>100</v>
      </c>
      <c r="Y54" s="512">
        <v>100</v>
      </c>
      <c r="Z54" s="512">
        <v>100</v>
      </c>
      <c r="AA54" s="512">
        <v>100</v>
      </c>
      <c r="AB54" s="512">
        <v>100</v>
      </c>
      <c r="AC54" s="512">
        <v>100</v>
      </c>
      <c r="AD54" s="512">
        <v>100</v>
      </c>
      <c r="AE54" s="512">
        <v>100</v>
      </c>
      <c r="AF54" s="512">
        <v>100</v>
      </c>
      <c r="AG54" s="512">
        <v>100</v>
      </c>
      <c r="AH54" s="512">
        <v>100</v>
      </c>
      <c r="AI54" s="512">
        <v>100</v>
      </c>
      <c r="AJ54" s="512">
        <v>100</v>
      </c>
      <c r="AK54" s="512">
        <v>100</v>
      </c>
      <c r="AL54" s="512">
        <v>100</v>
      </c>
      <c r="AM54" s="512">
        <v>100</v>
      </c>
      <c r="AN54" s="512">
        <v>100</v>
      </c>
      <c r="AO54" s="512">
        <v>100</v>
      </c>
      <c r="AP54" s="512">
        <v>100</v>
      </c>
      <c r="AQ54" s="512">
        <v>100</v>
      </c>
      <c r="AR54" s="512">
        <v>100</v>
      </c>
      <c r="AS54" s="512">
        <v>100</v>
      </c>
      <c r="AT54" s="512">
        <v>100</v>
      </c>
      <c r="AU54" s="512">
        <v>100</v>
      </c>
      <c r="AV54" s="512">
        <v>100</v>
      </c>
      <c r="AW54" s="512">
        <v>100</v>
      </c>
      <c r="AX54" s="512">
        <v>100</v>
      </c>
      <c r="AY54" s="512">
        <v>100</v>
      </c>
      <c r="AZ54" s="512">
        <v>100</v>
      </c>
      <c r="BA54" s="512">
        <v>100</v>
      </c>
      <c r="BB54" s="512">
        <v>100</v>
      </c>
      <c r="BC54" s="512">
        <v>100</v>
      </c>
      <c r="BD54" s="512">
        <v>100</v>
      </c>
      <c r="BE54" s="512">
        <v>100</v>
      </c>
      <c r="BF54" s="512">
        <v>100</v>
      </c>
      <c r="BG54" s="495">
        <f t="shared" ref="BG54:BG68" si="8">SUM(E54:BF54)</f>
        <v>5400</v>
      </c>
      <c r="BH54" s="1056">
        <f>SUM(BG55:BG60)</f>
        <v>5209.1370000000006</v>
      </c>
      <c r="BI54" s="496">
        <f t="shared" si="1"/>
        <v>54</v>
      </c>
    </row>
    <row r="55" spans="1:65" ht="199.9" customHeight="1" thickTop="1" thickBot="1" x14ac:dyDescent="1.3">
      <c r="A55" s="1063"/>
      <c r="B55" s="502" t="s">
        <v>177</v>
      </c>
      <c r="C55" s="1052" t="s">
        <v>128</v>
      </c>
      <c r="D55" s="1052"/>
      <c r="E55" s="512">
        <v>16.328749999999996</v>
      </c>
      <c r="F55" s="512">
        <v>16.328749999999996</v>
      </c>
      <c r="G55" s="512">
        <v>16.328749999999996</v>
      </c>
      <c r="H55" s="512">
        <v>16.328749999999996</v>
      </c>
      <c r="I55" s="512">
        <v>16.328749999999996</v>
      </c>
      <c r="J55" s="512">
        <v>16.328749999999996</v>
      </c>
      <c r="K55" s="512">
        <v>16.328749999999996</v>
      </c>
      <c r="L55" s="512">
        <v>16.328749999999996</v>
      </c>
      <c r="M55" s="512">
        <v>16.328749999999996</v>
      </c>
      <c r="N55" s="512">
        <v>16.328749999999996</v>
      </c>
      <c r="O55" s="512">
        <v>16.328749999999996</v>
      </c>
      <c r="P55" s="512">
        <v>16.328749999999996</v>
      </c>
      <c r="Q55" s="512">
        <v>16.328749999999996</v>
      </c>
      <c r="R55" s="512">
        <v>16.328749999999996</v>
      </c>
      <c r="S55" s="512">
        <v>16.328749999999996</v>
      </c>
      <c r="T55" s="512">
        <v>16.328749999999996</v>
      </c>
      <c r="U55" s="512">
        <v>16.328749999999996</v>
      </c>
      <c r="V55" s="512">
        <v>16.328749999999996</v>
      </c>
      <c r="W55" s="512">
        <v>16.328749999999996</v>
      </c>
      <c r="X55" s="512">
        <v>16.328749999999996</v>
      </c>
      <c r="Y55" s="512">
        <v>16.328749999999996</v>
      </c>
      <c r="Z55" s="512">
        <v>16.328749999999996</v>
      </c>
      <c r="AA55" s="512">
        <v>16.328749999999996</v>
      </c>
      <c r="AB55" s="512">
        <v>16.328749999999996</v>
      </c>
      <c r="AC55" s="512">
        <v>16.328749999999996</v>
      </c>
      <c r="AD55" s="512">
        <v>16.328749999999996</v>
      </c>
      <c r="AE55" s="512">
        <v>16.328749999999996</v>
      </c>
      <c r="AF55" s="512">
        <v>16.328749999999996</v>
      </c>
      <c r="AG55" s="512">
        <v>16.328749999999996</v>
      </c>
      <c r="AH55" s="512">
        <v>16.328749999999996</v>
      </c>
      <c r="AI55" s="512">
        <v>16.328749999999996</v>
      </c>
      <c r="AJ55" s="512">
        <v>16.328749999999996</v>
      </c>
      <c r="AK55" s="512">
        <v>16.328749999999996</v>
      </c>
      <c r="AL55" s="512">
        <v>16.328749999999996</v>
      </c>
      <c r="AM55" s="512">
        <v>16.328749999999996</v>
      </c>
      <c r="AN55" s="512">
        <v>16.328749999999996</v>
      </c>
      <c r="AO55" s="512">
        <v>16.328749999999996</v>
      </c>
      <c r="AP55" s="512">
        <v>16.328749999999996</v>
      </c>
      <c r="AQ55" s="512">
        <v>16.328749999999996</v>
      </c>
      <c r="AR55" s="512">
        <v>16.328749999999996</v>
      </c>
      <c r="AS55" s="512">
        <v>16.328749999999996</v>
      </c>
      <c r="AT55" s="512">
        <v>16.328749999999996</v>
      </c>
      <c r="AU55" s="512">
        <v>16.328749999999996</v>
      </c>
      <c r="AV55" s="512">
        <v>16.328749999999996</v>
      </c>
      <c r="AW55" s="512">
        <v>16.328749999999996</v>
      </c>
      <c r="AX55" s="512">
        <v>16.328749999999996</v>
      </c>
      <c r="AY55" s="512">
        <v>16.328749999999996</v>
      </c>
      <c r="AZ55" s="512">
        <v>16.328749999999996</v>
      </c>
      <c r="BA55" s="512">
        <v>16.328749999999996</v>
      </c>
      <c r="BB55" s="512">
        <v>16.328749999999996</v>
      </c>
      <c r="BC55" s="512">
        <v>16.328749999999996</v>
      </c>
      <c r="BD55" s="512">
        <v>16.328749999999996</v>
      </c>
      <c r="BE55" s="512">
        <v>16.328749999999996</v>
      </c>
      <c r="BF55" s="512">
        <v>16.328749999999996</v>
      </c>
      <c r="BG55" s="495">
        <f>SUM(E55:BF55)</f>
        <v>881.7525000000004</v>
      </c>
      <c r="BH55" s="1056"/>
      <c r="BI55" s="496">
        <f t="shared" si="1"/>
        <v>54.000000000000036</v>
      </c>
    </row>
    <row r="56" spans="1:65" ht="199.9" customHeight="1" thickTop="1" thickBot="1" x14ac:dyDescent="1.3">
      <c r="A56" s="1063"/>
      <c r="B56" s="502" t="s">
        <v>178</v>
      </c>
      <c r="C56" s="1052" t="s">
        <v>128</v>
      </c>
      <c r="D56" s="1052"/>
      <c r="E56" s="512">
        <v>16.312749999999998</v>
      </c>
      <c r="F56" s="512">
        <v>16.312749999999998</v>
      </c>
      <c r="G56" s="512">
        <v>16.312749999999998</v>
      </c>
      <c r="H56" s="512">
        <v>16.312749999999998</v>
      </c>
      <c r="I56" s="512">
        <v>16.312749999999998</v>
      </c>
      <c r="J56" s="512">
        <v>16.312749999999998</v>
      </c>
      <c r="K56" s="512">
        <v>16.312749999999998</v>
      </c>
      <c r="L56" s="512">
        <v>16.312749999999998</v>
      </c>
      <c r="M56" s="512">
        <v>16.312749999999998</v>
      </c>
      <c r="N56" s="512">
        <v>16.312749999999998</v>
      </c>
      <c r="O56" s="512">
        <v>16.312749999999998</v>
      </c>
      <c r="P56" s="512">
        <v>16.312749999999998</v>
      </c>
      <c r="Q56" s="512">
        <v>16.312749999999998</v>
      </c>
      <c r="R56" s="512">
        <v>16.312749999999998</v>
      </c>
      <c r="S56" s="512">
        <v>16.312749999999998</v>
      </c>
      <c r="T56" s="512">
        <v>16.312749999999998</v>
      </c>
      <c r="U56" s="512">
        <v>16.312749999999998</v>
      </c>
      <c r="V56" s="512">
        <v>16.312749999999998</v>
      </c>
      <c r="W56" s="512">
        <v>16.312749999999998</v>
      </c>
      <c r="X56" s="512">
        <v>16.312749999999998</v>
      </c>
      <c r="Y56" s="512">
        <v>16.312749999999998</v>
      </c>
      <c r="Z56" s="512">
        <v>16.312749999999998</v>
      </c>
      <c r="AA56" s="512">
        <v>16.312749999999998</v>
      </c>
      <c r="AB56" s="512">
        <v>16.312749999999998</v>
      </c>
      <c r="AC56" s="512">
        <v>16.312749999999998</v>
      </c>
      <c r="AD56" s="512">
        <v>16.312749999999998</v>
      </c>
      <c r="AE56" s="512">
        <v>16.312749999999998</v>
      </c>
      <c r="AF56" s="512">
        <v>16.312749999999998</v>
      </c>
      <c r="AG56" s="512">
        <v>16.312749999999998</v>
      </c>
      <c r="AH56" s="512">
        <v>16.312749999999998</v>
      </c>
      <c r="AI56" s="512">
        <v>16.312749999999998</v>
      </c>
      <c r="AJ56" s="512">
        <v>16.312749999999998</v>
      </c>
      <c r="AK56" s="512">
        <v>16.312749999999998</v>
      </c>
      <c r="AL56" s="512">
        <v>16.312749999999998</v>
      </c>
      <c r="AM56" s="512">
        <v>16.312749999999998</v>
      </c>
      <c r="AN56" s="512">
        <v>16.312749999999998</v>
      </c>
      <c r="AO56" s="512">
        <v>16.312749999999998</v>
      </c>
      <c r="AP56" s="512">
        <v>16.312749999999998</v>
      </c>
      <c r="AQ56" s="512">
        <v>16.312749999999998</v>
      </c>
      <c r="AR56" s="512">
        <v>16.312749999999998</v>
      </c>
      <c r="AS56" s="512">
        <v>16.312749999999998</v>
      </c>
      <c r="AT56" s="512">
        <v>16.312749999999998</v>
      </c>
      <c r="AU56" s="512">
        <v>16.312749999999998</v>
      </c>
      <c r="AV56" s="512">
        <v>16.312749999999998</v>
      </c>
      <c r="AW56" s="512">
        <v>16.312749999999998</v>
      </c>
      <c r="AX56" s="512">
        <v>16.312749999999998</v>
      </c>
      <c r="AY56" s="512">
        <v>16.312749999999998</v>
      </c>
      <c r="AZ56" s="512">
        <v>16.312749999999998</v>
      </c>
      <c r="BA56" s="512">
        <v>16.312749999999998</v>
      </c>
      <c r="BB56" s="512">
        <v>16.312749999999998</v>
      </c>
      <c r="BC56" s="512">
        <v>16.312749999999998</v>
      </c>
      <c r="BD56" s="512">
        <v>16.312749999999998</v>
      </c>
      <c r="BE56" s="512">
        <v>16.312749999999998</v>
      </c>
      <c r="BF56" s="512">
        <v>16.312749999999998</v>
      </c>
      <c r="BG56" s="495">
        <f t="shared" si="8"/>
        <v>880.88850000000105</v>
      </c>
      <c r="BH56" s="1056"/>
      <c r="BI56" s="496">
        <f t="shared" si="1"/>
        <v>54.000000000000071</v>
      </c>
    </row>
    <row r="57" spans="1:65" ht="199.9" customHeight="1" thickTop="1" thickBot="1" x14ac:dyDescent="1.3">
      <c r="A57" s="1063"/>
      <c r="B57" s="502" t="s">
        <v>179</v>
      </c>
      <c r="C57" s="1052" t="s">
        <v>128</v>
      </c>
      <c r="D57" s="1052"/>
      <c r="E57" s="512">
        <v>16.312749999999998</v>
      </c>
      <c r="F57" s="512">
        <v>16.312749999999998</v>
      </c>
      <c r="G57" s="512">
        <v>16.312749999999998</v>
      </c>
      <c r="H57" s="512">
        <v>16.312749999999998</v>
      </c>
      <c r="I57" s="512">
        <v>16.312749999999998</v>
      </c>
      <c r="J57" s="512">
        <v>16.312749999999998</v>
      </c>
      <c r="K57" s="512">
        <v>16.312749999999998</v>
      </c>
      <c r="L57" s="512">
        <v>16.312749999999998</v>
      </c>
      <c r="M57" s="512">
        <v>16.312749999999998</v>
      </c>
      <c r="N57" s="512">
        <v>16.312749999999998</v>
      </c>
      <c r="O57" s="512">
        <v>16.312749999999998</v>
      </c>
      <c r="P57" s="512">
        <v>16.312749999999998</v>
      </c>
      <c r="Q57" s="512">
        <v>16.312749999999998</v>
      </c>
      <c r="R57" s="512">
        <v>16.312749999999998</v>
      </c>
      <c r="S57" s="512">
        <v>16.312749999999998</v>
      </c>
      <c r="T57" s="512">
        <v>16.312749999999998</v>
      </c>
      <c r="U57" s="512">
        <v>16.312749999999998</v>
      </c>
      <c r="V57" s="512">
        <v>16.312749999999998</v>
      </c>
      <c r="W57" s="512">
        <v>16.312749999999998</v>
      </c>
      <c r="X57" s="512">
        <v>16.312749999999998</v>
      </c>
      <c r="Y57" s="512">
        <v>16.312749999999998</v>
      </c>
      <c r="Z57" s="512">
        <v>16.312749999999998</v>
      </c>
      <c r="AA57" s="512">
        <v>16.312749999999998</v>
      </c>
      <c r="AB57" s="512">
        <v>16.312749999999998</v>
      </c>
      <c r="AC57" s="512">
        <v>16.312749999999998</v>
      </c>
      <c r="AD57" s="512">
        <v>16.312749999999998</v>
      </c>
      <c r="AE57" s="512">
        <v>16.312749999999998</v>
      </c>
      <c r="AF57" s="512">
        <v>16.312749999999998</v>
      </c>
      <c r="AG57" s="512">
        <v>16.312749999999998</v>
      </c>
      <c r="AH57" s="512">
        <v>16.312749999999998</v>
      </c>
      <c r="AI57" s="512">
        <v>16.312749999999998</v>
      </c>
      <c r="AJ57" s="512">
        <v>16.312749999999998</v>
      </c>
      <c r="AK57" s="512">
        <v>16.312749999999998</v>
      </c>
      <c r="AL57" s="512">
        <v>16.312749999999998</v>
      </c>
      <c r="AM57" s="512">
        <v>16.312749999999998</v>
      </c>
      <c r="AN57" s="512">
        <v>16.312749999999998</v>
      </c>
      <c r="AO57" s="512">
        <v>16.312749999999998</v>
      </c>
      <c r="AP57" s="512">
        <v>16.312749999999998</v>
      </c>
      <c r="AQ57" s="512">
        <v>16.312749999999998</v>
      </c>
      <c r="AR57" s="512">
        <v>16.312749999999998</v>
      </c>
      <c r="AS57" s="512">
        <v>16.312749999999998</v>
      </c>
      <c r="AT57" s="512">
        <v>16.312749999999998</v>
      </c>
      <c r="AU57" s="512">
        <v>16.312749999999998</v>
      </c>
      <c r="AV57" s="512">
        <v>16.312749999999998</v>
      </c>
      <c r="AW57" s="512">
        <v>16.312749999999998</v>
      </c>
      <c r="AX57" s="512">
        <v>16.312749999999998</v>
      </c>
      <c r="AY57" s="512">
        <v>16.312749999999998</v>
      </c>
      <c r="AZ57" s="512">
        <v>16.312749999999998</v>
      </c>
      <c r="BA57" s="512">
        <v>16.312749999999998</v>
      </c>
      <c r="BB57" s="512">
        <v>16.312749999999998</v>
      </c>
      <c r="BC57" s="512">
        <v>16.312749999999998</v>
      </c>
      <c r="BD57" s="512">
        <v>16.312749999999998</v>
      </c>
      <c r="BE57" s="512">
        <v>16.312749999999998</v>
      </c>
      <c r="BF57" s="512">
        <v>16.312749999999998</v>
      </c>
      <c r="BG57" s="495">
        <f t="shared" si="8"/>
        <v>880.88850000000105</v>
      </c>
      <c r="BH57" s="1056"/>
      <c r="BI57" s="496">
        <f t="shared" si="1"/>
        <v>54.000000000000071</v>
      </c>
    </row>
    <row r="58" spans="1:65" ht="199.9" customHeight="1" thickTop="1" thickBot="1" x14ac:dyDescent="1.3">
      <c r="A58" s="1063"/>
      <c r="B58" s="502" t="s">
        <v>180</v>
      </c>
      <c r="C58" s="1052" t="s">
        <v>128</v>
      </c>
      <c r="D58" s="1052"/>
      <c r="E58" s="512">
        <v>15.983749999999997</v>
      </c>
      <c r="F58" s="512">
        <v>15.983749999999997</v>
      </c>
      <c r="G58" s="512">
        <v>15.983749999999997</v>
      </c>
      <c r="H58" s="512">
        <v>15.983749999999997</v>
      </c>
      <c r="I58" s="512">
        <v>15.983749999999997</v>
      </c>
      <c r="J58" s="512">
        <v>15.983749999999997</v>
      </c>
      <c r="K58" s="512">
        <v>15.983749999999997</v>
      </c>
      <c r="L58" s="512">
        <v>15.983749999999997</v>
      </c>
      <c r="M58" s="512">
        <v>15.983749999999997</v>
      </c>
      <c r="N58" s="512">
        <v>15.983749999999997</v>
      </c>
      <c r="O58" s="512">
        <v>15.983749999999997</v>
      </c>
      <c r="P58" s="512">
        <v>15.983749999999997</v>
      </c>
      <c r="Q58" s="512">
        <v>15.983749999999997</v>
      </c>
      <c r="R58" s="512">
        <v>15.983749999999997</v>
      </c>
      <c r="S58" s="512">
        <v>15.983749999999997</v>
      </c>
      <c r="T58" s="512">
        <v>15.983749999999997</v>
      </c>
      <c r="U58" s="512">
        <v>15.983749999999997</v>
      </c>
      <c r="V58" s="512">
        <v>15.983749999999997</v>
      </c>
      <c r="W58" s="512">
        <v>15.983749999999997</v>
      </c>
      <c r="X58" s="512">
        <v>15.983749999999997</v>
      </c>
      <c r="Y58" s="512">
        <v>15.983749999999997</v>
      </c>
      <c r="Z58" s="512">
        <v>15.983749999999997</v>
      </c>
      <c r="AA58" s="512">
        <v>15.983749999999997</v>
      </c>
      <c r="AB58" s="512">
        <v>15.983749999999997</v>
      </c>
      <c r="AC58" s="512">
        <v>15.983749999999997</v>
      </c>
      <c r="AD58" s="512">
        <v>15.983749999999997</v>
      </c>
      <c r="AE58" s="512">
        <v>15.983749999999997</v>
      </c>
      <c r="AF58" s="512">
        <v>15.983749999999997</v>
      </c>
      <c r="AG58" s="512">
        <v>15.983749999999997</v>
      </c>
      <c r="AH58" s="512">
        <v>15.983749999999997</v>
      </c>
      <c r="AI58" s="512">
        <v>15.983749999999997</v>
      </c>
      <c r="AJ58" s="512">
        <v>15.983749999999997</v>
      </c>
      <c r="AK58" s="512">
        <v>15.983749999999997</v>
      </c>
      <c r="AL58" s="512">
        <v>15.983749999999997</v>
      </c>
      <c r="AM58" s="512">
        <v>15.983749999999997</v>
      </c>
      <c r="AN58" s="512">
        <v>15.983749999999997</v>
      </c>
      <c r="AO58" s="512">
        <v>15.983749999999997</v>
      </c>
      <c r="AP58" s="512">
        <v>15.983749999999997</v>
      </c>
      <c r="AQ58" s="512">
        <v>15.983749999999997</v>
      </c>
      <c r="AR58" s="512">
        <v>15.983749999999997</v>
      </c>
      <c r="AS58" s="512">
        <v>15.983749999999997</v>
      </c>
      <c r="AT58" s="512">
        <v>15.983749999999997</v>
      </c>
      <c r="AU58" s="512">
        <v>15.983749999999997</v>
      </c>
      <c r="AV58" s="512">
        <v>15.983749999999997</v>
      </c>
      <c r="AW58" s="512">
        <v>15.983749999999997</v>
      </c>
      <c r="AX58" s="512">
        <v>15.983749999999997</v>
      </c>
      <c r="AY58" s="512">
        <v>15.983749999999997</v>
      </c>
      <c r="AZ58" s="512">
        <v>15.983749999999997</v>
      </c>
      <c r="BA58" s="512">
        <v>15.983749999999997</v>
      </c>
      <c r="BB58" s="512">
        <v>15.983749999999997</v>
      </c>
      <c r="BC58" s="512">
        <v>15.983749999999997</v>
      </c>
      <c r="BD58" s="512">
        <v>15.983749999999997</v>
      </c>
      <c r="BE58" s="512">
        <v>15.983749999999997</v>
      </c>
      <c r="BF58" s="512">
        <v>15.983749999999997</v>
      </c>
      <c r="BG58" s="495">
        <f t="shared" si="8"/>
        <v>863.12249999999938</v>
      </c>
      <c r="BH58" s="1056"/>
      <c r="BI58" s="496">
        <f t="shared" si="1"/>
        <v>53.999999999999972</v>
      </c>
    </row>
    <row r="59" spans="1:65" ht="199.9" customHeight="1" thickTop="1" thickBot="1" x14ac:dyDescent="1.3">
      <c r="A59" s="1063"/>
      <c r="B59" s="502" t="s">
        <v>181</v>
      </c>
      <c r="C59" s="1052" t="s">
        <v>128</v>
      </c>
      <c r="D59" s="1052"/>
      <c r="E59" s="512">
        <v>15.047749999999997</v>
      </c>
      <c r="F59" s="512">
        <v>15.047749999999997</v>
      </c>
      <c r="G59" s="512">
        <v>15.047749999999997</v>
      </c>
      <c r="H59" s="512">
        <v>15.047749999999997</v>
      </c>
      <c r="I59" s="512">
        <v>15.047749999999997</v>
      </c>
      <c r="J59" s="512">
        <v>15.047749999999997</v>
      </c>
      <c r="K59" s="512">
        <v>15.047749999999997</v>
      </c>
      <c r="L59" s="512">
        <v>15.047749999999997</v>
      </c>
      <c r="M59" s="512">
        <v>15.047749999999997</v>
      </c>
      <c r="N59" s="512">
        <v>15.047749999999997</v>
      </c>
      <c r="O59" s="512">
        <v>15.047749999999997</v>
      </c>
      <c r="P59" s="512">
        <v>15.047749999999997</v>
      </c>
      <c r="Q59" s="512">
        <v>15.047749999999997</v>
      </c>
      <c r="R59" s="512">
        <v>15.047749999999997</v>
      </c>
      <c r="S59" s="512">
        <v>15.047749999999997</v>
      </c>
      <c r="T59" s="512">
        <v>15.047749999999997</v>
      </c>
      <c r="U59" s="512">
        <v>15.047749999999997</v>
      </c>
      <c r="V59" s="512">
        <v>15.047749999999997</v>
      </c>
      <c r="W59" s="512">
        <v>15.047749999999997</v>
      </c>
      <c r="X59" s="512">
        <v>15.047749999999997</v>
      </c>
      <c r="Y59" s="512">
        <v>15.047749999999997</v>
      </c>
      <c r="Z59" s="512">
        <v>15.047749999999997</v>
      </c>
      <c r="AA59" s="512">
        <v>15.047749999999997</v>
      </c>
      <c r="AB59" s="512">
        <v>15.047749999999997</v>
      </c>
      <c r="AC59" s="512">
        <v>15.047749999999997</v>
      </c>
      <c r="AD59" s="512">
        <v>15.047749999999997</v>
      </c>
      <c r="AE59" s="512">
        <v>15.047749999999997</v>
      </c>
      <c r="AF59" s="512">
        <v>15.047749999999997</v>
      </c>
      <c r="AG59" s="512">
        <v>15.047749999999997</v>
      </c>
      <c r="AH59" s="512">
        <v>15.047749999999997</v>
      </c>
      <c r="AI59" s="512">
        <v>15.047749999999997</v>
      </c>
      <c r="AJ59" s="512">
        <v>15.047749999999997</v>
      </c>
      <c r="AK59" s="512">
        <v>15.047749999999997</v>
      </c>
      <c r="AL59" s="512">
        <v>15.047749999999997</v>
      </c>
      <c r="AM59" s="512">
        <v>15.047749999999997</v>
      </c>
      <c r="AN59" s="512">
        <v>15.047749999999997</v>
      </c>
      <c r="AO59" s="512">
        <v>15.047749999999997</v>
      </c>
      <c r="AP59" s="512">
        <v>15.047749999999997</v>
      </c>
      <c r="AQ59" s="512">
        <v>15.047749999999997</v>
      </c>
      <c r="AR59" s="512">
        <v>15.047749999999997</v>
      </c>
      <c r="AS59" s="512">
        <v>15.047749999999997</v>
      </c>
      <c r="AT59" s="512">
        <v>15.047749999999997</v>
      </c>
      <c r="AU59" s="512">
        <v>15.047749999999997</v>
      </c>
      <c r="AV59" s="512">
        <v>15.047749999999997</v>
      </c>
      <c r="AW59" s="512">
        <v>15.047749999999997</v>
      </c>
      <c r="AX59" s="512">
        <v>15.047749999999997</v>
      </c>
      <c r="AY59" s="512">
        <v>15.047749999999997</v>
      </c>
      <c r="AZ59" s="512">
        <v>15.047749999999997</v>
      </c>
      <c r="BA59" s="512">
        <v>15.047749999999997</v>
      </c>
      <c r="BB59" s="512">
        <v>15.047749999999997</v>
      </c>
      <c r="BC59" s="512">
        <v>15.047749999999997</v>
      </c>
      <c r="BD59" s="512">
        <v>15.047749999999997</v>
      </c>
      <c r="BE59" s="512">
        <v>15.047749999999997</v>
      </c>
      <c r="BF59" s="512">
        <v>15.047749999999997</v>
      </c>
      <c r="BG59" s="495">
        <f t="shared" si="8"/>
        <v>812.57849999999917</v>
      </c>
      <c r="BH59" s="1056"/>
      <c r="BI59" s="496">
        <f t="shared" si="1"/>
        <v>53.999999999999957</v>
      </c>
    </row>
    <row r="60" spans="1:65" ht="199.9" customHeight="1" thickTop="1" thickBot="1" x14ac:dyDescent="1.3">
      <c r="A60" s="1063"/>
      <c r="B60" s="502" t="s">
        <v>182</v>
      </c>
      <c r="C60" s="1052" t="s">
        <v>128</v>
      </c>
      <c r="D60" s="1052"/>
      <c r="E60" s="512">
        <v>16.479749999999999</v>
      </c>
      <c r="F60" s="512">
        <v>16.479749999999999</v>
      </c>
      <c r="G60" s="512">
        <v>16.479749999999999</v>
      </c>
      <c r="H60" s="512">
        <v>16.479749999999999</v>
      </c>
      <c r="I60" s="512">
        <v>16.479749999999999</v>
      </c>
      <c r="J60" s="512">
        <v>16.479749999999999</v>
      </c>
      <c r="K60" s="512">
        <v>16.479749999999999</v>
      </c>
      <c r="L60" s="512">
        <v>16.479749999999999</v>
      </c>
      <c r="M60" s="512">
        <v>16.479749999999999</v>
      </c>
      <c r="N60" s="512">
        <v>16.479749999999999</v>
      </c>
      <c r="O60" s="512">
        <v>16.479749999999999</v>
      </c>
      <c r="P60" s="512">
        <v>16.479749999999999</v>
      </c>
      <c r="Q60" s="512">
        <v>16.479749999999999</v>
      </c>
      <c r="R60" s="512">
        <v>16.479749999999999</v>
      </c>
      <c r="S60" s="512">
        <v>16.479749999999999</v>
      </c>
      <c r="T60" s="512">
        <v>16.479749999999999</v>
      </c>
      <c r="U60" s="512">
        <v>16.479749999999999</v>
      </c>
      <c r="V60" s="512">
        <v>16.479749999999999</v>
      </c>
      <c r="W60" s="512">
        <v>16.479749999999999</v>
      </c>
      <c r="X60" s="512">
        <v>16.479749999999999</v>
      </c>
      <c r="Y60" s="512">
        <v>16.479749999999999</v>
      </c>
      <c r="Z60" s="512">
        <v>16.479749999999999</v>
      </c>
      <c r="AA60" s="512">
        <v>16.479749999999999</v>
      </c>
      <c r="AB60" s="512">
        <v>16.479749999999999</v>
      </c>
      <c r="AC60" s="512">
        <v>16.479749999999999</v>
      </c>
      <c r="AD60" s="512">
        <v>16.479749999999999</v>
      </c>
      <c r="AE60" s="512">
        <v>16.479749999999999</v>
      </c>
      <c r="AF60" s="512">
        <v>16.479749999999999</v>
      </c>
      <c r="AG60" s="512">
        <v>16.479749999999999</v>
      </c>
      <c r="AH60" s="512">
        <v>16.479749999999999</v>
      </c>
      <c r="AI60" s="512">
        <v>16.479749999999999</v>
      </c>
      <c r="AJ60" s="512">
        <v>16.479749999999999</v>
      </c>
      <c r="AK60" s="512">
        <v>16.479749999999999</v>
      </c>
      <c r="AL60" s="512">
        <v>16.479749999999999</v>
      </c>
      <c r="AM60" s="512">
        <v>16.479749999999999</v>
      </c>
      <c r="AN60" s="512">
        <v>16.479749999999999</v>
      </c>
      <c r="AO60" s="512">
        <v>16.479749999999999</v>
      </c>
      <c r="AP60" s="512">
        <v>16.479749999999999</v>
      </c>
      <c r="AQ60" s="512">
        <v>16.479749999999999</v>
      </c>
      <c r="AR60" s="512">
        <v>16.479749999999999</v>
      </c>
      <c r="AS60" s="512">
        <v>16.479749999999999</v>
      </c>
      <c r="AT60" s="512">
        <v>16.479749999999999</v>
      </c>
      <c r="AU60" s="512">
        <v>16.479749999999999</v>
      </c>
      <c r="AV60" s="512">
        <v>16.479749999999999</v>
      </c>
      <c r="AW60" s="512">
        <v>16.479749999999999</v>
      </c>
      <c r="AX60" s="512">
        <v>16.479749999999999</v>
      </c>
      <c r="AY60" s="512">
        <v>16.479749999999999</v>
      </c>
      <c r="AZ60" s="512">
        <v>16.479749999999999</v>
      </c>
      <c r="BA60" s="512">
        <v>16.479749999999999</v>
      </c>
      <c r="BB60" s="512">
        <v>16.479749999999999</v>
      </c>
      <c r="BC60" s="512">
        <v>16.479749999999999</v>
      </c>
      <c r="BD60" s="512">
        <v>16.479749999999999</v>
      </c>
      <c r="BE60" s="512">
        <v>16.479749999999999</v>
      </c>
      <c r="BF60" s="512">
        <v>16.479749999999999</v>
      </c>
      <c r="BG60" s="495">
        <f t="shared" si="8"/>
        <v>889.9064999999996</v>
      </c>
      <c r="BH60" s="1056"/>
      <c r="BI60" s="496">
        <f t="shared" si="1"/>
        <v>53.999999999999979</v>
      </c>
    </row>
    <row r="61" spans="1:65" s="511" customFormat="1" ht="199.9" customHeight="1" thickTop="1" thickBot="1" x14ac:dyDescent="1.3">
      <c r="A61" s="1063" t="s">
        <v>184</v>
      </c>
      <c r="B61" s="499" t="s">
        <v>185</v>
      </c>
      <c r="C61" s="1053" t="s">
        <v>127</v>
      </c>
      <c r="D61" s="1053"/>
      <c r="E61" s="508">
        <v>1700</v>
      </c>
      <c r="F61" s="508">
        <v>1700</v>
      </c>
      <c r="G61" s="508">
        <v>1700</v>
      </c>
      <c r="H61" s="514">
        <v>1700</v>
      </c>
      <c r="I61" s="508">
        <v>1700</v>
      </c>
      <c r="J61" s="508">
        <v>1700</v>
      </c>
      <c r="K61" s="508">
        <v>1700</v>
      </c>
      <c r="L61" s="508">
        <v>1700</v>
      </c>
      <c r="M61" s="508">
        <v>1700</v>
      </c>
      <c r="N61" s="508">
        <v>1700</v>
      </c>
      <c r="O61" s="508">
        <v>1700</v>
      </c>
      <c r="P61" s="508">
        <v>1700</v>
      </c>
      <c r="Q61" s="508">
        <v>1700</v>
      </c>
      <c r="R61" s="508">
        <v>1700</v>
      </c>
      <c r="S61" s="508">
        <v>1700</v>
      </c>
      <c r="T61" s="508">
        <v>1700</v>
      </c>
      <c r="U61" s="508">
        <v>1700</v>
      </c>
      <c r="V61" s="508">
        <v>1700</v>
      </c>
      <c r="W61" s="508">
        <v>1700</v>
      </c>
      <c r="X61" s="508">
        <v>1700</v>
      </c>
      <c r="Y61" s="508">
        <v>1700</v>
      </c>
      <c r="Z61" s="508">
        <v>1700</v>
      </c>
      <c r="AA61" s="508">
        <v>1700</v>
      </c>
      <c r="AB61" s="508">
        <v>1700</v>
      </c>
      <c r="AC61" s="508">
        <v>1700</v>
      </c>
      <c r="AD61" s="508">
        <v>1700</v>
      </c>
      <c r="AE61" s="508">
        <v>1700</v>
      </c>
      <c r="AF61" s="508">
        <v>1700</v>
      </c>
      <c r="AG61" s="508">
        <v>1700</v>
      </c>
      <c r="AH61" s="508">
        <v>1700</v>
      </c>
      <c r="AI61" s="508">
        <v>1700</v>
      </c>
      <c r="AJ61" s="508">
        <v>1700</v>
      </c>
      <c r="AK61" s="508">
        <v>1700</v>
      </c>
      <c r="AL61" s="508">
        <v>1700</v>
      </c>
      <c r="AM61" s="508">
        <v>1700</v>
      </c>
      <c r="AN61" s="508">
        <v>1700</v>
      </c>
      <c r="AO61" s="508">
        <v>1700</v>
      </c>
      <c r="AP61" s="508">
        <v>1700</v>
      </c>
      <c r="AQ61" s="508">
        <v>1700</v>
      </c>
      <c r="AR61" s="508">
        <v>1700</v>
      </c>
      <c r="AS61" s="508">
        <v>1700</v>
      </c>
      <c r="AT61" s="508">
        <v>1700</v>
      </c>
      <c r="AU61" s="508">
        <v>1700</v>
      </c>
      <c r="AV61" s="508">
        <v>1700</v>
      </c>
      <c r="AW61" s="508">
        <v>1700</v>
      </c>
      <c r="AX61" s="508">
        <v>1700</v>
      </c>
      <c r="AY61" s="508">
        <v>1700</v>
      </c>
      <c r="AZ61" s="508">
        <v>1700</v>
      </c>
      <c r="BA61" s="508">
        <v>1700</v>
      </c>
      <c r="BB61" s="508">
        <v>1700</v>
      </c>
      <c r="BC61" s="508">
        <v>1700</v>
      </c>
      <c r="BD61" s="508">
        <v>1700</v>
      </c>
      <c r="BE61" s="508">
        <v>1700</v>
      </c>
      <c r="BF61" s="508">
        <v>1700</v>
      </c>
      <c r="BG61" s="490">
        <f t="shared" si="8"/>
        <v>91800</v>
      </c>
      <c r="BH61" s="1056">
        <f>SUM(BG62:BG68)</f>
        <v>90234.215999999971</v>
      </c>
      <c r="BI61" s="491">
        <f t="shared" si="1"/>
        <v>54</v>
      </c>
    </row>
    <row r="62" spans="1:65" ht="199.9" customHeight="1" thickTop="1" thickBot="1" x14ac:dyDescent="1.3">
      <c r="A62" s="1063"/>
      <c r="B62" s="502" t="s">
        <v>186</v>
      </c>
      <c r="C62" s="1052" t="s">
        <v>128</v>
      </c>
      <c r="D62" s="1052"/>
      <c r="E62" s="512">
        <v>267.47900000000004</v>
      </c>
      <c r="F62" s="512">
        <v>267.47900000000004</v>
      </c>
      <c r="G62" s="512">
        <v>267.47900000000004</v>
      </c>
      <c r="H62" s="512">
        <v>267.47900000000004</v>
      </c>
      <c r="I62" s="512">
        <v>267.47900000000004</v>
      </c>
      <c r="J62" s="512">
        <v>267.47900000000004</v>
      </c>
      <c r="K62" s="512">
        <v>267.47900000000004</v>
      </c>
      <c r="L62" s="512">
        <v>267.47900000000004</v>
      </c>
      <c r="M62" s="512">
        <v>267.47900000000004</v>
      </c>
      <c r="N62" s="512">
        <v>267.47900000000004</v>
      </c>
      <c r="O62" s="512">
        <v>267.47900000000004</v>
      </c>
      <c r="P62" s="512">
        <v>267.47900000000004</v>
      </c>
      <c r="Q62" s="512">
        <v>267.47900000000004</v>
      </c>
      <c r="R62" s="512">
        <v>267.47900000000004</v>
      </c>
      <c r="S62" s="512">
        <v>267.47900000000004</v>
      </c>
      <c r="T62" s="512">
        <v>267.47900000000004</v>
      </c>
      <c r="U62" s="512">
        <v>267.47900000000004</v>
      </c>
      <c r="V62" s="512">
        <v>267.47900000000004</v>
      </c>
      <c r="W62" s="512">
        <v>267.47900000000004</v>
      </c>
      <c r="X62" s="512">
        <v>267.47900000000004</v>
      </c>
      <c r="Y62" s="512">
        <v>267.47900000000004</v>
      </c>
      <c r="Z62" s="512">
        <v>267.47900000000004</v>
      </c>
      <c r="AA62" s="512">
        <v>267.47900000000004</v>
      </c>
      <c r="AB62" s="512">
        <v>267.47900000000004</v>
      </c>
      <c r="AC62" s="512">
        <v>267.47900000000004</v>
      </c>
      <c r="AD62" s="512">
        <v>267.47900000000004</v>
      </c>
      <c r="AE62" s="512">
        <v>267.47900000000004</v>
      </c>
      <c r="AF62" s="512">
        <v>267.47900000000004</v>
      </c>
      <c r="AG62" s="512">
        <v>267.47900000000004</v>
      </c>
      <c r="AH62" s="512">
        <v>267.47900000000004</v>
      </c>
      <c r="AI62" s="512">
        <v>267.47900000000004</v>
      </c>
      <c r="AJ62" s="512">
        <v>267.47900000000004</v>
      </c>
      <c r="AK62" s="512">
        <v>267.47900000000004</v>
      </c>
      <c r="AL62" s="512">
        <v>267.47900000000004</v>
      </c>
      <c r="AM62" s="512">
        <v>267.47900000000004</v>
      </c>
      <c r="AN62" s="512">
        <v>267.47900000000004</v>
      </c>
      <c r="AO62" s="512">
        <v>267.47900000000004</v>
      </c>
      <c r="AP62" s="512">
        <v>267.47900000000004</v>
      </c>
      <c r="AQ62" s="512">
        <v>267.47900000000004</v>
      </c>
      <c r="AR62" s="512">
        <v>267.47900000000004</v>
      </c>
      <c r="AS62" s="512">
        <v>267.47900000000004</v>
      </c>
      <c r="AT62" s="512">
        <v>267.47900000000004</v>
      </c>
      <c r="AU62" s="512">
        <v>267.47900000000004</v>
      </c>
      <c r="AV62" s="512">
        <v>267.47900000000004</v>
      </c>
      <c r="AW62" s="512">
        <v>267.47900000000004</v>
      </c>
      <c r="AX62" s="512">
        <v>267.47900000000004</v>
      </c>
      <c r="AY62" s="512">
        <v>267.47900000000004</v>
      </c>
      <c r="AZ62" s="512">
        <v>267.47900000000004</v>
      </c>
      <c r="BA62" s="512">
        <v>267.47900000000004</v>
      </c>
      <c r="BB62" s="512">
        <v>267.47900000000004</v>
      </c>
      <c r="BC62" s="512">
        <v>267.47900000000004</v>
      </c>
      <c r="BD62" s="512">
        <v>267.47900000000004</v>
      </c>
      <c r="BE62" s="512">
        <v>267.47900000000004</v>
      </c>
      <c r="BF62" s="512">
        <v>267.47900000000004</v>
      </c>
      <c r="BG62" s="495">
        <f t="shared" si="8"/>
        <v>14443.865999999991</v>
      </c>
      <c r="BH62" s="1056"/>
      <c r="BI62" s="496">
        <f t="shared" si="1"/>
        <v>53.999999999999957</v>
      </c>
    </row>
    <row r="63" spans="1:65" ht="199.9" customHeight="1" thickTop="1" thickBot="1" x14ac:dyDescent="1.3">
      <c r="A63" s="1063"/>
      <c r="B63" s="502" t="s">
        <v>187</v>
      </c>
      <c r="C63" s="1052" t="s">
        <v>128</v>
      </c>
      <c r="D63" s="1052"/>
      <c r="E63" s="512">
        <v>278.7410000000001</v>
      </c>
      <c r="F63" s="512">
        <v>278.7410000000001</v>
      </c>
      <c r="G63" s="512">
        <v>278.7410000000001</v>
      </c>
      <c r="H63" s="512">
        <v>278.7410000000001</v>
      </c>
      <c r="I63" s="512">
        <v>278.7410000000001</v>
      </c>
      <c r="J63" s="512">
        <v>278.7410000000001</v>
      </c>
      <c r="K63" s="512">
        <v>278.7410000000001</v>
      </c>
      <c r="L63" s="512">
        <v>278.7410000000001</v>
      </c>
      <c r="M63" s="512">
        <v>278.7410000000001</v>
      </c>
      <c r="N63" s="512">
        <v>278.7410000000001</v>
      </c>
      <c r="O63" s="512">
        <v>278.7410000000001</v>
      </c>
      <c r="P63" s="512">
        <v>278.7410000000001</v>
      </c>
      <c r="Q63" s="512">
        <v>278.7410000000001</v>
      </c>
      <c r="R63" s="512">
        <v>278.7410000000001</v>
      </c>
      <c r="S63" s="512">
        <v>278.7410000000001</v>
      </c>
      <c r="T63" s="512">
        <v>278.7410000000001</v>
      </c>
      <c r="U63" s="512">
        <v>278.7410000000001</v>
      </c>
      <c r="V63" s="512">
        <v>278.7410000000001</v>
      </c>
      <c r="W63" s="512">
        <v>278.7410000000001</v>
      </c>
      <c r="X63" s="512">
        <v>278.7410000000001</v>
      </c>
      <c r="Y63" s="512">
        <v>278.7410000000001</v>
      </c>
      <c r="Z63" s="512">
        <v>278.7410000000001</v>
      </c>
      <c r="AA63" s="512">
        <v>278.7410000000001</v>
      </c>
      <c r="AB63" s="512">
        <v>278.7410000000001</v>
      </c>
      <c r="AC63" s="512">
        <v>278.7410000000001</v>
      </c>
      <c r="AD63" s="512">
        <v>278.7410000000001</v>
      </c>
      <c r="AE63" s="512">
        <v>278.7410000000001</v>
      </c>
      <c r="AF63" s="512">
        <v>278.7410000000001</v>
      </c>
      <c r="AG63" s="512">
        <v>278.7410000000001</v>
      </c>
      <c r="AH63" s="512">
        <v>278.7410000000001</v>
      </c>
      <c r="AI63" s="512">
        <v>278.7410000000001</v>
      </c>
      <c r="AJ63" s="512">
        <v>278.7410000000001</v>
      </c>
      <c r="AK63" s="512">
        <v>278.7410000000001</v>
      </c>
      <c r="AL63" s="512">
        <v>278.7410000000001</v>
      </c>
      <c r="AM63" s="512">
        <v>278.7410000000001</v>
      </c>
      <c r="AN63" s="512">
        <v>278.7410000000001</v>
      </c>
      <c r="AO63" s="512">
        <v>278.7410000000001</v>
      </c>
      <c r="AP63" s="512">
        <v>278.7410000000001</v>
      </c>
      <c r="AQ63" s="512">
        <v>278.7410000000001</v>
      </c>
      <c r="AR63" s="512">
        <v>278.7410000000001</v>
      </c>
      <c r="AS63" s="512">
        <v>278.7410000000001</v>
      </c>
      <c r="AT63" s="512">
        <v>278.7410000000001</v>
      </c>
      <c r="AU63" s="512">
        <v>278.7410000000001</v>
      </c>
      <c r="AV63" s="512">
        <v>278.7410000000001</v>
      </c>
      <c r="AW63" s="512">
        <v>278.7410000000001</v>
      </c>
      <c r="AX63" s="512">
        <v>278.7410000000001</v>
      </c>
      <c r="AY63" s="512">
        <v>278.7410000000001</v>
      </c>
      <c r="AZ63" s="512">
        <v>278.7410000000001</v>
      </c>
      <c r="BA63" s="512">
        <v>278.7410000000001</v>
      </c>
      <c r="BB63" s="512">
        <v>278.7410000000001</v>
      </c>
      <c r="BC63" s="512">
        <v>278.7410000000001</v>
      </c>
      <c r="BD63" s="512">
        <v>278.7410000000001</v>
      </c>
      <c r="BE63" s="512">
        <v>278.7410000000001</v>
      </c>
      <c r="BF63" s="512">
        <v>278.7410000000001</v>
      </c>
      <c r="BG63" s="495">
        <f t="shared" si="8"/>
        <v>15052.014000000001</v>
      </c>
      <c r="BH63" s="1056"/>
      <c r="BI63" s="496">
        <f t="shared" ref="BI63:BI120" si="9">BG63/BF63</f>
        <v>53.999999999999986</v>
      </c>
    </row>
    <row r="64" spans="1:65" ht="199.9" customHeight="1" thickTop="1" thickBot="1" x14ac:dyDescent="1.3">
      <c r="A64" s="1063"/>
      <c r="B64" s="502" t="s">
        <v>188</v>
      </c>
      <c r="C64" s="1052" t="s">
        <v>128</v>
      </c>
      <c r="D64" s="1052"/>
      <c r="E64" s="512">
        <v>276.00200000000001</v>
      </c>
      <c r="F64" s="512">
        <v>276.00200000000001</v>
      </c>
      <c r="G64" s="512">
        <v>276.00200000000001</v>
      </c>
      <c r="H64" s="512">
        <v>276.00200000000001</v>
      </c>
      <c r="I64" s="512">
        <v>276.00200000000001</v>
      </c>
      <c r="J64" s="512">
        <v>276.00200000000001</v>
      </c>
      <c r="K64" s="512">
        <v>276.00200000000001</v>
      </c>
      <c r="L64" s="512">
        <v>276.00200000000001</v>
      </c>
      <c r="M64" s="512">
        <v>276.00200000000001</v>
      </c>
      <c r="N64" s="512">
        <v>276.00200000000001</v>
      </c>
      <c r="O64" s="512">
        <v>276.00200000000001</v>
      </c>
      <c r="P64" s="512">
        <v>276.00200000000001</v>
      </c>
      <c r="Q64" s="512">
        <v>276.00200000000001</v>
      </c>
      <c r="R64" s="512">
        <v>276.00200000000001</v>
      </c>
      <c r="S64" s="512">
        <v>276.00200000000001</v>
      </c>
      <c r="T64" s="512">
        <v>276.00200000000001</v>
      </c>
      <c r="U64" s="512">
        <v>276.00200000000001</v>
      </c>
      <c r="V64" s="512">
        <v>276.00200000000001</v>
      </c>
      <c r="W64" s="512">
        <v>276.00200000000001</v>
      </c>
      <c r="X64" s="512">
        <v>276.00200000000001</v>
      </c>
      <c r="Y64" s="512">
        <v>276.00200000000001</v>
      </c>
      <c r="Z64" s="512">
        <v>276.00200000000001</v>
      </c>
      <c r="AA64" s="512">
        <v>276.00200000000001</v>
      </c>
      <c r="AB64" s="512">
        <v>276.00200000000001</v>
      </c>
      <c r="AC64" s="512">
        <v>276.00200000000001</v>
      </c>
      <c r="AD64" s="512">
        <v>276.00200000000001</v>
      </c>
      <c r="AE64" s="512">
        <v>276.00200000000001</v>
      </c>
      <c r="AF64" s="512">
        <v>276.00200000000001</v>
      </c>
      <c r="AG64" s="512">
        <v>276.00200000000001</v>
      </c>
      <c r="AH64" s="512">
        <v>276.00200000000001</v>
      </c>
      <c r="AI64" s="512">
        <v>276.00200000000001</v>
      </c>
      <c r="AJ64" s="512">
        <v>276.00200000000001</v>
      </c>
      <c r="AK64" s="512">
        <v>276.00200000000001</v>
      </c>
      <c r="AL64" s="512">
        <v>276.00200000000001</v>
      </c>
      <c r="AM64" s="512">
        <v>276.00200000000001</v>
      </c>
      <c r="AN64" s="512">
        <v>276.00200000000001</v>
      </c>
      <c r="AO64" s="512">
        <v>276.00200000000001</v>
      </c>
      <c r="AP64" s="512">
        <v>276.00200000000001</v>
      </c>
      <c r="AQ64" s="512">
        <v>276.00200000000001</v>
      </c>
      <c r="AR64" s="512">
        <v>276.00200000000001</v>
      </c>
      <c r="AS64" s="512">
        <v>276.00200000000001</v>
      </c>
      <c r="AT64" s="512">
        <v>276.00200000000001</v>
      </c>
      <c r="AU64" s="512">
        <v>276.00200000000001</v>
      </c>
      <c r="AV64" s="512">
        <v>276.00200000000001</v>
      </c>
      <c r="AW64" s="512">
        <v>276.00200000000001</v>
      </c>
      <c r="AX64" s="512">
        <v>276.00200000000001</v>
      </c>
      <c r="AY64" s="512">
        <v>276.00200000000001</v>
      </c>
      <c r="AZ64" s="512">
        <v>276.00200000000001</v>
      </c>
      <c r="BA64" s="512">
        <v>276.00200000000001</v>
      </c>
      <c r="BB64" s="512">
        <v>276.00200000000001</v>
      </c>
      <c r="BC64" s="512">
        <v>276.00200000000001</v>
      </c>
      <c r="BD64" s="512">
        <v>276.00200000000001</v>
      </c>
      <c r="BE64" s="512">
        <v>276.00200000000001</v>
      </c>
      <c r="BF64" s="512">
        <v>276.00200000000001</v>
      </c>
      <c r="BG64" s="495">
        <f t="shared" si="8"/>
        <v>14904.108000000015</v>
      </c>
      <c r="BH64" s="1056"/>
      <c r="BI64" s="496">
        <f t="shared" si="9"/>
        <v>54.00000000000005</v>
      </c>
    </row>
    <row r="65" spans="1:61" ht="199.9" customHeight="1" thickTop="1" thickBot="1" x14ac:dyDescent="1.3">
      <c r="A65" s="1063"/>
      <c r="B65" s="502" t="s">
        <v>189</v>
      </c>
      <c r="C65" s="1052" t="s">
        <v>128</v>
      </c>
      <c r="D65" s="1052"/>
      <c r="E65" s="512">
        <v>282.04200000000003</v>
      </c>
      <c r="F65" s="512">
        <v>282.04200000000003</v>
      </c>
      <c r="G65" s="512">
        <v>282.04200000000003</v>
      </c>
      <c r="H65" s="512">
        <v>282.04200000000003</v>
      </c>
      <c r="I65" s="512">
        <v>282.04200000000003</v>
      </c>
      <c r="J65" s="512">
        <v>282.04200000000003</v>
      </c>
      <c r="K65" s="512">
        <v>282.04200000000003</v>
      </c>
      <c r="L65" s="512">
        <v>282.04200000000003</v>
      </c>
      <c r="M65" s="512">
        <v>282.04200000000003</v>
      </c>
      <c r="N65" s="512">
        <v>282.04200000000003</v>
      </c>
      <c r="O65" s="512">
        <v>282.04200000000003</v>
      </c>
      <c r="P65" s="512">
        <v>282.04200000000003</v>
      </c>
      <c r="Q65" s="512">
        <v>282.04200000000003</v>
      </c>
      <c r="R65" s="512">
        <v>282.04200000000003</v>
      </c>
      <c r="S65" s="512">
        <v>282.04200000000003</v>
      </c>
      <c r="T65" s="512">
        <v>282.04200000000003</v>
      </c>
      <c r="U65" s="512">
        <v>282.04200000000003</v>
      </c>
      <c r="V65" s="512">
        <v>282.04200000000003</v>
      </c>
      <c r="W65" s="512">
        <v>282.04200000000003</v>
      </c>
      <c r="X65" s="512">
        <v>282.04200000000003</v>
      </c>
      <c r="Y65" s="512">
        <v>282.04200000000003</v>
      </c>
      <c r="Z65" s="512">
        <v>282.04200000000003</v>
      </c>
      <c r="AA65" s="512">
        <v>282.04200000000003</v>
      </c>
      <c r="AB65" s="512">
        <v>282.04200000000003</v>
      </c>
      <c r="AC65" s="512">
        <v>282.04200000000003</v>
      </c>
      <c r="AD65" s="512">
        <v>282.04200000000003</v>
      </c>
      <c r="AE65" s="512">
        <v>282.04200000000003</v>
      </c>
      <c r="AF65" s="512">
        <v>282.04200000000003</v>
      </c>
      <c r="AG65" s="512">
        <v>282.04200000000003</v>
      </c>
      <c r="AH65" s="512">
        <v>282.04200000000003</v>
      </c>
      <c r="AI65" s="512">
        <v>282.04200000000003</v>
      </c>
      <c r="AJ65" s="512">
        <v>282.04200000000003</v>
      </c>
      <c r="AK65" s="512">
        <v>282.04200000000003</v>
      </c>
      <c r="AL65" s="512">
        <v>282.04200000000003</v>
      </c>
      <c r="AM65" s="512">
        <v>282.04200000000003</v>
      </c>
      <c r="AN65" s="512">
        <v>282.04200000000003</v>
      </c>
      <c r="AO65" s="512">
        <v>282.04200000000003</v>
      </c>
      <c r="AP65" s="512">
        <v>282.04200000000003</v>
      </c>
      <c r="AQ65" s="512">
        <v>282.04200000000003</v>
      </c>
      <c r="AR65" s="512">
        <v>282.04200000000003</v>
      </c>
      <c r="AS65" s="512">
        <v>282.04200000000003</v>
      </c>
      <c r="AT65" s="512">
        <v>282.04200000000003</v>
      </c>
      <c r="AU65" s="512">
        <v>282.04200000000003</v>
      </c>
      <c r="AV65" s="512">
        <v>282.04200000000003</v>
      </c>
      <c r="AW65" s="512">
        <v>282.04200000000003</v>
      </c>
      <c r="AX65" s="512">
        <v>282.04200000000003</v>
      </c>
      <c r="AY65" s="512">
        <v>282.04200000000003</v>
      </c>
      <c r="AZ65" s="512">
        <v>282.04200000000003</v>
      </c>
      <c r="BA65" s="512">
        <v>282.04200000000003</v>
      </c>
      <c r="BB65" s="512">
        <v>282.04200000000003</v>
      </c>
      <c r="BC65" s="512">
        <v>282.04200000000003</v>
      </c>
      <c r="BD65" s="512">
        <v>282.04200000000003</v>
      </c>
      <c r="BE65" s="512">
        <v>282.04200000000003</v>
      </c>
      <c r="BF65" s="512">
        <v>282.04200000000003</v>
      </c>
      <c r="BG65" s="495">
        <f t="shared" si="8"/>
        <v>15230.267999999991</v>
      </c>
      <c r="BH65" s="1056"/>
      <c r="BI65" s="496">
        <f t="shared" si="9"/>
        <v>53.999999999999964</v>
      </c>
    </row>
    <row r="66" spans="1:61" ht="199.9" customHeight="1" thickTop="1" thickBot="1" x14ac:dyDescent="1.3">
      <c r="A66" s="1063"/>
      <c r="B66" s="502" t="s">
        <v>190</v>
      </c>
      <c r="C66" s="1052" t="s">
        <v>128</v>
      </c>
      <c r="D66" s="1052"/>
      <c r="E66" s="512">
        <v>282.04200000000003</v>
      </c>
      <c r="F66" s="512">
        <v>282.04200000000003</v>
      </c>
      <c r="G66" s="512">
        <v>282.04200000000003</v>
      </c>
      <c r="H66" s="512">
        <v>282.04200000000003</v>
      </c>
      <c r="I66" s="512">
        <v>282.04200000000003</v>
      </c>
      <c r="J66" s="512">
        <v>282.04200000000003</v>
      </c>
      <c r="K66" s="512">
        <v>282.04200000000003</v>
      </c>
      <c r="L66" s="512">
        <v>282.04200000000003</v>
      </c>
      <c r="M66" s="512">
        <v>282.04200000000003</v>
      </c>
      <c r="N66" s="512">
        <v>282.04200000000003</v>
      </c>
      <c r="O66" s="512">
        <v>282.04200000000003</v>
      </c>
      <c r="P66" s="512">
        <v>282.04200000000003</v>
      </c>
      <c r="Q66" s="512">
        <v>282.04200000000003</v>
      </c>
      <c r="R66" s="512">
        <v>282.04200000000003</v>
      </c>
      <c r="S66" s="512">
        <v>282.04200000000003</v>
      </c>
      <c r="T66" s="512">
        <v>282.04200000000003</v>
      </c>
      <c r="U66" s="512">
        <v>282.04200000000003</v>
      </c>
      <c r="V66" s="512">
        <v>282.04200000000003</v>
      </c>
      <c r="W66" s="512">
        <v>282.04200000000003</v>
      </c>
      <c r="X66" s="512">
        <v>282.04200000000003</v>
      </c>
      <c r="Y66" s="512">
        <v>282.04200000000003</v>
      </c>
      <c r="Z66" s="512">
        <v>282.04200000000003</v>
      </c>
      <c r="AA66" s="512">
        <v>282.04200000000003</v>
      </c>
      <c r="AB66" s="512">
        <v>282.04200000000003</v>
      </c>
      <c r="AC66" s="512">
        <v>282.04200000000003</v>
      </c>
      <c r="AD66" s="512">
        <v>282.04200000000003</v>
      </c>
      <c r="AE66" s="512">
        <v>282.04200000000003</v>
      </c>
      <c r="AF66" s="512">
        <v>282.04200000000003</v>
      </c>
      <c r="AG66" s="512">
        <v>282.04200000000003</v>
      </c>
      <c r="AH66" s="512">
        <v>282.04200000000003</v>
      </c>
      <c r="AI66" s="512">
        <v>282.04200000000003</v>
      </c>
      <c r="AJ66" s="512">
        <v>282.04200000000003</v>
      </c>
      <c r="AK66" s="512">
        <v>282.04200000000003</v>
      </c>
      <c r="AL66" s="512">
        <v>282.04200000000003</v>
      </c>
      <c r="AM66" s="512">
        <v>282.04200000000003</v>
      </c>
      <c r="AN66" s="512">
        <v>282.04200000000003</v>
      </c>
      <c r="AO66" s="512">
        <v>282.04200000000003</v>
      </c>
      <c r="AP66" s="512">
        <v>282.04200000000003</v>
      </c>
      <c r="AQ66" s="512">
        <v>282.04200000000003</v>
      </c>
      <c r="AR66" s="512">
        <v>282.04200000000003</v>
      </c>
      <c r="AS66" s="512">
        <v>282.04200000000003</v>
      </c>
      <c r="AT66" s="512">
        <v>282.04200000000003</v>
      </c>
      <c r="AU66" s="512">
        <v>282.04200000000003</v>
      </c>
      <c r="AV66" s="512">
        <v>282.04200000000003</v>
      </c>
      <c r="AW66" s="512">
        <v>282.04200000000003</v>
      </c>
      <c r="AX66" s="512">
        <v>282.04200000000003</v>
      </c>
      <c r="AY66" s="512">
        <v>282.04200000000003</v>
      </c>
      <c r="AZ66" s="512">
        <v>282.04200000000003</v>
      </c>
      <c r="BA66" s="512">
        <v>282.04200000000003</v>
      </c>
      <c r="BB66" s="512">
        <v>282.04200000000003</v>
      </c>
      <c r="BC66" s="512">
        <v>282.04200000000003</v>
      </c>
      <c r="BD66" s="512">
        <v>282.04200000000003</v>
      </c>
      <c r="BE66" s="512">
        <v>282.04200000000003</v>
      </c>
      <c r="BF66" s="512">
        <v>282.04200000000003</v>
      </c>
      <c r="BG66" s="495">
        <f t="shared" si="8"/>
        <v>15230.267999999991</v>
      </c>
      <c r="BH66" s="1056"/>
      <c r="BI66" s="496">
        <f t="shared" si="9"/>
        <v>53.999999999999964</v>
      </c>
    </row>
    <row r="67" spans="1:61" ht="199.9" customHeight="1" thickTop="1" thickBot="1" x14ac:dyDescent="1.3">
      <c r="A67" s="1063"/>
      <c r="B67" s="502" t="s">
        <v>191</v>
      </c>
      <c r="C67" s="1052" t="s">
        <v>128</v>
      </c>
      <c r="D67" s="1052"/>
      <c r="E67" s="512">
        <v>277.488</v>
      </c>
      <c r="F67" s="512">
        <v>277.488</v>
      </c>
      <c r="G67" s="512">
        <v>277.488</v>
      </c>
      <c r="H67" s="512">
        <v>277.488</v>
      </c>
      <c r="I67" s="512">
        <v>277.488</v>
      </c>
      <c r="J67" s="512">
        <v>277.488</v>
      </c>
      <c r="K67" s="512">
        <v>277.488</v>
      </c>
      <c r="L67" s="512">
        <v>277.488</v>
      </c>
      <c r="M67" s="512">
        <v>277.488</v>
      </c>
      <c r="N67" s="512">
        <v>277.488</v>
      </c>
      <c r="O67" s="512">
        <v>277.488</v>
      </c>
      <c r="P67" s="512">
        <v>277.488</v>
      </c>
      <c r="Q67" s="512">
        <v>277.488</v>
      </c>
      <c r="R67" s="512">
        <v>277.488</v>
      </c>
      <c r="S67" s="512">
        <v>277.488</v>
      </c>
      <c r="T67" s="512">
        <v>277.488</v>
      </c>
      <c r="U67" s="512">
        <v>277.488</v>
      </c>
      <c r="V67" s="512">
        <v>277.488</v>
      </c>
      <c r="W67" s="512">
        <v>277.488</v>
      </c>
      <c r="X67" s="512">
        <v>277.488</v>
      </c>
      <c r="Y67" s="512">
        <v>277.488</v>
      </c>
      <c r="Z67" s="512">
        <v>277.488</v>
      </c>
      <c r="AA67" s="512">
        <v>277.488</v>
      </c>
      <c r="AB67" s="512">
        <v>277.488</v>
      </c>
      <c r="AC67" s="512">
        <v>277.488</v>
      </c>
      <c r="AD67" s="512">
        <v>277.488</v>
      </c>
      <c r="AE67" s="512">
        <v>277.488</v>
      </c>
      <c r="AF67" s="512">
        <v>277.488</v>
      </c>
      <c r="AG67" s="512">
        <v>277.488</v>
      </c>
      <c r="AH67" s="512">
        <v>277.488</v>
      </c>
      <c r="AI67" s="512">
        <v>277.488</v>
      </c>
      <c r="AJ67" s="512">
        <v>277.488</v>
      </c>
      <c r="AK67" s="512">
        <v>277.488</v>
      </c>
      <c r="AL67" s="512">
        <v>277.488</v>
      </c>
      <c r="AM67" s="512">
        <v>277.488</v>
      </c>
      <c r="AN67" s="512">
        <v>277.488</v>
      </c>
      <c r="AO67" s="512">
        <v>277.488</v>
      </c>
      <c r="AP67" s="512">
        <v>277.488</v>
      </c>
      <c r="AQ67" s="512">
        <v>277.488</v>
      </c>
      <c r="AR67" s="512">
        <v>277.488</v>
      </c>
      <c r="AS67" s="512">
        <v>277.488</v>
      </c>
      <c r="AT67" s="512">
        <v>277.488</v>
      </c>
      <c r="AU67" s="512">
        <v>277.488</v>
      </c>
      <c r="AV67" s="512">
        <v>277.488</v>
      </c>
      <c r="AW67" s="512">
        <v>277.488</v>
      </c>
      <c r="AX67" s="512">
        <v>277.488</v>
      </c>
      <c r="AY67" s="512">
        <v>277.488</v>
      </c>
      <c r="AZ67" s="512">
        <v>277.488</v>
      </c>
      <c r="BA67" s="512">
        <v>277.488</v>
      </c>
      <c r="BB67" s="512">
        <v>277.488</v>
      </c>
      <c r="BC67" s="512">
        <v>277.488</v>
      </c>
      <c r="BD67" s="512">
        <v>277.488</v>
      </c>
      <c r="BE67" s="512">
        <v>277.488</v>
      </c>
      <c r="BF67" s="512">
        <v>277.488</v>
      </c>
      <c r="BG67" s="495">
        <f t="shared" si="8"/>
        <v>14984.351999999988</v>
      </c>
      <c r="BH67" s="1056"/>
      <c r="BI67" s="496">
        <f t="shared" si="9"/>
        <v>53.999999999999957</v>
      </c>
    </row>
    <row r="68" spans="1:61" ht="199.9" customHeight="1" thickTop="1" thickBot="1" x14ac:dyDescent="1.3">
      <c r="A68" s="515"/>
      <c r="B68" s="502" t="s">
        <v>659</v>
      </c>
      <c r="C68" s="1052" t="s">
        <v>128</v>
      </c>
      <c r="D68" s="1052"/>
      <c r="E68" s="512">
        <v>7.21</v>
      </c>
      <c r="F68" s="512">
        <v>7.21</v>
      </c>
      <c r="G68" s="512">
        <v>7.21</v>
      </c>
      <c r="H68" s="512">
        <v>7.21</v>
      </c>
      <c r="I68" s="512">
        <v>7.21</v>
      </c>
      <c r="J68" s="512">
        <v>7.21</v>
      </c>
      <c r="K68" s="512">
        <v>7.21</v>
      </c>
      <c r="L68" s="512">
        <v>7.21</v>
      </c>
      <c r="M68" s="512">
        <v>7.21</v>
      </c>
      <c r="N68" s="512">
        <v>7.21</v>
      </c>
      <c r="O68" s="512">
        <v>7.21</v>
      </c>
      <c r="P68" s="512">
        <v>7.21</v>
      </c>
      <c r="Q68" s="512">
        <v>7.21</v>
      </c>
      <c r="R68" s="512">
        <v>7.21</v>
      </c>
      <c r="S68" s="512">
        <v>7.21</v>
      </c>
      <c r="T68" s="512">
        <v>7.21</v>
      </c>
      <c r="U68" s="512">
        <v>7.21</v>
      </c>
      <c r="V68" s="512">
        <v>7.21</v>
      </c>
      <c r="W68" s="512">
        <v>7.21</v>
      </c>
      <c r="X68" s="512">
        <v>7.21</v>
      </c>
      <c r="Y68" s="512">
        <v>7.21</v>
      </c>
      <c r="Z68" s="512">
        <v>7.21</v>
      </c>
      <c r="AA68" s="512">
        <v>7.21</v>
      </c>
      <c r="AB68" s="512">
        <v>7.21</v>
      </c>
      <c r="AC68" s="512">
        <v>7.21</v>
      </c>
      <c r="AD68" s="512">
        <v>7.21</v>
      </c>
      <c r="AE68" s="512">
        <v>7.21</v>
      </c>
      <c r="AF68" s="512">
        <v>7.21</v>
      </c>
      <c r="AG68" s="512">
        <v>7.21</v>
      </c>
      <c r="AH68" s="512">
        <v>7.21</v>
      </c>
      <c r="AI68" s="512">
        <v>7.21</v>
      </c>
      <c r="AJ68" s="512">
        <v>7.21</v>
      </c>
      <c r="AK68" s="512">
        <v>7.21</v>
      </c>
      <c r="AL68" s="512">
        <v>7.21</v>
      </c>
      <c r="AM68" s="512">
        <v>7.21</v>
      </c>
      <c r="AN68" s="512">
        <v>7.21</v>
      </c>
      <c r="AO68" s="512">
        <v>7.21</v>
      </c>
      <c r="AP68" s="512">
        <v>7.21</v>
      </c>
      <c r="AQ68" s="512">
        <v>7.21</v>
      </c>
      <c r="AR68" s="512">
        <v>7.21</v>
      </c>
      <c r="AS68" s="512">
        <v>7.21</v>
      </c>
      <c r="AT68" s="512">
        <v>7.21</v>
      </c>
      <c r="AU68" s="512">
        <v>7.21</v>
      </c>
      <c r="AV68" s="512">
        <v>7.21</v>
      </c>
      <c r="AW68" s="512">
        <v>7.21</v>
      </c>
      <c r="AX68" s="512">
        <v>7.21</v>
      </c>
      <c r="AY68" s="512">
        <v>7.21</v>
      </c>
      <c r="AZ68" s="512">
        <v>7.21</v>
      </c>
      <c r="BA68" s="512">
        <v>7.21</v>
      </c>
      <c r="BB68" s="512">
        <v>7.21</v>
      </c>
      <c r="BC68" s="512">
        <v>7.21</v>
      </c>
      <c r="BD68" s="512">
        <v>7.21</v>
      </c>
      <c r="BE68" s="512">
        <v>7.21</v>
      </c>
      <c r="BF68" s="512">
        <v>7.21</v>
      </c>
      <c r="BG68" s="495">
        <f t="shared" si="8"/>
        <v>389.33999999999969</v>
      </c>
      <c r="BH68" s="507"/>
      <c r="BI68" s="496">
        <f t="shared" si="9"/>
        <v>53.999999999999957</v>
      </c>
    </row>
    <row r="69" spans="1:61" s="511" customFormat="1" ht="199.9" customHeight="1" thickTop="1" thickBot="1" x14ac:dyDescent="1.3">
      <c r="A69" s="1063" t="s">
        <v>192</v>
      </c>
      <c r="B69" s="499" t="s">
        <v>193</v>
      </c>
      <c r="C69" s="1053" t="s">
        <v>127</v>
      </c>
      <c r="D69" s="1053"/>
      <c r="E69" s="508">
        <v>850</v>
      </c>
      <c r="F69" s="508">
        <v>850</v>
      </c>
      <c r="G69" s="508">
        <v>850</v>
      </c>
      <c r="H69" s="508">
        <v>850</v>
      </c>
      <c r="I69" s="508">
        <v>850</v>
      </c>
      <c r="J69" s="508">
        <v>850</v>
      </c>
      <c r="K69" s="508">
        <v>850</v>
      </c>
      <c r="L69" s="508">
        <v>850</v>
      </c>
      <c r="M69" s="508">
        <v>850</v>
      </c>
      <c r="N69" s="508">
        <v>850</v>
      </c>
      <c r="O69" s="508">
        <v>850</v>
      </c>
      <c r="P69" s="508">
        <v>850</v>
      </c>
      <c r="Q69" s="508">
        <v>850</v>
      </c>
      <c r="R69" s="508">
        <v>850</v>
      </c>
      <c r="S69" s="508">
        <v>850</v>
      </c>
      <c r="T69" s="508">
        <v>850</v>
      </c>
      <c r="U69" s="508">
        <v>850</v>
      </c>
      <c r="V69" s="508">
        <v>850</v>
      </c>
      <c r="W69" s="508">
        <v>850</v>
      </c>
      <c r="X69" s="508">
        <v>850</v>
      </c>
      <c r="Y69" s="508">
        <v>850</v>
      </c>
      <c r="Z69" s="508">
        <v>850</v>
      </c>
      <c r="AA69" s="508">
        <v>850</v>
      </c>
      <c r="AB69" s="508">
        <v>850</v>
      </c>
      <c r="AC69" s="508">
        <v>850</v>
      </c>
      <c r="AD69" s="508">
        <v>850</v>
      </c>
      <c r="AE69" s="508">
        <v>850</v>
      </c>
      <c r="AF69" s="508">
        <v>850</v>
      </c>
      <c r="AG69" s="508">
        <v>850</v>
      </c>
      <c r="AH69" s="508">
        <v>850</v>
      </c>
      <c r="AI69" s="508">
        <v>850</v>
      </c>
      <c r="AJ69" s="508">
        <v>850</v>
      </c>
      <c r="AK69" s="508">
        <v>850</v>
      </c>
      <c r="AL69" s="508">
        <v>850</v>
      </c>
      <c r="AM69" s="508">
        <v>850</v>
      </c>
      <c r="AN69" s="508">
        <v>850</v>
      </c>
      <c r="AO69" s="508">
        <v>850</v>
      </c>
      <c r="AP69" s="508">
        <v>850</v>
      </c>
      <c r="AQ69" s="508">
        <v>850</v>
      </c>
      <c r="AR69" s="508">
        <v>850</v>
      </c>
      <c r="AS69" s="508">
        <v>850</v>
      </c>
      <c r="AT69" s="508">
        <v>850</v>
      </c>
      <c r="AU69" s="508">
        <v>850</v>
      </c>
      <c r="AV69" s="508">
        <v>850</v>
      </c>
      <c r="AW69" s="508">
        <v>850</v>
      </c>
      <c r="AX69" s="508">
        <v>850</v>
      </c>
      <c r="AY69" s="508">
        <v>850</v>
      </c>
      <c r="AZ69" s="508">
        <v>850</v>
      </c>
      <c r="BA69" s="508">
        <v>850</v>
      </c>
      <c r="BB69" s="508">
        <v>850</v>
      </c>
      <c r="BC69" s="508">
        <v>850</v>
      </c>
      <c r="BD69" s="508">
        <v>850</v>
      </c>
      <c r="BE69" s="508">
        <v>850</v>
      </c>
      <c r="BF69" s="508">
        <v>850</v>
      </c>
      <c r="BG69" s="490">
        <f t="shared" ref="BG69:BG76" si="10">SUM(E69:BF69)</f>
        <v>45900</v>
      </c>
      <c r="BH69" s="1056">
        <f>SUM(BG70:BG76)</f>
        <v>47088.323999999993</v>
      </c>
      <c r="BI69" s="491">
        <f t="shared" si="9"/>
        <v>54</v>
      </c>
    </row>
    <row r="70" spans="1:61" ht="199.9" customHeight="1" thickTop="1" thickBot="1" x14ac:dyDescent="1.3">
      <c r="A70" s="1063"/>
      <c r="B70" s="502" t="s">
        <v>194</v>
      </c>
      <c r="C70" s="1052" t="s">
        <v>128</v>
      </c>
      <c r="D70" s="1052"/>
      <c r="E70" s="512">
        <v>127.92199999999997</v>
      </c>
      <c r="F70" s="512">
        <v>127.92199999999997</v>
      </c>
      <c r="G70" s="512">
        <v>127.92199999999997</v>
      </c>
      <c r="H70" s="512">
        <v>127.92199999999997</v>
      </c>
      <c r="I70" s="512">
        <v>127.92199999999997</v>
      </c>
      <c r="J70" s="512">
        <v>127.92199999999997</v>
      </c>
      <c r="K70" s="512">
        <v>127.92199999999997</v>
      </c>
      <c r="L70" s="512">
        <v>127.92199999999997</v>
      </c>
      <c r="M70" s="512">
        <v>127.92199999999997</v>
      </c>
      <c r="N70" s="512">
        <v>127.92199999999997</v>
      </c>
      <c r="O70" s="512">
        <v>127.92199999999997</v>
      </c>
      <c r="P70" s="512">
        <v>127.92199999999997</v>
      </c>
      <c r="Q70" s="512">
        <v>127.92199999999997</v>
      </c>
      <c r="R70" s="512">
        <v>127.92199999999997</v>
      </c>
      <c r="S70" s="512">
        <v>127.92199999999997</v>
      </c>
      <c r="T70" s="512">
        <v>127.92199999999997</v>
      </c>
      <c r="U70" s="512">
        <v>127.92199999999997</v>
      </c>
      <c r="V70" s="512">
        <v>127.92199999999997</v>
      </c>
      <c r="W70" s="512">
        <v>127.92199999999997</v>
      </c>
      <c r="X70" s="512">
        <v>127.92199999999997</v>
      </c>
      <c r="Y70" s="512">
        <v>127.92199999999997</v>
      </c>
      <c r="Z70" s="512">
        <v>127.92199999999997</v>
      </c>
      <c r="AA70" s="512">
        <v>127.92199999999997</v>
      </c>
      <c r="AB70" s="512">
        <v>127.92199999999997</v>
      </c>
      <c r="AC70" s="512">
        <v>127.92199999999997</v>
      </c>
      <c r="AD70" s="512">
        <v>127.92199999999997</v>
      </c>
      <c r="AE70" s="512">
        <v>127.92199999999997</v>
      </c>
      <c r="AF70" s="512">
        <v>127.92199999999997</v>
      </c>
      <c r="AG70" s="512">
        <v>127.92199999999997</v>
      </c>
      <c r="AH70" s="512">
        <v>127.92199999999997</v>
      </c>
      <c r="AI70" s="512">
        <v>127.92199999999997</v>
      </c>
      <c r="AJ70" s="512">
        <v>127.92199999999997</v>
      </c>
      <c r="AK70" s="512">
        <v>127.92199999999997</v>
      </c>
      <c r="AL70" s="512">
        <v>127.92199999999997</v>
      </c>
      <c r="AM70" s="512">
        <v>127.92199999999997</v>
      </c>
      <c r="AN70" s="512">
        <v>127.92199999999997</v>
      </c>
      <c r="AO70" s="512">
        <v>127.92199999999997</v>
      </c>
      <c r="AP70" s="512">
        <v>127.92199999999997</v>
      </c>
      <c r="AQ70" s="512">
        <v>127.92199999999997</v>
      </c>
      <c r="AR70" s="512">
        <v>127.92199999999997</v>
      </c>
      <c r="AS70" s="512">
        <v>127.92199999999997</v>
      </c>
      <c r="AT70" s="512">
        <v>127.92199999999997</v>
      </c>
      <c r="AU70" s="512">
        <v>127.92199999999997</v>
      </c>
      <c r="AV70" s="512">
        <v>127.92199999999997</v>
      </c>
      <c r="AW70" s="512">
        <v>127.92199999999997</v>
      </c>
      <c r="AX70" s="512">
        <v>127.92199999999997</v>
      </c>
      <c r="AY70" s="512">
        <v>127.92199999999997</v>
      </c>
      <c r="AZ70" s="512">
        <v>127.92199999999997</v>
      </c>
      <c r="BA70" s="512">
        <v>127.92199999999997</v>
      </c>
      <c r="BB70" s="512">
        <v>127.92199999999997</v>
      </c>
      <c r="BC70" s="512">
        <v>127.92199999999997</v>
      </c>
      <c r="BD70" s="512">
        <v>127.92199999999997</v>
      </c>
      <c r="BE70" s="512">
        <v>127.92199999999997</v>
      </c>
      <c r="BF70" s="512">
        <v>127.92199999999997</v>
      </c>
      <c r="BG70" s="495">
        <f t="shared" si="10"/>
        <v>6907.7879999999914</v>
      </c>
      <c r="BH70" s="1056"/>
      <c r="BI70" s="496">
        <f t="shared" si="9"/>
        <v>53.999999999999943</v>
      </c>
    </row>
    <row r="71" spans="1:61" ht="199.9" customHeight="1" thickTop="1" thickBot="1" x14ac:dyDescent="1.3">
      <c r="A71" s="1063"/>
      <c r="B71" s="502" t="s">
        <v>195</v>
      </c>
      <c r="C71" s="1052" t="s">
        <v>128</v>
      </c>
      <c r="D71" s="1052"/>
      <c r="E71" s="512">
        <v>129.11199999999997</v>
      </c>
      <c r="F71" s="512">
        <v>129.11199999999997</v>
      </c>
      <c r="G71" s="512">
        <v>129.11199999999997</v>
      </c>
      <c r="H71" s="512">
        <v>129.11199999999997</v>
      </c>
      <c r="I71" s="512">
        <v>129.11199999999997</v>
      </c>
      <c r="J71" s="512">
        <v>129.11199999999997</v>
      </c>
      <c r="K71" s="512">
        <v>129.11199999999997</v>
      </c>
      <c r="L71" s="512">
        <v>129.11199999999997</v>
      </c>
      <c r="M71" s="512">
        <v>129.11199999999997</v>
      </c>
      <c r="N71" s="512">
        <v>129.11199999999997</v>
      </c>
      <c r="O71" s="512">
        <v>129.11199999999997</v>
      </c>
      <c r="P71" s="512">
        <v>129.11199999999997</v>
      </c>
      <c r="Q71" s="512">
        <v>129.11199999999997</v>
      </c>
      <c r="R71" s="512">
        <v>129.11199999999997</v>
      </c>
      <c r="S71" s="512">
        <v>129.11199999999997</v>
      </c>
      <c r="T71" s="512">
        <v>129.11199999999997</v>
      </c>
      <c r="U71" s="512">
        <v>129.11199999999997</v>
      </c>
      <c r="V71" s="512">
        <v>129.11199999999997</v>
      </c>
      <c r="W71" s="512">
        <v>129.11199999999997</v>
      </c>
      <c r="X71" s="512">
        <v>129.11199999999997</v>
      </c>
      <c r="Y71" s="512">
        <v>129.11199999999997</v>
      </c>
      <c r="Z71" s="512">
        <v>129.11199999999997</v>
      </c>
      <c r="AA71" s="512">
        <v>129.11199999999997</v>
      </c>
      <c r="AB71" s="512">
        <v>129.11199999999997</v>
      </c>
      <c r="AC71" s="512">
        <v>129.11199999999997</v>
      </c>
      <c r="AD71" s="512">
        <v>129.11199999999997</v>
      </c>
      <c r="AE71" s="512">
        <v>129.11199999999997</v>
      </c>
      <c r="AF71" s="512">
        <v>129.11199999999997</v>
      </c>
      <c r="AG71" s="512">
        <v>129.11199999999997</v>
      </c>
      <c r="AH71" s="512">
        <v>129.11199999999997</v>
      </c>
      <c r="AI71" s="512">
        <v>129.11199999999997</v>
      </c>
      <c r="AJ71" s="512">
        <v>129.11199999999997</v>
      </c>
      <c r="AK71" s="512">
        <v>129.11199999999997</v>
      </c>
      <c r="AL71" s="512">
        <v>129.11199999999997</v>
      </c>
      <c r="AM71" s="512">
        <v>129.11199999999997</v>
      </c>
      <c r="AN71" s="512">
        <v>129.11199999999997</v>
      </c>
      <c r="AO71" s="512">
        <v>129.11199999999997</v>
      </c>
      <c r="AP71" s="512">
        <v>129.11199999999997</v>
      </c>
      <c r="AQ71" s="512">
        <v>129.11199999999997</v>
      </c>
      <c r="AR71" s="512">
        <v>129.11199999999997</v>
      </c>
      <c r="AS71" s="512">
        <v>129.11199999999997</v>
      </c>
      <c r="AT71" s="512">
        <v>129.11199999999997</v>
      </c>
      <c r="AU71" s="512">
        <v>129.11199999999997</v>
      </c>
      <c r="AV71" s="512">
        <v>129.11199999999997</v>
      </c>
      <c r="AW71" s="512">
        <v>129.11199999999997</v>
      </c>
      <c r="AX71" s="512">
        <v>129.11199999999997</v>
      </c>
      <c r="AY71" s="512">
        <v>129.11199999999997</v>
      </c>
      <c r="AZ71" s="512">
        <v>129.11199999999997</v>
      </c>
      <c r="BA71" s="512">
        <v>129.11199999999997</v>
      </c>
      <c r="BB71" s="512">
        <v>129.11199999999997</v>
      </c>
      <c r="BC71" s="512">
        <v>129.11199999999997</v>
      </c>
      <c r="BD71" s="512">
        <v>129.11199999999997</v>
      </c>
      <c r="BE71" s="512">
        <v>129.11199999999997</v>
      </c>
      <c r="BF71" s="512">
        <v>129.11199999999997</v>
      </c>
      <c r="BG71" s="495">
        <f t="shared" si="10"/>
        <v>6972.0480000000034</v>
      </c>
      <c r="BH71" s="1056"/>
      <c r="BI71" s="496">
        <f t="shared" si="9"/>
        <v>54.000000000000043</v>
      </c>
    </row>
    <row r="72" spans="1:61" ht="199.9" customHeight="1" thickTop="1" thickBot="1" x14ac:dyDescent="1.3">
      <c r="A72" s="1063"/>
      <c r="B72" s="502" t="s">
        <v>196</v>
      </c>
      <c r="C72" s="1052" t="s">
        <v>128</v>
      </c>
      <c r="D72" s="1052"/>
      <c r="E72" s="512">
        <v>130.31199999999998</v>
      </c>
      <c r="F72" s="512">
        <v>130.31199999999998</v>
      </c>
      <c r="G72" s="512">
        <v>130.31199999999998</v>
      </c>
      <c r="H72" s="512">
        <v>130.31199999999998</v>
      </c>
      <c r="I72" s="512">
        <v>130.31199999999998</v>
      </c>
      <c r="J72" s="512">
        <v>130.31199999999998</v>
      </c>
      <c r="K72" s="512">
        <v>130.31199999999998</v>
      </c>
      <c r="L72" s="512">
        <v>130.31199999999998</v>
      </c>
      <c r="M72" s="512">
        <v>130.31199999999998</v>
      </c>
      <c r="N72" s="512">
        <v>130.31199999999998</v>
      </c>
      <c r="O72" s="512">
        <v>130.31199999999998</v>
      </c>
      <c r="P72" s="512">
        <v>130.31199999999998</v>
      </c>
      <c r="Q72" s="512">
        <v>130.31199999999998</v>
      </c>
      <c r="R72" s="512">
        <v>130.31199999999998</v>
      </c>
      <c r="S72" s="512">
        <v>130.31199999999998</v>
      </c>
      <c r="T72" s="512">
        <v>130.31199999999998</v>
      </c>
      <c r="U72" s="512">
        <v>130.31199999999998</v>
      </c>
      <c r="V72" s="512">
        <v>130.31199999999998</v>
      </c>
      <c r="W72" s="512">
        <v>130.31199999999998</v>
      </c>
      <c r="X72" s="512">
        <v>130.31199999999998</v>
      </c>
      <c r="Y72" s="512">
        <v>130.31199999999998</v>
      </c>
      <c r="Z72" s="512">
        <v>130.31199999999998</v>
      </c>
      <c r="AA72" s="512">
        <v>130.31199999999998</v>
      </c>
      <c r="AB72" s="512">
        <v>130.31199999999998</v>
      </c>
      <c r="AC72" s="512">
        <v>130.31199999999998</v>
      </c>
      <c r="AD72" s="512">
        <v>130.31199999999998</v>
      </c>
      <c r="AE72" s="512">
        <v>130.31199999999998</v>
      </c>
      <c r="AF72" s="512">
        <v>130.31199999999998</v>
      </c>
      <c r="AG72" s="512">
        <v>130.31199999999998</v>
      </c>
      <c r="AH72" s="512">
        <v>130.31199999999998</v>
      </c>
      <c r="AI72" s="512">
        <v>130.31199999999998</v>
      </c>
      <c r="AJ72" s="512">
        <v>130.31199999999998</v>
      </c>
      <c r="AK72" s="512">
        <v>130.31199999999998</v>
      </c>
      <c r="AL72" s="512">
        <v>130.31199999999998</v>
      </c>
      <c r="AM72" s="512">
        <v>130.31199999999998</v>
      </c>
      <c r="AN72" s="512">
        <v>130.31199999999998</v>
      </c>
      <c r="AO72" s="512">
        <v>130.31199999999998</v>
      </c>
      <c r="AP72" s="512">
        <v>130.31199999999998</v>
      </c>
      <c r="AQ72" s="512">
        <v>130.31199999999998</v>
      </c>
      <c r="AR72" s="512">
        <v>130.31199999999998</v>
      </c>
      <c r="AS72" s="512">
        <v>130.31199999999998</v>
      </c>
      <c r="AT72" s="512">
        <v>130.31199999999998</v>
      </c>
      <c r="AU72" s="512">
        <v>130.31199999999998</v>
      </c>
      <c r="AV72" s="512">
        <v>130.31199999999998</v>
      </c>
      <c r="AW72" s="512">
        <v>130.31199999999998</v>
      </c>
      <c r="AX72" s="512">
        <v>130.31199999999998</v>
      </c>
      <c r="AY72" s="512">
        <v>130.31199999999998</v>
      </c>
      <c r="AZ72" s="512">
        <v>130.31199999999998</v>
      </c>
      <c r="BA72" s="512">
        <v>130.31199999999998</v>
      </c>
      <c r="BB72" s="512">
        <v>130.31199999999998</v>
      </c>
      <c r="BC72" s="512">
        <v>130.31199999999998</v>
      </c>
      <c r="BD72" s="512">
        <v>130.31199999999998</v>
      </c>
      <c r="BE72" s="512">
        <v>130.31199999999998</v>
      </c>
      <c r="BF72" s="512">
        <v>130.31199999999998</v>
      </c>
      <c r="BG72" s="495">
        <f t="shared" si="10"/>
        <v>7036.8479999999954</v>
      </c>
      <c r="BH72" s="1056"/>
      <c r="BI72" s="496">
        <f t="shared" si="9"/>
        <v>53.999999999999972</v>
      </c>
    </row>
    <row r="73" spans="1:61" ht="199.9" customHeight="1" thickTop="1" thickBot="1" x14ac:dyDescent="1.3">
      <c r="A73" s="1063"/>
      <c r="B73" s="502" t="s">
        <v>197</v>
      </c>
      <c r="C73" s="1052" t="s">
        <v>128</v>
      </c>
      <c r="D73" s="1052"/>
      <c r="E73" s="512">
        <v>131.23199999999997</v>
      </c>
      <c r="F73" s="512">
        <v>131.23199999999997</v>
      </c>
      <c r="G73" s="512">
        <v>131.23199999999997</v>
      </c>
      <c r="H73" s="512">
        <v>131.23199999999997</v>
      </c>
      <c r="I73" s="512">
        <v>131.23199999999997</v>
      </c>
      <c r="J73" s="512">
        <v>131.23199999999997</v>
      </c>
      <c r="K73" s="512">
        <v>131.23199999999997</v>
      </c>
      <c r="L73" s="512">
        <v>131.23199999999997</v>
      </c>
      <c r="M73" s="512">
        <v>131.23199999999997</v>
      </c>
      <c r="N73" s="512">
        <v>131.23199999999997</v>
      </c>
      <c r="O73" s="512">
        <v>131.23199999999997</v>
      </c>
      <c r="P73" s="512">
        <v>131.23199999999997</v>
      </c>
      <c r="Q73" s="512">
        <v>131.23199999999997</v>
      </c>
      <c r="R73" s="512">
        <v>131.23199999999997</v>
      </c>
      <c r="S73" s="512">
        <v>131.23199999999997</v>
      </c>
      <c r="T73" s="512">
        <v>131.23199999999997</v>
      </c>
      <c r="U73" s="512">
        <v>131.23199999999997</v>
      </c>
      <c r="V73" s="512">
        <v>131.23199999999997</v>
      </c>
      <c r="W73" s="512">
        <v>131.23199999999997</v>
      </c>
      <c r="X73" s="512">
        <v>131.23199999999997</v>
      </c>
      <c r="Y73" s="512">
        <v>131.23199999999997</v>
      </c>
      <c r="Z73" s="512">
        <v>131.23199999999997</v>
      </c>
      <c r="AA73" s="512">
        <v>131.23199999999997</v>
      </c>
      <c r="AB73" s="512">
        <v>131.23199999999997</v>
      </c>
      <c r="AC73" s="512">
        <v>131.23199999999997</v>
      </c>
      <c r="AD73" s="512">
        <v>131.23199999999997</v>
      </c>
      <c r="AE73" s="512">
        <v>131.23199999999997</v>
      </c>
      <c r="AF73" s="512">
        <v>131.23199999999997</v>
      </c>
      <c r="AG73" s="512">
        <v>131.23199999999997</v>
      </c>
      <c r="AH73" s="512">
        <v>131.23199999999997</v>
      </c>
      <c r="AI73" s="512">
        <v>131.23199999999997</v>
      </c>
      <c r="AJ73" s="512">
        <v>131.23199999999997</v>
      </c>
      <c r="AK73" s="512">
        <v>131.23199999999997</v>
      </c>
      <c r="AL73" s="512">
        <v>131.23199999999997</v>
      </c>
      <c r="AM73" s="512">
        <v>131.23199999999997</v>
      </c>
      <c r="AN73" s="512">
        <v>131.23199999999997</v>
      </c>
      <c r="AO73" s="512">
        <v>131.23199999999997</v>
      </c>
      <c r="AP73" s="512">
        <v>131.23199999999997</v>
      </c>
      <c r="AQ73" s="512">
        <v>131.23199999999997</v>
      </c>
      <c r="AR73" s="512">
        <v>131.23199999999997</v>
      </c>
      <c r="AS73" s="512">
        <v>131.23199999999997</v>
      </c>
      <c r="AT73" s="512">
        <v>131.23199999999997</v>
      </c>
      <c r="AU73" s="512">
        <v>131.23199999999997</v>
      </c>
      <c r="AV73" s="512">
        <v>131.23199999999997</v>
      </c>
      <c r="AW73" s="512">
        <v>131.23199999999997</v>
      </c>
      <c r="AX73" s="512">
        <v>131.23199999999997</v>
      </c>
      <c r="AY73" s="512">
        <v>131.23199999999997</v>
      </c>
      <c r="AZ73" s="512">
        <v>131.23199999999997</v>
      </c>
      <c r="BA73" s="512">
        <v>131.23199999999997</v>
      </c>
      <c r="BB73" s="512">
        <v>131.23199999999997</v>
      </c>
      <c r="BC73" s="512">
        <v>131.23199999999997</v>
      </c>
      <c r="BD73" s="512">
        <v>131.23199999999997</v>
      </c>
      <c r="BE73" s="512">
        <v>131.23199999999997</v>
      </c>
      <c r="BF73" s="512">
        <v>131.23199999999997</v>
      </c>
      <c r="BG73" s="495">
        <f>SUM(E73:BF73)</f>
        <v>7086.5279999999984</v>
      </c>
      <c r="BH73" s="1056"/>
      <c r="BI73" s="496">
        <f t="shared" si="9"/>
        <v>54</v>
      </c>
    </row>
    <row r="74" spans="1:61" ht="228.75" thickTop="1" thickBot="1" x14ac:dyDescent="1.3">
      <c r="A74" s="1063"/>
      <c r="B74" s="502" t="s">
        <v>198</v>
      </c>
      <c r="C74" s="1052" t="s">
        <v>128</v>
      </c>
      <c r="D74" s="1052"/>
      <c r="E74" s="512">
        <v>131.67199999999997</v>
      </c>
      <c r="F74" s="512">
        <v>131.67199999999997</v>
      </c>
      <c r="G74" s="512">
        <v>131.67199999999997</v>
      </c>
      <c r="H74" s="512">
        <v>131.67199999999997</v>
      </c>
      <c r="I74" s="512">
        <v>131.67199999999997</v>
      </c>
      <c r="J74" s="512">
        <v>131.67199999999997</v>
      </c>
      <c r="K74" s="512">
        <v>131.67199999999997</v>
      </c>
      <c r="L74" s="512">
        <v>131.67199999999997</v>
      </c>
      <c r="M74" s="512">
        <v>131.67199999999997</v>
      </c>
      <c r="N74" s="512">
        <v>131.67199999999997</v>
      </c>
      <c r="O74" s="512">
        <v>131.67199999999997</v>
      </c>
      <c r="P74" s="512">
        <v>131.67199999999997</v>
      </c>
      <c r="Q74" s="512">
        <v>131.67199999999997</v>
      </c>
      <c r="R74" s="512">
        <v>131.67199999999997</v>
      </c>
      <c r="S74" s="512">
        <v>131.67199999999997</v>
      </c>
      <c r="T74" s="512">
        <v>131.67199999999997</v>
      </c>
      <c r="U74" s="512">
        <v>131.67199999999997</v>
      </c>
      <c r="V74" s="512">
        <v>131.67199999999997</v>
      </c>
      <c r="W74" s="512">
        <v>131.67199999999997</v>
      </c>
      <c r="X74" s="512">
        <v>131.67199999999997</v>
      </c>
      <c r="Y74" s="512">
        <v>131.67199999999997</v>
      </c>
      <c r="Z74" s="512">
        <v>131.67199999999997</v>
      </c>
      <c r="AA74" s="512">
        <v>131.67199999999997</v>
      </c>
      <c r="AB74" s="512">
        <v>131.67199999999997</v>
      </c>
      <c r="AC74" s="512">
        <v>131.67199999999997</v>
      </c>
      <c r="AD74" s="512">
        <v>131.67199999999997</v>
      </c>
      <c r="AE74" s="512">
        <v>131.67199999999997</v>
      </c>
      <c r="AF74" s="512">
        <v>131.67199999999997</v>
      </c>
      <c r="AG74" s="512">
        <v>131.67199999999997</v>
      </c>
      <c r="AH74" s="512">
        <v>131.67199999999997</v>
      </c>
      <c r="AI74" s="512">
        <v>131.67199999999997</v>
      </c>
      <c r="AJ74" s="512">
        <v>131.67199999999997</v>
      </c>
      <c r="AK74" s="512">
        <v>131.67199999999997</v>
      </c>
      <c r="AL74" s="512">
        <v>131.67199999999997</v>
      </c>
      <c r="AM74" s="512">
        <v>131.67199999999997</v>
      </c>
      <c r="AN74" s="512">
        <v>131.67199999999997</v>
      </c>
      <c r="AO74" s="512">
        <v>131.67199999999997</v>
      </c>
      <c r="AP74" s="512">
        <v>131.67199999999997</v>
      </c>
      <c r="AQ74" s="512">
        <v>131.67199999999997</v>
      </c>
      <c r="AR74" s="512">
        <v>131.67199999999997</v>
      </c>
      <c r="AS74" s="512">
        <v>131.67199999999997</v>
      </c>
      <c r="AT74" s="512">
        <v>131.67199999999997</v>
      </c>
      <c r="AU74" s="512">
        <v>131.67199999999997</v>
      </c>
      <c r="AV74" s="512">
        <v>131.67199999999997</v>
      </c>
      <c r="AW74" s="512">
        <v>131.67199999999997</v>
      </c>
      <c r="AX74" s="512">
        <v>131.67199999999997</v>
      </c>
      <c r="AY74" s="512">
        <v>131.67199999999997</v>
      </c>
      <c r="AZ74" s="512">
        <v>131.67199999999997</v>
      </c>
      <c r="BA74" s="512">
        <v>131.67199999999997</v>
      </c>
      <c r="BB74" s="512">
        <v>131.67199999999997</v>
      </c>
      <c r="BC74" s="512">
        <v>131.67199999999997</v>
      </c>
      <c r="BD74" s="512">
        <v>131.67199999999997</v>
      </c>
      <c r="BE74" s="512">
        <v>131.67199999999997</v>
      </c>
      <c r="BF74" s="512">
        <v>131.67199999999997</v>
      </c>
      <c r="BG74" s="495">
        <f t="shared" si="10"/>
        <v>7110.2879999999905</v>
      </c>
      <c r="BH74" s="1056"/>
      <c r="BI74" s="496">
        <f t="shared" si="9"/>
        <v>53.999999999999943</v>
      </c>
    </row>
    <row r="75" spans="1:61" ht="199.9" customHeight="1" thickTop="1" thickBot="1" x14ac:dyDescent="1.3">
      <c r="A75" s="1063"/>
      <c r="B75" s="502" t="s">
        <v>199</v>
      </c>
      <c r="C75" s="1052" t="s">
        <v>128</v>
      </c>
      <c r="D75" s="1052"/>
      <c r="E75" s="512">
        <v>133.49599999999998</v>
      </c>
      <c r="F75" s="512">
        <v>133.49599999999998</v>
      </c>
      <c r="G75" s="512">
        <v>133.49599999999998</v>
      </c>
      <c r="H75" s="512">
        <v>133.49599999999998</v>
      </c>
      <c r="I75" s="512">
        <v>133.49599999999998</v>
      </c>
      <c r="J75" s="512">
        <v>133.49599999999998</v>
      </c>
      <c r="K75" s="512">
        <v>133.49599999999998</v>
      </c>
      <c r="L75" s="512">
        <v>133.49599999999998</v>
      </c>
      <c r="M75" s="512">
        <v>133.49599999999998</v>
      </c>
      <c r="N75" s="512">
        <v>133.49599999999998</v>
      </c>
      <c r="O75" s="512">
        <v>133.49599999999998</v>
      </c>
      <c r="P75" s="512">
        <v>133.49599999999998</v>
      </c>
      <c r="Q75" s="512">
        <v>133.49599999999998</v>
      </c>
      <c r="R75" s="512">
        <v>133.49599999999998</v>
      </c>
      <c r="S75" s="512">
        <v>133.49599999999998</v>
      </c>
      <c r="T75" s="512">
        <v>133.49599999999998</v>
      </c>
      <c r="U75" s="512">
        <v>133.49599999999998</v>
      </c>
      <c r="V75" s="512">
        <v>133.49599999999998</v>
      </c>
      <c r="W75" s="512">
        <v>133.49599999999998</v>
      </c>
      <c r="X75" s="512">
        <v>133.49599999999998</v>
      </c>
      <c r="Y75" s="512">
        <v>133.49599999999998</v>
      </c>
      <c r="Z75" s="512">
        <v>133.49599999999998</v>
      </c>
      <c r="AA75" s="512">
        <v>133.49599999999998</v>
      </c>
      <c r="AB75" s="512">
        <v>133.49599999999998</v>
      </c>
      <c r="AC75" s="512">
        <v>133.49599999999998</v>
      </c>
      <c r="AD75" s="512">
        <v>133.49599999999998</v>
      </c>
      <c r="AE75" s="512">
        <v>133.49599999999998</v>
      </c>
      <c r="AF75" s="512">
        <v>133.49599999999998</v>
      </c>
      <c r="AG75" s="512">
        <v>133.49599999999998</v>
      </c>
      <c r="AH75" s="512">
        <v>133.49599999999998</v>
      </c>
      <c r="AI75" s="512">
        <v>133.49599999999998</v>
      </c>
      <c r="AJ75" s="512">
        <v>133.49599999999998</v>
      </c>
      <c r="AK75" s="512">
        <v>133.49599999999998</v>
      </c>
      <c r="AL75" s="512">
        <v>133.49599999999998</v>
      </c>
      <c r="AM75" s="512">
        <v>133.49599999999998</v>
      </c>
      <c r="AN75" s="512">
        <v>133.49599999999998</v>
      </c>
      <c r="AO75" s="512">
        <v>133.49599999999998</v>
      </c>
      <c r="AP75" s="512">
        <v>133.49599999999998</v>
      </c>
      <c r="AQ75" s="512">
        <v>133.49599999999998</v>
      </c>
      <c r="AR75" s="512">
        <v>133.49599999999998</v>
      </c>
      <c r="AS75" s="512">
        <v>133.49599999999998</v>
      </c>
      <c r="AT75" s="512">
        <v>133.49599999999998</v>
      </c>
      <c r="AU75" s="512">
        <v>133.49599999999998</v>
      </c>
      <c r="AV75" s="512">
        <v>133.49599999999998</v>
      </c>
      <c r="AW75" s="512">
        <v>133.49599999999998</v>
      </c>
      <c r="AX75" s="512">
        <v>133.49599999999998</v>
      </c>
      <c r="AY75" s="512">
        <v>133.49599999999998</v>
      </c>
      <c r="AZ75" s="512">
        <v>133.49599999999998</v>
      </c>
      <c r="BA75" s="512">
        <v>133.49599999999998</v>
      </c>
      <c r="BB75" s="512">
        <v>133.49599999999998</v>
      </c>
      <c r="BC75" s="512">
        <v>133.49599999999998</v>
      </c>
      <c r="BD75" s="512">
        <v>133.49599999999998</v>
      </c>
      <c r="BE75" s="512">
        <v>133.49599999999998</v>
      </c>
      <c r="BF75" s="512">
        <v>133.49599999999998</v>
      </c>
      <c r="BG75" s="495">
        <f t="shared" si="10"/>
        <v>7208.7840000000042</v>
      </c>
      <c r="BH75" s="1056"/>
      <c r="BI75" s="496">
        <f t="shared" si="9"/>
        <v>54.000000000000043</v>
      </c>
    </row>
    <row r="76" spans="1:61" ht="199.9" customHeight="1" thickTop="1" thickBot="1" x14ac:dyDescent="1.3">
      <c r="A76" s="1063"/>
      <c r="B76" s="502" t="s">
        <v>314</v>
      </c>
      <c r="C76" s="1052" t="s">
        <v>128</v>
      </c>
      <c r="D76" s="1052"/>
      <c r="E76" s="512">
        <f>89.1-0.84</f>
        <v>88.259999999999991</v>
      </c>
      <c r="F76" s="512">
        <f t="shared" ref="F76:BF76" si="11">89.1-0.84</f>
        <v>88.259999999999991</v>
      </c>
      <c r="G76" s="512">
        <f t="shared" si="11"/>
        <v>88.259999999999991</v>
      </c>
      <c r="H76" s="512">
        <f t="shared" si="11"/>
        <v>88.259999999999991</v>
      </c>
      <c r="I76" s="512">
        <f t="shared" si="11"/>
        <v>88.259999999999991</v>
      </c>
      <c r="J76" s="512">
        <f t="shared" si="11"/>
        <v>88.259999999999991</v>
      </c>
      <c r="K76" s="512">
        <f t="shared" si="11"/>
        <v>88.259999999999991</v>
      </c>
      <c r="L76" s="512">
        <f t="shared" si="11"/>
        <v>88.259999999999991</v>
      </c>
      <c r="M76" s="512">
        <f t="shared" si="11"/>
        <v>88.259999999999991</v>
      </c>
      <c r="N76" s="512">
        <f t="shared" si="11"/>
        <v>88.259999999999991</v>
      </c>
      <c r="O76" s="512">
        <f t="shared" si="11"/>
        <v>88.259999999999991</v>
      </c>
      <c r="P76" s="512">
        <f t="shared" si="11"/>
        <v>88.259999999999991</v>
      </c>
      <c r="Q76" s="512">
        <f t="shared" si="11"/>
        <v>88.259999999999991</v>
      </c>
      <c r="R76" s="512">
        <f t="shared" si="11"/>
        <v>88.259999999999991</v>
      </c>
      <c r="S76" s="512">
        <f t="shared" si="11"/>
        <v>88.259999999999991</v>
      </c>
      <c r="T76" s="512">
        <f t="shared" si="11"/>
        <v>88.259999999999991</v>
      </c>
      <c r="U76" s="512">
        <f t="shared" si="11"/>
        <v>88.259999999999991</v>
      </c>
      <c r="V76" s="512">
        <f t="shared" si="11"/>
        <v>88.259999999999991</v>
      </c>
      <c r="W76" s="512">
        <f t="shared" si="11"/>
        <v>88.259999999999991</v>
      </c>
      <c r="X76" s="512">
        <f t="shared" si="11"/>
        <v>88.259999999999991</v>
      </c>
      <c r="Y76" s="512">
        <f t="shared" si="11"/>
        <v>88.259999999999991</v>
      </c>
      <c r="Z76" s="512">
        <f t="shared" si="11"/>
        <v>88.259999999999991</v>
      </c>
      <c r="AA76" s="512">
        <f t="shared" si="11"/>
        <v>88.259999999999991</v>
      </c>
      <c r="AB76" s="512">
        <f t="shared" si="11"/>
        <v>88.259999999999991</v>
      </c>
      <c r="AC76" s="512">
        <f t="shared" si="11"/>
        <v>88.259999999999991</v>
      </c>
      <c r="AD76" s="512">
        <f t="shared" si="11"/>
        <v>88.259999999999991</v>
      </c>
      <c r="AE76" s="512">
        <f t="shared" si="11"/>
        <v>88.259999999999991</v>
      </c>
      <c r="AF76" s="512">
        <f t="shared" si="11"/>
        <v>88.259999999999991</v>
      </c>
      <c r="AG76" s="512">
        <f t="shared" si="11"/>
        <v>88.259999999999991</v>
      </c>
      <c r="AH76" s="512">
        <f t="shared" si="11"/>
        <v>88.259999999999991</v>
      </c>
      <c r="AI76" s="512">
        <f t="shared" si="11"/>
        <v>88.259999999999991</v>
      </c>
      <c r="AJ76" s="512">
        <f t="shared" si="11"/>
        <v>88.259999999999991</v>
      </c>
      <c r="AK76" s="512">
        <f t="shared" si="11"/>
        <v>88.259999999999991</v>
      </c>
      <c r="AL76" s="512">
        <f t="shared" si="11"/>
        <v>88.259999999999991</v>
      </c>
      <c r="AM76" s="512">
        <f t="shared" si="11"/>
        <v>88.259999999999991</v>
      </c>
      <c r="AN76" s="512">
        <f t="shared" si="11"/>
        <v>88.259999999999991</v>
      </c>
      <c r="AO76" s="512">
        <f t="shared" si="11"/>
        <v>88.259999999999991</v>
      </c>
      <c r="AP76" s="512">
        <f t="shared" si="11"/>
        <v>88.259999999999991</v>
      </c>
      <c r="AQ76" s="512">
        <f t="shared" si="11"/>
        <v>88.259999999999991</v>
      </c>
      <c r="AR76" s="512">
        <f t="shared" si="11"/>
        <v>88.259999999999991</v>
      </c>
      <c r="AS76" s="512">
        <f t="shared" si="11"/>
        <v>88.259999999999991</v>
      </c>
      <c r="AT76" s="512">
        <f t="shared" si="11"/>
        <v>88.259999999999991</v>
      </c>
      <c r="AU76" s="512">
        <f t="shared" si="11"/>
        <v>88.259999999999991</v>
      </c>
      <c r="AV76" s="512">
        <f t="shared" si="11"/>
        <v>88.259999999999991</v>
      </c>
      <c r="AW76" s="512">
        <f t="shared" si="11"/>
        <v>88.259999999999991</v>
      </c>
      <c r="AX76" s="512">
        <f t="shared" si="11"/>
        <v>88.259999999999991</v>
      </c>
      <c r="AY76" s="512">
        <f t="shared" si="11"/>
        <v>88.259999999999991</v>
      </c>
      <c r="AZ76" s="512">
        <f t="shared" si="11"/>
        <v>88.259999999999991</v>
      </c>
      <c r="BA76" s="512">
        <f t="shared" si="11"/>
        <v>88.259999999999991</v>
      </c>
      <c r="BB76" s="512">
        <f t="shared" si="11"/>
        <v>88.259999999999991</v>
      </c>
      <c r="BC76" s="512">
        <f t="shared" si="11"/>
        <v>88.259999999999991</v>
      </c>
      <c r="BD76" s="512">
        <f t="shared" si="11"/>
        <v>88.259999999999991</v>
      </c>
      <c r="BE76" s="512">
        <f t="shared" si="11"/>
        <v>88.259999999999991</v>
      </c>
      <c r="BF76" s="512">
        <f t="shared" si="11"/>
        <v>88.259999999999991</v>
      </c>
      <c r="BG76" s="495">
        <f t="shared" si="10"/>
        <v>4766.0400000000063</v>
      </c>
      <c r="BH76" s="1056"/>
      <c r="BI76" s="496">
        <f t="shared" si="9"/>
        <v>54.000000000000078</v>
      </c>
    </row>
    <row r="77" spans="1:61" ht="307.89999999999998" customHeight="1" thickTop="1" thickBot="1" x14ac:dyDescent="1.3">
      <c r="A77" s="1097" t="s">
        <v>802</v>
      </c>
      <c r="B77" s="1098"/>
      <c r="C77" s="771"/>
      <c r="D77" s="542"/>
      <c r="E77" s="543"/>
      <c r="F77" s="543"/>
      <c r="G77" s="543"/>
      <c r="H77" s="543"/>
      <c r="I77" s="543"/>
      <c r="J77" s="543"/>
      <c r="K77" s="543"/>
      <c r="L77" s="543"/>
      <c r="M77" s="543"/>
      <c r="N77" s="543"/>
      <c r="O77" s="543"/>
      <c r="P77" s="543"/>
      <c r="Q77" s="543"/>
      <c r="R77" s="543"/>
      <c r="S77" s="1059" t="s">
        <v>150</v>
      </c>
      <c r="T77" s="1059"/>
      <c r="U77" s="543"/>
      <c r="V77" s="543"/>
      <c r="W77" s="543"/>
      <c r="X77" s="543"/>
      <c r="Y77" s="543"/>
      <c r="Z77" s="543"/>
      <c r="AA77" s="543"/>
      <c r="AB77" s="543"/>
      <c r="AC77" s="543"/>
      <c r="AD77" s="543"/>
      <c r="AE77" s="543"/>
      <c r="AF77" s="543"/>
      <c r="AG77" s="543"/>
      <c r="AH77" s="543"/>
      <c r="AI77" s="543"/>
      <c r="AJ77" s="543"/>
      <c r="AK77" s="1059" t="s">
        <v>162</v>
      </c>
      <c r="AL77" s="1059"/>
      <c r="AM77" s="543"/>
      <c r="AN77" s="543"/>
      <c r="AO77" s="543"/>
      <c r="AP77" s="543"/>
      <c r="AQ77" s="543"/>
      <c r="AR77" s="543"/>
      <c r="AS77" s="543"/>
      <c r="AT77" s="543"/>
      <c r="AU77" s="543"/>
      <c r="AV77" s="543"/>
      <c r="AW77" s="543"/>
      <c r="AX77" s="543"/>
      <c r="AY77" s="543"/>
      <c r="AZ77" s="543"/>
      <c r="BA77" s="543"/>
      <c r="BB77" s="543"/>
      <c r="BC77" s="543"/>
      <c r="BD77" s="543"/>
      <c r="BE77" s="543"/>
      <c r="BF77" s="1059" t="s">
        <v>150</v>
      </c>
      <c r="BG77" s="1059"/>
      <c r="BH77" s="544"/>
      <c r="BI77" s="530"/>
    </row>
    <row r="78" spans="1:61" ht="199.9" customHeight="1" thickTop="1" thickBot="1" x14ac:dyDescent="1.3">
      <c r="A78" s="1057" t="s">
        <v>125</v>
      </c>
      <c r="B78" s="1058"/>
      <c r="C78" s="1058"/>
      <c r="D78" s="1058"/>
      <c r="E78" s="512">
        <v>300</v>
      </c>
      <c r="F78" s="512">
        <v>301</v>
      </c>
      <c r="G78" s="512">
        <v>302</v>
      </c>
      <c r="H78" s="512">
        <v>303</v>
      </c>
      <c r="I78" s="512">
        <v>304</v>
      </c>
      <c r="J78" s="512">
        <v>305</v>
      </c>
      <c r="K78" s="512">
        <v>306</v>
      </c>
      <c r="L78" s="512">
        <v>307</v>
      </c>
      <c r="M78" s="512">
        <v>308</v>
      </c>
      <c r="N78" s="512">
        <v>309</v>
      </c>
      <c r="O78" s="512">
        <v>310</v>
      </c>
      <c r="P78" s="512">
        <v>311</v>
      </c>
      <c r="Q78" s="512">
        <v>312</v>
      </c>
      <c r="R78" s="512">
        <v>313</v>
      </c>
      <c r="S78" s="512">
        <v>314</v>
      </c>
      <c r="T78" s="512">
        <v>315</v>
      </c>
      <c r="U78" s="512">
        <v>316</v>
      </c>
      <c r="V78" s="512">
        <v>317</v>
      </c>
      <c r="W78" s="512">
        <v>318</v>
      </c>
      <c r="X78" s="512">
        <v>319</v>
      </c>
      <c r="Y78" s="512">
        <v>320</v>
      </c>
      <c r="Z78" s="512">
        <v>321</v>
      </c>
      <c r="AA78" s="512">
        <v>322</v>
      </c>
      <c r="AB78" s="512">
        <v>323</v>
      </c>
      <c r="AC78" s="512">
        <v>324</v>
      </c>
      <c r="AD78" s="512">
        <v>325</v>
      </c>
      <c r="AE78" s="512">
        <v>326</v>
      </c>
      <c r="AF78" s="512">
        <v>327</v>
      </c>
      <c r="AG78" s="512">
        <v>328</v>
      </c>
      <c r="AH78" s="512">
        <v>329</v>
      </c>
      <c r="AI78" s="512">
        <v>330</v>
      </c>
      <c r="AJ78" s="512">
        <v>331</v>
      </c>
      <c r="AK78" s="512">
        <v>332</v>
      </c>
      <c r="AL78" s="512">
        <v>333</v>
      </c>
      <c r="AM78" s="512">
        <v>334</v>
      </c>
      <c r="AN78" s="512">
        <v>335</v>
      </c>
      <c r="AO78" s="512">
        <v>336</v>
      </c>
      <c r="AP78" s="512">
        <v>337</v>
      </c>
      <c r="AQ78" s="512">
        <v>338</v>
      </c>
      <c r="AR78" s="512">
        <v>339</v>
      </c>
      <c r="AS78" s="512">
        <v>340</v>
      </c>
      <c r="AT78" s="512">
        <v>341</v>
      </c>
      <c r="AU78" s="512">
        <v>342</v>
      </c>
      <c r="AV78" s="512">
        <v>343</v>
      </c>
      <c r="AW78" s="512">
        <v>344</v>
      </c>
      <c r="AX78" s="512">
        <v>345</v>
      </c>
      <c r="AY78" s="512">
        <v>346</v>
      </c>
      <c r="AZ78" s="512">
        <v>347</v>
      </c>
      <c r="BA78" s="512">
        <v>348</v>
      </c>
      <c r="BB78" s="512">
        <v>349</v>
      </c>
      <c r="BC78" s="512">
        <v>350</v>
      </c>
      <c r="BD78" s="512">
        <v>351</v>
      </c>
      <c r="BE78" s="512">
        <v>352</v>
      </c>
      <c r="BF78" s="512">
        <v>353</v>
      </c>
      <c r="BG78" s="485" t="s">
        <v>160</v>
      </c>
      <c r="BH78" s="486" t="s">
        <v>161</v>
      </c>
      <c r="BI78" s="496"/>
    </row>
    <row r="79" spans="1:61" s="511" customFormat="1" ht="195" customHeight="1" thickTop="1" thickBot="1" x14ac:dyDescent="1.3">
      <c r="A79" s="1063" t="s">
        <v>206</v>
      </c>
      <c r="B79" s="499" t="s">
        <v>207</v>
      </c>
      <c r="C79" s="1053" t="s">
        <v>127</v>
      </c>
      <c r="D79" s="1053"/>
      <c r="E79" s="508">
        <v>3850</v>
      </c>
      <c r="F79" s="508">
        <v>3850</v>
      </c>
      <c r="G79" s="508">
        <v>3850</v>
      </c>
      <c r="H79" s="508">
        <v>3850</v>
      </c>
      <c r="I79" s="508">
        <v>3850</v>
      </c>
      <c r="J79" s="508">
        <v>3850</v>
      </c>
      <c r="K79" s="508">
        <v>3850</v>
      </c>
      <c r="L79" s="508">
        <v>3850</v>
      </c>
      <c r="M79" s="508">
        <v>3850</v>
      </c>
      <c r="N79" s="508">
        <v>3850</v>
      </c>
      <c r="O79" s="508">
        <v>3850</v>
      </c>
      <c r="P79" s="508">
        <v>3850</v>
      </c>
      <c r="Q79" s="508">
        <v>3850</v>
      </c>
      <c r="R79" s="508">
        <v>3850</v>
      </c>
      <c r="S79" s="508">
        <v>3850</v>
      </c>
      <c r="T79" s="508">
        <v>3850</v>
      </c>
      <c r="U79" s="508">
        <v>3850</v>
      </c>
      <c r="V79" s="508">
        <v>3850</v>
      </c>
      <c r="W79" s="508">
        <v>3850</v>
      </c>
      <c r="X79" s="508">
        <v>3850</v>
      </c>
      <c r="Y79" s="508">
        <v>3850</v>
      </c>
      <c r="Z79" s="508">
        <v>3850</v>
      </c>
      <c r="AA79" s="508">
        <v>3850</v>
      </c>
      <c r="AB79" s="508">
        <v>3850</v>
      </c>
      <c r="AC79" s="508">
        <v>3850</v>
      </c>
      <c r="AD79" s="508">
        <v>3850</v>
      </c>
      <c r="AE79" s="508">
        <v>3850</v>
      </c>
      <c r="AF79" s="508">
        <v>3850</v>
      </c>
      <c r="AG79" s="508">
        <v>3850</v>
      </c>
      <c r="AH79" s="508">
        <v>3850</v>
      </c>
      <c r="AI79" s="508">
        <v>3850</v>
      </c>
      <c r="AJ79" s="508">
        <v>3850</v>
      </c>
      <c r="AK79" s="508">
        <v>3850</v>
      </c>
      <c r="AL79" s="508">
        <v>3850</v>
      </c>
      <c r="AM79" s="508">
        <v>3850</v>
      </c>
      <c r="AN79" s="508">
        <v>3850</v>
      </c>
      <c r="AO79" s="508">
        <v>3850</v>
      </c>
      <c r="AP79" s="508">
        <v>3850</v>
      </c>
      <c r="AQ79" s="508">
        <v>3850</v>
      </c>
      <c r="AR79" s="508">
        <v>3850</v>
      </c>
      <c r="AS79" s="508">
        <v>3850</v>
      </c>
      <c r="AT79" s="508">
        <v>3850</v>
      </c>
      <c r="AU79" s="508">
        <v>3850</v>
      </c>
      <c r="AV79" s="508">
        <v>3850</v>
      </c>
      <c r="AW79" s="508">
        <v>3850</v>
      </c>
      <c r="AX79" s="508">
        <v>3850</v>
      </c>
      <c r="AY79" s="508">
        <v>3850</v>
      </c>
      <c r="AZ79" s="508">
        <v>3850</v>
      </c>
      <c r="BA79" s="508">
        <v>3850</v>
      </c>
      <c r="BB79" s="508">
        <v>3850</v>
      </c>
      <c r="BC79" s="508">
        <v>3850</v>
      </c>
      <c r="BD79" s="508">
        <v>3850</v>
      </c>
      <c r="BE79" s="508">
        <v>3850</v>
      </c>
      <c r="BF79" s="508">
        <v>3850</v>
      </c>
      <c r="BG79" s="490">
        <f t="shared" ref="BG79:BG91" si="12">SUM(E79:BF79)</f>
        <v>207900</v>
      </c>
      <c r="BH79" s="1056">
        <f>SUM(BG80:BG85)</f>
        <v>209891.6084</v>
      </c>
      <c r="BI79" s="491">
        <f t="shared" si="9"/>
        <v>54</v>
      </c>
    </row>
    <row r="80" spans="1:61" ht="195" customHeight="1" thickTop="1" thickBot="1" x14ac:dyDescent="1.3">
      <c r="A80" s="1063"/>
      <c r="B80" s="502" t="s">
        <v>208</v>
      </c>
      <c r="C80" s="1052" t="s">
        <v>128</v>
      </c>
      <c r="D80" s="1052"/>
      <c r="E80" s="512">
        <v>643.2435999999999</v>
      </c>
      <c r="F80" s="512">
        <v>643.2435999999999</v>
      </c>
      <c r="G80" s="512">
        <v>643.2435999999999</v>
      </c>
      <c r="H80" s="512">
        <v>643.2435999999999</v>
      </c>
      <c r="I80" s="512">
        <v>643.2435999999999</v>
      </c>
      <c r="J80" s="512">
        <v>643.2435999999999</v>
      </c>
      <c r="K80" s="512">
        <v>643.2435999999999</v>
      </c>
      <c r="L80" s="512">
        <v>643.2435999999999</v>
      </c>
      <c r="M80" s="512">
        <v>643.2435999999999</v>
      </c>
      <c r="N80" s="512">
        <v>643.2435999999999</v>
      </c>
      <c r="O80" s="512">
        <v>643.2435999999999</v>
      </c>
      <c r="P80" s="512">
        <v>643.2435999999999</v>
      </c>
      <c r="Q80" s="512">
        <v>643.2435999999999</v>
      </c>
      <c r="R80" s="512">
        <v>643.2435999999999</v>
      </c>
      <c r="S80" s="512">
        <v>643.2435999999999</v>
      </c>
      <c r="T80" s="512">
        <v>643.2435999999999</v>
      </c>
      <c r="U80" s="512">
        <v>643.2435999999999</v>
      </c>
      <c r="V80" s="512">
        <v>643.2435999999999</v>
      </c>
      <c r="W80" s="512">
        <v>643.2435999999999</v>
      </c>
      <c r="X80" s="512">
        <v>643.2435999999999</v>
      </c>
      <c r="Y80" s="512">
        <v>643.2435999999999</v>
      </c>
      <c r="Z80" s="512">
        <v>643.2435999999999</v>
      </c>
      <c r="AA80" s="512">
        <v>643.2435999999999</v>
      </c>
      <c r="AB80" s="512">
        <v>643.2435999999999</v>
      </c>
      <c r="AC80" s="512">
        <v>643.2435999999999</v>
      </c>
      <c r="AD80" s="512">
        <v>643.2435999999999</v>
      </c>
      <c r="AE80" s="512">
        <v>643.2435999999999</v>
      </c>
      <c r="AF80" s="512">
        <v>643.2435999999999</v>
      </c>
      <c r="AG80" s="512">
        <v>643.2435999999999</v>
      </c>
      <c r="AH80" s="557">
        <v>643.2435999999999</v>
      </c>
      <c r="AI80" s="512">
        <v>643.2435999999999</v>
      </c>
      <c r="AJ80" s="512">
        <v>643.2435999999999</v>
      </c>
      <c r="AK80" s="512">
        <v>643.2435999999999</v>
      </c>
      <c r="AL80" s="512">
        <v>643.2435999999999</v>
      </c>
      <c r="AM80" s="512">
        <v>643.2435999999999</v>
      </c>
      <c r="AN80" s="512">
        <v>643.2435999999999</v>
      </c>
      <c r="AO80" s="512">
        <v>643.2435999999999</v>
      </c>
      <c r="AP80" s="512">
        <v>643.2435999999999</v>
      </c>
      <c r="AQ80" s="512">
        <v>643.2435999999999</v>
      </c>
      <c r="AR80" s="512">
        <v>643.2435999999999</v>
      </c>
      <c r="AS80" s="512">
        <v>643.2435999999999</v>
      </c>
      <c r="AT80" s="512">
        <v>643.2435999999999</v>
      </c>
      <c r="AU80" s="512">
        <v>643.2435999999999</v>
      </c>
      <c r="AV80" s="512">
        <v>643.2435999999999</v>
      </c>
      <c r="AW80" s="512">
        <v>643.2435999999999</v>
      </c>
      <c r="AX80" s="512">
        <v>643.2435999999999</v>
      </c>
      <c r="AY80" s="512">
        <v>643.2435999999999</v>
      </c>
      <c r="AZ80" s="512">
        <v>643.2435999999999</v>
      </c>
      <c r="BA80" s="512">
        <v>643.2435999999999</v>
      </c>
      <c r="BB80" s="512">
        <v>643.2435999999999</v>
      </c>
      <c r="BC80" s="512">
        <v>643.2435999999999</v>
      </c>
      <c r="BD80" s="512">
        <v>643.2435999999999</v>
      </c>
      <c r="BE80" s="512">
        <v>643.2435999999999</v>
      </c>
      <c r="BF80" s="512">
        <v>643.2435999999999</v>
      </c>
      <c r="BG80" s="495">
        <f t="shared" si="12"/>
        <v>34735.154400000043</v>
      </c>
      <c r="BH80" s="1056"/>
      <c r="BI80" s="496">
        <f>BG80/BF80</f>
        <v>54.000000000000078</v>
      </c>
    </row>
    <row r="81" spans="1:62" ht="195" customHeight="1" thickTop="1" thickBot="1" x14ac:dyDescent="1.3">
      <c r="A81" s="1063"/>
      <c r="B81" s="502" t="s">
        <v>209</v>
      </c>
      <c r="C81" s="1052" t="s">
        <v>128</v>
      </c>
      <c r="D81" s="1052"/>
      <c r="E81" s="512">
        <v>652.90899999999988</v>
      </c>
      <c r="F81" s="512">
        <v>652.90899999999988</v>
      </c>
      <c r="G81" s="512">
        <v>652.90899999999988</v>
      </c>
      <c r="H81" s="512">
        <v>652.90899999999988</v>
      </c>
      <c r="I81" s="512">
        <v>652.90899999999988</v>
      </c>
      <c r="J81" s="512">
        <v>652.90899999999988</v>
      </c>
      <c r="K81" s="512">
        <v>652.90899999999988</v>
      </c>
      <c r="L81" s="512">
        <v>652.90899999999988</v>
      </c>
      <c r="M81" s="512">
        <v>652.90899999999988</v>
      </c>
      <c r="N81" s="512">
        <v>652.90899999999988</v>
      </c>
      <c r="O81" s="512">
        <v>652.90899999999988</v>
      </c>
      <c r="P81" s="512">
        <v>652.90899999999988</v>
      </c>
      <c r="Q81" s="512">
        <v>652.90899999999988</v>
      </c>
      <c r="R81" s="512">
        <v>652.90899999999988</v>
      </c>
      <c r="S81" s="512">
        <v>652.90899999999988</v>
      </c>
      <c r="T81" s="512">
        <v>652.90899999999988</v>
      </c>
      <c r="U81" s="512">
        <v>652.90899999999988</v>
      </c>
      <c r="V81" s="512">
        <v>652.90899999999988</v>
      </c>
      <c r="W81" s="512">
        <v>652.90899999999988</v>
      </c>
      <c r="X81" s="512">
        <v>652.90899999999988</v>
      </c>
      <c r="Y81" s="512">
        <v>652.90899999999988</v>
      </c>
      <c r="Z81" s="512">
        <v>652.90899999999988</v>
      </c>
      <c r="AA81" s="512">
        <v>652.90899999999988</v>
      </c>
      <c r="AB81" s="512">
        <v>652.90899999999988</v>
      </c>
      <c r="AC81" s="512">
        <v>652.90899999999988</v>
      </c>
      <c r="AD81" s="512">
        <v>652.90899999999988</v>
      </c>
      <c r="AE81" s="512">
        <v>652.90899999999988</v>
      </c>
      <c r="AF81" s="512">
        <v>652.90899999999988</v>
      </c>
      <c r="AG81" s="512">
        <v>652.90899999999988</v>
      </c>
      <c r="AH81" s="557">
        <v>652.90899999999988</v>
      </c>
      <c r="AI81" s="512">
        <v>652.90899999999988</v>
      </c>
      <c r="AJ81" s="512">
        <v>652.90899999999988</v>
      </c>
      <c r="AK81" s="512">
        <v>652.90899999999988</v>
      </c>
      <c r="AL81" s="512">
        <v>652.90899999999988</v>
      </c>
      <c r="AM81" s="512">
        <v>652.90899999999988</v>
      </c>
      <c r="AN81" s="512">
        <v>652.91</v>
      </c>
      <c r="AO81" s="512">
        <v>652.90899999999988</v>
      </c>
      <c r="AP81" s="512">
        <v>652.90899999999988</v>
      </c>
      <c r="AQ81" s="512">
        <v>652.90899999999988</v>
      </c>
      <c r="AR81" s="512">
        <v>652.90899999999988</v>
      </c>
      <c r="AS81" s="512">
        <v>652.90899999999988</v>
      </c>
      <c r="AT81" s="512">
        <v>652.90899999999988</v>
      </c>
      <c r="AU81" s="512">
        <v>652.90899999999988</v>
      </c>
      <c r="AV81" s="512">
        <v>652.90899999999988</v>
      </c>
      <c r="AW81" s="512">
        <v>652.90899999999988</v>
      </c>
      <c r="AX81" s="512">
        <v>652.90899999999988</v>
      </c>
      <c r="AY81" s="512">
        <v>652.90899999999988</v>
      </c>
      <c r="AZ81" s="512">
        <v>652.90899999999988</v>
      </c>
      <c r="BA81" s="512">
        <v>652.90899999999988</v>
      </c>
      <c r="BB81" s="512">
        <v>652.90899999999988</v>
      </c>
      <c r="BC81" s="512">
        <v>652.90899999999988</v>
      </c>
      <c r="BD81" s="512">
        <v>652.90899999999988</v>
      </c>
      <c r="BE81" s="512">
        <v>652.90899999999988</v>
      </c>
      <c r="BF81" s="512">
        <v>652.90899999999988</v>
      </c>
      <c r="BG81" s="495">
        <f t="shared" si="12"/>
        <v>35257.086999999985</v>
      </c>
      <c r="BH81" s="1056"/>
      <c r="BI81" s="496">
        <f t="shared" si="9"/>
        <v>54.000001531606998</v>
      </c>
    </row>
    <row r="82" spans="1:62" ht="195" customHeight="1" thickTop="1" thickBot="1" x14ac:dyDescent="1.3">
      <c r="A82" s="1063"/>
      <c r="B82" s="502" t="s">
        <v>210</v>
      </c>
      <c r="C82" s="1052" t="s">
        <v>128</v>
      </c>
      <c r="D82" s="1052"/>
      <c r="E82" s="512">
        <v>652.90899999999988</v>
      </c>
      <c r="F82" s="512">
        <v>652.90899999999988</v>
      </c>
      <c r="G82" s="512">
        <v>652.90899999999988</v>
      </c>
      <c r="H82" s="512">
        <v>652.90899999999988</v>
      </c>
      <c r="I82" s="512">
        <v>652.90899999999988</v>
      </c>
      <c r="J82" s="512">
        <v>652.90899999999988</v>
      </c>
      <c r="K82" s="512">
        <v>652.90899999999988</v>
      </c>
      <c r="L82" s="512">
        <v>652.90899999999988</v>
      </c>
      <c r="M82" s="512">
        <v>652.90899999999988</v>
      </c>
      <c r="N82" s="512">
        <v>652.90899999999988</v>
      </c>
      <c r="O82" s="512">
        <v>652.90899999999988</v>
      </c>
      <c r="P82" s="512">
        <v>652.90899999999988</v>
      </c>
      <c r="Q82" s="512">
        <v>652.90899999999988</v>
      </c>
      <c r="R82" s="512">
        <v>652.90899999999988</v>
      </c>
      <c r="S82" s="512">
        <v>652.90899999999988</v>
      </c>
      <c r="T82" s="512">
        <v>652.90899999999988</v>
      </c>
      <c r="U82" s="512">
        <v>652.90899999999988</v>
      </c>
      <c r="V82" s="512">
        <v>652.90899999999988</v>
      </c>
      <c r="W82" s="512">
        <v>652.90899999999988</v>
      </c>
      <c r="X82" s="512">
        <v>652.90899999999988</v>
      </c>
      <c r="Y82" s="512">
        <v>652.90899999999988</v>
      </c>
      <c r="Z82" s="512">
        <v>652.90899999999988</v>
      </c>
      <c r="AA82" s="512">
        <v>652.90899999999988</v>
      </c>
      <c r="AB82" s="512">
        <v>652.90899999999988</v>
      </c>
      <c r="AC82" s="512">
        <v>652.90899999999988</v>
      </c>
      <c r="AD82" s="512">
        <v>652.90899999999988</v>
      </c>
      <c r="AE82" s="512">
        <v>652.90899999999988</v>
      </c>
      <c r="AF82" s="512">
        <v>652.90899999999988</v>
      </c>
      <c r="AG82" s="512">
        <v>652.90899999999988</v>
      </c>
      <c r="AH82" s="557">
        <v>652.90899999999988</v>
      </c>
      <c r="AI82" s="512">
        <v>652.90899999999988</v>
      </c>
      <c r="AJ82" s="512">
        <v>652.90899999999988</v>
      </c>
      <c r="AK82" s="512">
        <v>652.90899999999988</v>
      </c>
      <c r="AL82" s="512">
        <v>652.90899999999988</v>
      </c>
      <c r="AM82" s="512">
        <v>652.90899999999988</v>
      </c>
      <c r="AN82" s="512">
        <v>652.91</v>
      </c>
      <c r="AO82" s="512">
        <v>652.90899999999988</v>
      </c>
      <c r="AP82" s="512">
        <v>652.90899999999988</v>
      </c>
      <c r="AQ82" s="512">
        <v>652.90899999999988</v>
      </c>
      <c r="AR82" s="512">
        <v>652.90899999999988</v>
      </c>
      <c r="AS82" s="512">
        <v>652.90899999999988</v>
      </c>
      <c r="AT82" s="512">
        <v>652.90899999999988</v>
      </c>
      <c r="AU82" s="512">
        <v>652.90899999999988</v>
      </c>
      <c r="AV82" s="512">
        <v>652.90899999999988</v>
      </c>
      <c r="AW82" s="512">
        <v>652.90899999999988</v>
      </c>
      <c r="AX82" s="512">
        <v>652.90899999999988</v>
      </c>
      <c r="AY82" s="512">
        <v>652.90899999999988</v>
      </c>
      <c r="AZ82" s="512">
        <v>652.90899999999988</v>
      </c>
      <c r="BA82" s="512">
        <v>652.90899999999988</v>
      </c>
      <c r="BB82" s="512">
        <v>652.90899999999988</v>
      </c>
      <c r="BC82" s="512">
        <v>652.90899999999988</v>
      </c>
      <c r="BD82" s="512">
        <v>652.90899999999988</v>
      </c>
      <c r="BE82" s="512">
        <v>652.90899999999988</v>
      </c>
      <c r="BF82" s="512">
        <v>652.90899999999988</v>
      </c>
      <c r="BG82" s="495">
        <f t="shared" si="12"/>
        <v>35257.086999999985</v>
      </c>
      <c r="BH82" s="1056"/>
      <c r="BI82" s="496">
        <f t="shared" si="9"/>
        <v>54.000001531606998</v>
      </c>
    </row>
    <row r="83" spans="1:62" ht="195" customHeight="1" thickTop="1" thickBot="1" x14ac:dyDescent="1.3">
      <c r="A83" s="1063"/>
      <c r="B83" s="502" t="s">
        <v>211</v>
      </c>
      <c r="C83" s="1052" t="s">
        <v>128</v>
      </c>
      <c r="D83" s="1052"/>
      <c r="E83" s="512">
        <v>652.90899999999988</v>
      </c>
      <c r="F83" s="512">
        <v>652.90899999999988</v>
      </c>
      <c r="G83" s="512">
        <v>652.90899999999988</v>
      </c>
      <c r="H83" s="512">
        <v>652.90899999999988</v>
      </c>
      <c r="I83" s="512">
        <v>652.90899999999988</v>
      </c>
      <c r="J83" s="512">
        <v>652.90899999999988</v>
      </c>
      <c r="K83" s="512">
        <v>652.90899999999988</v>
      </c>
      <c r="L83" s="512">
        <v>652.90899999999988</v>
      </c>
      <c r="M83" s="512">
        <v>652.90899999999988</v>
      </c>
      <c r="N83" s="512">
        <v>652.90899999999988</v>
      </c>
      <c r="O83" s="512">
        <v>652.90899999999988</v>
      </c>
      <c r="P83" s="512">
        <v>652.90899999999988</v>
      </c>
      <c r="Q83" s="512">
        <v>652.90899999999988</v>
      </c>
      <c r="R83" s="512">
        <v>652.90899999999988</v>
      </c>
      <c r="S83" s="512">
        <v>652.90899999999988</v>
      </c>
      <c r="T83" s="512">
        <v>652.90899999999988</v>
      </c>
      <c r="U83" s="512">
        <v>652.90899999999988</v>
      </c>
      <c r="V83" s="512">
        <v>652.90899999999988</v>
      </c>
      <c r="W83" s="512">
        <v>652.90899999999988</v>
      </c>
      <c r="X83" s="512">
        <v>652.90899999999988</v>
      </c>
      <c r="Y83" s="512">
        <v>652.90899999999988</v>
      </c>
      <c r="Z83" s="512">
        <v>652.90899999999988</v>
      </c>
      <c r="AA83" s="512">
        <v>652.90899999999988</v>
      </c>
      <c r="AB83" s="512">
        <v>652.90899999999988</v>
      </c>
      <c r="AC83" s="512">
        <v>652.90899999999988</v>
      </c>
      <c r="AD83" s="512">
        <v>652.90899999999988</v>
      </c>
      <c r="AE83" s="512">
        <v>652.90899999999988</v>
      </c>
      <c r="AF83" s="512">
        <v>652.90899999999988</v>
      </c>
      <c r="AG83" s="512">
        <v>652.90899999999988</v>
      </c>
      <c r="AH83" s="557">
        <v>652.90899999999988</v>
      </c>
      <c r="AI83" s="512">
        <v>652.90899999999988</v>
      </c>
      <c r="AJ83" s="512">
        <v>652.90899999999988</v>
      </c>
      <c r="AK83" s="512">
        <v>652.90899999999988</v>
      </c>
      <c r="AL83" s="512">
        <v>652.90899999999988</v>
      </c>
      <c r="AM83" s="512">
        <v>652.90899999999988</v>
      </c>
      <c r="AN83" s="512">
        <v>652.91</v>
      </c>
      <c r="AO83" s="512">
        <v>652.90899999999988</v>
      </c>
      <c r="AP83" s="512">
        <v>652.90899999999988</v>
      </c>
      <c r="AQ83" s="512">
        <v>652.90899999999988</v>
      </c>
      <c r="AR83" s="512">
        <v>652.90899999999988</v>
      </c>
      <c r="AS83" s="512">
        <v>652.90899999999988</v>
      </c>
      <c r="AT83" s="512">
        <v>652.90899999999988</v>
      </c>
      <c r="AU83" s="512">
        <v>652.90899999999988</v>
      </c>
      <c r="AV83" s="512">
        <v>652.90899999999988</v>
      </c>
      <c r="AW83" s="512">
        <v>652.90899999999988</v>
      </c>
      <c r="AX83" s="512">
        <v>652.90899999999988</v>
      </c>
      <c r="AY83" s="512">
        <v>652.90899999999988</v>
      </c>
      <c r="AZ83" s="512">
        <v>652.90899999999988</v>
      </c>
      <c r="BA83" s="512">
        <v>652.90899999999988</v>
      </c>
      <c r="BB83" s="512">
        <v>652.90899999999988</v>
      </c>
      <c r="BC83" s="512">
        <v>652.90899999999988</v>
      </c>
      <c r="BD83" s="512">
        <v>652.90899999999988</v>
      </c>
      <c r="BE83" s="512">
        <v>652.90899999999988</v>
      </c>
      <c r="BF83" s="512">
        <v>652.90899999999988</v>
      </c>
      <c r="BG83" s="495">
        <f t="shared" si="12"/>
        <v>35257.086999999985</v>
      </c>
      <c r="BH83" s="1056"/>
      <c r="BI83" s="496">
        <f t="shared" si="9"/>
        <v>54.000001531606998</v>
      </c>
    </row>
    <row r="84" spans="1:62" ht="195" customHeight="1" thickTop="1" thickBot="1" x14ac:dyDescent="1.3">
      <c r="A84" s="1063"/>
      <c r="B84" s="502" t="s">
        <v>212</v>
      </c>
      <c r="C84" s="1052" t="s">
        <v>128</v>
      </c>
      <c r="D84" s="1052"/>
      <c r="E84" s="512">
        <v>652.90899999999988</v>
      </c>
      <c r="F84" s="512">
        <v>652.90899999999988</v>
      </c>
      <c r="G84" s="512">
        <v>652.90899999999988</v>
      </c>
      <c r="H84" s="512">
        <v>652.90899999999988</v>
      </c>
      <c r="I84" s="512">
        <v>652.90899999999988</v>
      </c>
      <c r="J84" s="512">
        <v>652.90899999999988</v>
      </c>
      <c r="K84" s="512">
        <v>652.90899999999988</v>
      </c>
      <c r="L84" s="512">
        <v>652.90899999999988</v>
      </c>
      <c r="M84" s="512">
        <v>652.90899999999988</v>
      </c>
      <c r="N84" s="512">
        <v>652.90899999999988</v>
      </c>
      <c r="O84" s="512">
        <v>652.90899999999988</v>
      </c>
      <c r="P84" s="512">
        <v>652.90899999999988</v>
      </c>
      <c r="Q84" s="512">
        <v>652.90899999999988</v>
      </c>
      <c r="R84" s="512">
        <v>652.90899999999988</v>
      </c>
      <c r="S84" s="512">
        <v>652.90899999999988</v>
      </c>
      <c r="T84" s="512">
        <v>652.90899999999988</v>
      </c>
      <c r="U84" s="512">
        <v>652.90899999999988</v>
      </c>
      <c r="V84" s="512">
        <v>652.90899999999988</v>
      </c>
      <c r="W84" s="512">
        <v>652.90899999999988</v>
      </c>
      <c r="X84" s="512">
        <v>652.90899999999988</v>
      </c>
      <c r="Y84" s="512">
        <v>652.90899999999988</v>
      </c>
      <c r="Z84" s="512">
        <v>652.90899999999988</v>
      </c>
      <c r="AA84" s="512">
        <v>652.90899999999988</v>
      </c>
      <c r="AB84" s="512">
        <v>652.90899999999988</v>
      </c>
      <c r="AC84" s="512">
        <v>652.90899999999988</v>
      </c>
      <c r="AD84" s="512">
        <v>652.90899999999988</v>
      </c>
      <c r="AE84" s="512">
        <v>652.90899999999988</v>
      </c>
      <c r="AF84" s="512">
        <v>652.90899999999988</v>
      </c>
      <c r="AG84" s="512">
        <v>652.90899999999988</v>
      </c>
      <c r="AH84" s="557">
        <v>652.90899999999988</v>
      </c>
      <c r="AI84" s="512">
        <v>652.90899999999988</v>
      </c>
      <c r="AJ84" s="512">
        <v>652.90899999999988</v>
      </c>
      <c r="AK84" s="512">
        <v>652.90899999999988</v>
      </c>
      <c r="AL84" s="512">
        <v>652.90899999999988</v>
      </c>
      <c r="AM84" s="512">
        <v>652.90899999999988</v>
      </c>
      <c r="AN84" s="512">
        <v>652.91</v>
      </c>
      <c r="AO84" s="512">
        <v>652.90899999999988</v>
      </c>
      <c r="AP84" s="512">
        <v>652.90899999999988</v>
      </c>
      <c r="AQ84" s="512">
        <v>652.90899999999988</v>
      </c>
      <c r="AR84" s="512">
        <v>652.90899999999988</v>
      </c>
      <c r="AS84" s="512">
        <v>652.90899999999988</v>
      </c>
      <c r="AT84" s="512">
        <v>652.90899999999988</v>
      </c>
      <c r="AU84" s="512">
        <v>652.90899999999988</v>
      </c>
      <c r="AV84" s="512">
        <v>652.90899999999988</v>
      </c>
      <c r="AW84" s="512">
        <v>652.90899999999988</v>
      </c>
      <c r="AX84" s="512">
        <v>652.90899999999988</v>
      </c>
      <c r="AY84" s="512">
        <v>652.90899999999988</v>
      </c>
      <c r="AZ84" s="512">
        <v>652.90899999999988</v>
      </c>
      <c r="BA84" s="512">
        <v>652.90899999999988</v>
      </c>
      <c r="BB84" s="512">
        <v>652.90899999999988</v>
      </c>
      <c r="BC84" s="512">
        <v>652.90899999999988</v>
      </c>
      <c r="BD84" s="512">
        <v>652.90899999999988</v>
      </c>
      <c r="BE84" s="512">
        <v>652.90899999999988</v>
      </c>
      <c r="BF84" s="512">
        <v>652.90899999999988</v>
      </c>
      <c r="BG84" s="495">
        <f t="shared" si="12"/>
        <v>35257.086999999985</v>
      </c>
      <c r="BH84" s="1056"/>
      <c r="BI84" s="496">
        <f t="shared" si="9"/>
        <v>54.000001531606998</v>
      </c>
    </row>
    <row r="85" spans="1:62" ht="195" customHeight="1" thickTop="1" thickBot="1" x14ac:dyDescent="1.3">
      <c r="A85" s="1063"/>
      <c r="B85" s="502" t="s">
        <v>213</v>
      </c>
      <c r="C85" s="1052" t="s">
        <v>128</v>
      </c>
      <c r="D85" s="1052"/>
      <c r="E85" s="512">
        <v>632.00199999999984</v>
      </c>
      <c r="F85" s="512">
        <v>632.00199999999984</v>
      </c>
      <c r="G85" s="512">
        <v>632.00199999999984</v>
      </c>
      <c r="H85" s="512">
        <v>632.00199999999984</v>
      </c>
      <c r="I85" s="512">
        <v>632.00199999999984</v>
      </c>
      <c r="J85" s="512">
        <v>632.00199999999984</v>
      </c>
      <c r="K85" s="512">
        <v>632.00199999999984</v>
      </c>
      <c r="L85" s="512">
        <v>632.00199999999984</v>
      </c>
      <c r="M85" s="512">
        <v>632.00199999999984</v>
      </c>
      <c r="N85" s="512">
        <v>632.00199999999984</v>
      </c>
      <c r="O85" s="512">
        <v>632.00199999999984</v>
      </c>
      <c r="P85" s="512">
        <v>632.00199999999984</v>
      </c>
      <c r="Q85" s="512">
        <v>632.00199999999984</v>
      </c>
      <c r="R85" s="512">
        <v>632.00199999999984</v>
      </c>
      <c r="S85" s="512">
        <v>632.00199999999984</v>
      </c>
      <c r="T85" s="512">
        <v>632.00199999999984</v>
      </c>
      <c r="U85" s="512">
        <v>632.00199999999984</v>
      </c>
      <c r="V85" s="512">
        <v>632.00199999999984</v>
      </c>
      <c r="W85" s="512">
        <v>632.00199999999984</v>
      </c>
      <c r="X85" s="512">
        <v>632.00199999999984</v>
      </c>
      <c r="Y85" s="512">
        <v>632.00199999999984</v>
      </c>
      <c r="Z85" s="512">
        <v>632.00199999999984</v>
      </c>
      <c r="AA85" s="512">
        <v>632.00199999999984</v>
      </c>
      <c r="AB85" s="512">
        <v>632.00199999999984</v>
      </c>
      <c r="AC85" s="512">
        <v>632.00199999999984</v>
      </c>
      <c r="AD85" s="512">
        <v>632.00199999999984</v>
      </c>
      <c r="AE85" s="512">
        <v>632.00199999999984</v>
      </c>
      <c r="AF85" s="512">
        <v>632.00199999999984</v>
      </c>
      <c r="AG85" s="512">
        <v>632.00199999999984</v>
      </c>
      <c r="AH85" s="557">
        <v>632.00199999999984</v>
      </c>
      <c r="AI85" s="512">
        <v>632.00199999999984</v>
      </c>
      <c r="AJ85" s="512">
        <v>632.00199999999984</v>
      </c>
      <c r="AK85" s="512">
        <v>632.00199999999984</v>
      </c>
      <c r="AL85" s="512">
        <v>632.00199999999984</v>
      </c>
      <c r="AM85" s="512">
        <v>632.00199999999984</v>
      </c>
      <c r="AN85" s="512">
        <v>632</v>
      </c>
      <c r="AO85" s="512">
        <v>632.00199999999984</v>
      </c>
      <c r="AP85" s="512">
        <v>632.00199999999984</v>
      </c>
      <c r="AQ85" s="512">
        <v>632.00199999999984</v>
      </c>
      <c r="AR85" s="512">
        <v>632.00199999999984</v>
      </c>
      <c r="AS85" s="512">
        <v>632.00199999999984</v>
      </c>
      <c r="AT85" s="512">
        <v>632.00199999999984</v>
      </c>
      <c r="AU85" s="512">
        <v>632.00199999999984</v>
      </c>
      <c r="AV85" s="512">
        <v>632.00199999999984</v>
      </c>
      <c r="AW85" s="512">
        <v>632.00199999999984</v>
      </c>
      <c r="AX85" s="512">
        <v>632.00199999999984</v>
      </c>
      <c r="AY85" s="512">
        <v>632.00199999999984</v>
      </c>
      <c r="AZ85" s="512">
        <v>632.00199999999984</v>
      </c>
      <c r="BA85" s="512">
        <v>632.00199999999984</v>
      </c>
      <c r="BB85" s="512">
        <v>632.00199999999984</v>
      </c>
      <c r="BC85" s="512">
        <v>632.00199999999984</v>
      </c>
      <c r="BD85" s="512">
        <v>632.00199999999984</v>
      </c>
      <c r="BE85" s="512">
        <v>632.00199999999984</v>
      </c>
      <c r="BF85" s="512">
        <v>632.00199999999984</v>
      </c>
      <c r="BG85" s="495">
        <f t="shared" si="12"/>
        <v>34128.106000000007</v>
      </c>
      <c r="BH85" s="1056"/>
      <c r="BI85" s="496">
        <f t="shared" si="9"/>
        <v>53.999996835453075</v>
      </c>
    </row>
    <row r="86" spans="1:62" s="511" customFormat="1" ht="195" customHeight="1" thickTop="1" thickBot="1" x14ac:dyDescent="1.3">
      <c r="A86" s="1063" t="s">
        <v>221</v>
      </c>
      <c r="B86" s="499" t="s">
        <v>214</v>
      </c>
      <c r="C86" s="1053" t="s">
        <v>127</v>
      </c>
      <c r="D86" s="1053"/>
      <c r="E86" s="508">
        <v>1590</v>
      </c>
      <c r="F86" s="508">
        <v>1590</v>
      </c>
      <c r="G86" s="508">
        <v>1590</v>
      </c>
      <c r="H86" s="508">
        <v>1590</v>
      </c>
      <c r="I86" s="508">
        <v>1590</v>
      </c>
      <c r="J86" s="508">
        <v>1590</v>
      </c>
      <c r="K86" s="508">
        <v>1590</v>
      </c>
      <c r="L86" s="508">
        <v>1590</v>
      </c>
      <c r="M86" s="508">
        <v>1590</v>
      </c>
      <c r="N86" s="508">
        <v>1590</v>
      </c>
      <c r="O86" s="508">
        <v>1590</v>
      </c>
      <c r="P86" s="508">
        <v>1590</v>
      </c>
      <c r="Q86" s="508">
        <v>1590</v>
      </c>
      <c r="R86" s="508">
        <v>1590</v>
      </c>
      <c r="S86" s="508">
        <v>1590</v>
      </c>
      <c r="T86" s="508">
        <v>1590</v>
      </c>
      <c r="U86" s="508">
        <v>1590</v>
      </c>
      <c r="V86" s="508">
        <v>1590</v>
      </c>
      <c r="W86" s="508">
        <v>1590</v>
      </c>
      <c r="X86" s="508">
        <v>1590</v>
      </c>
      <c r="Y86" s="508">
        <v>1590</v>
      </c>
      <c r="Z86" s="508">
        <v>1590</v>
      </c>
      <c r="AA86" s="508">
        <v>1590</v>
      </c>
      <c r="AB86" s="508">
        <v>1590</v>
      </c>
      <c r="AC86" s="508">
        <v>1590</v>
      </c>
      <c r="AD86" s="508">
        <v>1590</v>
      </c>
      <c r="AE86" s="508">
        <v>1590</v>
      </c>
      <c r="AF86" s="508">
        <v>1590</v>
      </c>
      <c r="AG86" s="508">
        <v>1590</v>
      </c>
      <c r="AH86" s="508">
        <v>1590</v>
      </c>
      <c r="AI86" s="508">
        <v>1590</v>
      </c>
      <c r="AJ86" s="508">
        <v>1590</v>
      </c>
      <c r="AK86" s="508">
        <v>1590</v>
      </c>
      <c r="AL86" s="508">
        <v>1590</v>
      </c>
      <c r="AM86" s="508">
        <v>1590</v>
      </c>
      <c r="AN86" s="508">
        <v>1590</v>
      </c>
      <c r="AO86" s="508">
        <v>1590</v>
      </c>
      <c r="AP86" s="508">
        <v>1590</v>
      </c>
      <c r="AQ86" s="508">
        <v>1590</v>
      </c>
      <c r="AR86" s="508">
        <v>1590</v>
      </c>
      <c r="AS86" s="508">
        <v>1590</v>
      </c>
      <c r="AT86" s="508">
        <v>1590</v>
      </c>
      <c r="AU86" s="508">
        <v>1590</v>
      </c>
      <c r="AV86" s="508">
        <v>1590</v>
      </c>
      <c r="AW86" s="508">
        <v>1590</v>
      </c>
      <c r="AX86" s="508">
        <v>1590</v>
      </c>
      <c r="AY86" s="508">
        <v>1590</v>
      </c>
      <c r="AZ86" s="508">
        <v>1590</v>
      </c>
      <c r="BA86" s="508">
        <v>1590</v>
      </c>
      <c r="BB86" s="508">
        <v>1590</v>
      </c>
      <c r="BC86" s="508">
        <v>1590</v>
      </c>
      <c r="BD86" s="508">
        <v>1590</v>
      </c>
      <c r="BE86" s="508">
        <v>1590</v>
      </c>
      <c r="BF86" s="508">
        <v>1590</v>
      </c>
      <c r="BG86" s="490">
        <f t="shared" si="12"/>
        <v>85860</v>
      </c>
      <c r="BH86" s="1056">
        <f>SUM(BG87:BG92)</f>
        <v>86592.801599999933</v>
      </c>
      <c r="BI86" s="491">
        <f t="shared" si="9"/>
        <v>54</v>
      </c>
    </row>
    <row r="87" spans="1:62" ht="195" customHeight="1" thickTop="1" thickBot="1" x14ac:dyDescent="1.3">
      <c r="A87" s="1063"/>
      <c r="B87" s="502" t="s">
        <v>215</v>
      </c>
      <c r="C87" s="1052" t="s">
        <v>128</v>
      </c>
      <c r="D87" s="1052"/>
      <c r="E87" s="512">
        <v>264.53840000000002</v>
      </c>
      <c r="F87" s="512">
        <v>264.53840000000002</v>
      </c>
      <c r="G87" s="512">
        <v>264.53840000000002</v>
      </c>
      <c r="H87" s="512">
        <v>264.53840000000002</v>
      </c>
      <c r="I87" s="512">
        <v>264.53840000000002</v>
      </c>
      <c r="J87" s="512">
        <v>264.53840000000002</v>
      </c>
      <c r="K87" s="512">
        <v>264.53840000000002</v>
      </c>
      <c r="L87" s="512">
        <v>264.53840000000002</v>
      </c>
      <c r="M87" s="512">
        <v>264.53840000000002</v>
      </c>
      <c r="N87" s="512">
        <v>264.53840000000002</v>
      </c>
      <c r="O87" s="512">
        <v>264.53840000000002</v>
      </c>
      <c r="P87" s="512">
        <v>264.53840000000002</v>
      </c>
      <c r="Q87" s="512">
        <v>264.53840000000002</v>
      </c>
      <c r="R87" s="512">
        <v>264.53840000000002</v>
      </c>
      <c r="S87" s="512">
        <v>264.53840000000002</v>
      </c>
      <c r="T87" s="512">
        <v>264.53840000000002</v>
      </c>
      <c r="U87" s="512">
        <v>264.53840000000002</v>
      </c>
      <c r="V87" s="512">
        <v>264.53840000000002</v>
      </c>
      <c r="W87" s="512">
        <v>264.53840000000002</v>
      </c>
      <c r="X87" s="512">
        <v>264.53840000000002</v>
      </c>
      <c r="Y87" s="512">
        <v>264.53840000000002</v>
      </c>
      <c r="Z87" s="512">
        <v>264.53840000000002</v>
      </c>
      <c r="AA87" s="512">
        <v>264.53840000000002</v>
      </c>
      <c r="AB87" s="512">
        <v>264.53840000000002</v>
      </c>
      <c r="AC87" s="512">
        <v>264.53840000000002</v>
      </c>
      <c r="AD87" s="512">
        <v>264.53840000000002</v>
      </c>
      <c r="AE87" s="512">
        <v>264.53840000000002</v>
      </c>
      <c r="AF87" s="512">
        <v>264.53840000000002</v>
      </c>
      <c r="AG87" s="512">
        <v>264.53840000000002</v>
      </c>
      <c r="AH87" s="557">
        <v>264.53840000000002</v>
      </c>
      <c r="AI87" s="512">
        <v>264.53840000000002</v>
      </c>
      <c r="AJ87" s="512">
        <v>264.53840000000002</v>
      </c>
      <c r="AK87" s="512">
        <v>264.53840000000002</v>
      </c>
      <c r="AL87" s="512">
        <v>264.53840000000002</v>
      </c>
      <c r="AM87" s="512">
        <v>264.53840000000002</v>
      </c>
      <c r="AN87" s="512">
        <v>264.53840000000002</v>
      </c>
      <c r="AO87" s="512">
        <v>264.53840000000002</v>
      </c>
      <c r="AP87" s="512">
        <v>264.53840000000002</v>
      </c>
      <c r="AQ87" s="512">
        <v>264.53840000000002</v>
      </c>
      <c r="AR87" s="512">
        <v>264.53840000000002</v>
      </c>
      <c r="AS87" s="512">
        <v>264.53840000000002</v>
      </c>
      <c r="AT87" s="512">
        <v>264.53840000000002</v>
      </c>
      <c r="AU87" s="512">
        <v>264.53840000000002</v>
      </c>
      <c r="AV87" s="512">
        <v>264.53840000000002</v>
      </c>
      <c r="AW87" s="512">
        <v>264.53840000000002</v>
      </c>
      <c r="AX87" s="512">
        <v>264.53840000000002</v>
      </c>
      <c r="AY87" s="512">
        <v>264.53840000000002</v>
      </c>
      <c r="AZ87" s="512">
        <v>264.53840000000002</v>
      </c>
      <c r="BA87" s="512">
        <v>264.53840000000002</v>
      </c>
      <c r="BB87" s="512">
        <v>264.53840000000002</v>
      </c>
      <c r="BC87" s="512">
        <v>264.53840000000002</v>
      </c>
      <c r="BD87" s="512">
        <v>264.53840000000002</v>
      </c>
      <c r="BE87" s="512">
        <v>264.53840000000002</v>
      </c>
      <c r="BF87" s="512">
        <v>264.53840000000002</v>
      </c>
      <c r="BG87" s="495">
        <f>SUM(E87:BF87)</f>
        <v>14285.073599999992</v>
      </c>
      <c r="BH87" s="1056"/>
      <c r="BI87" s="496">
        <f t="shared" si="9"/>
        <v>53.999999999999964</v>
      </c>
    </row>
    <row r="88" spans="1:62" ht="195" customHeight="1" thickTop="1" thickBot="1" x14ac:dyDescent="1.3">
      <c r="A88" s="1063"/>
      <c r="B88" s="502" t="s">
        <v>216</v>
      </c>
      <c r="C88" s="1052" t="s">
        <v>128</v>
      </c>
      <c r="D88" s="1052"/>
      <c r="E88" s="512">
        <v>268.19839999999999</v>
      </c>
      <c r="F88" s="512">
        <v>268.19839999999999</v>
      </c>
      <c r="G88" s="512">
        <v>268.19839999999999</v>
      </c>
      <c r="H88" s="512">
        <v>268.19839999999999</v>
      </c>
      <c r="I88" s="512">
        <v>268.19839999999999</v>
      </c>
      <c r="J88" s="512">
        <v>268.19839999999999</v>
      </c>
      <c r="K88" s="512">
        <v>268.19839999999999</v>
      </c>
      <c r="L88" s="512">
        <v>268.19839999999999</v>
      </c>
      <c r="M88" s="512">
        <v>268.19839999999999</v>
      </c>
      <c r="N88" s="512">
        <v>268.19839999999999</v>
      </c>
      <c r="O88" s="512">
        <v>268.19839999999999</v>
      </c>
      <c r="P88" s="512">
        <v>268.19839999999999</v>
      </c>
      <c r="Q88" s="512">
        <v>268.19839999999999</v>
      </c>
      <c r="R88" s="512">
        <v>268.19839999999999</v>
      </c>
      <c r="S88" s="512">
        <v>268.19839999999999</v>
      </c>
      <c r="T88" s="512">
        <v>268.19839999999999</v>
      </c>
      <c r="U88" s="512">
        <v>268.19839999999999</v>
      </c>
      <c r="V88" s="512">
        <v>268.19839999999999</v>
      </c>
      <c r="W88" s="512">
        <v>268.19839999999999</v>
      </c>
      <c r="X88" s="512">
        <v>268.19839999999999</v>
      </c>
      <c r="Y88" s="512">
        <v>268.19839999999999</v>
      </c>
      <c r="Z88" s="512">
        <v>268.19839999999999</v>
      </c>
      <c r="AA88" s="512">
        <v>268.19839999999999</v>
      </c>
      <c r="AB88" s="512">
        <v>268.19839999999999</v>
      </c>
      <c r="AC88" s="512">
        <v>268.19839999999999</v>
      </c>
      <c r="AD88" s="512">
        <v>268.19839999999999</v>
      </c>
      <c r="AE88" s="512">
        <v>268.19839999999999</v>
      </c>
      <c r="AF88" s="512">
        <v>268.19839999999999</v>
      </c>
      <c r="AG88" s="512">
        <v>268.19839999999999</v>
      </c>
      <c r="AH88" s="557">
        <v>268.19839999999999</v>
      </c>
      <c r="AI88" s="512">
        <v>268.19839999999999</v>
      </c>
      <c r="AJ88" s="512">
        <v>268.19839999999999</v>
      </c>
      <c r="AK88" s="512">
        <v>268.19839999999999</v>
      </c>
      <c r="AL88" s="512">
        <v>268.19839999999999</v>
      </c>
      <c r="AM88" s="512">
        <v>268.19839999999999</v>
      </c>
      <c r="AN88" s="512">
        <v>268.19839999999999</v>
      </c>
      <c r="AO88" s="512">
        <v>268.19839999999999</v>
      </c>
      <c r="AP88" s="512">
        <v>268.19839999999999</v>
      </c>
      <c r="AQ88" s="512">
        <v>268.19839999999999</v>
      </c>
      <c r="AR88" s="512">
        <v>268.19839999999999</v>
      </c>
      <c r="AS88" s="512">
        <v>268.19839999999999</v>
      </c>
      <c r="AT88" s="512">
        <v>268.19839999999999</v>
      </c>
      <c r="AU88" s="512">
        <v>268.19839999999999</v>
      </c>
      <c r="AV88" s="512">
        <v>268.19839999999999</v>
      </c>
      <c r="AW88" s="512">
        <v>268.19839999999999</v>
      </c>
      <c r="AX88" s="512">
        <v>268.19839999999999</v>
      </c>
      <c r="AY88" s="512">
        <v>268.19839999999999</v>
      </c>
      <c r="AZ88" s="512">
        <v>268.19839999999999</v>
      </c>
      <c r="BA88" s="512">
        <v>268.19839999999999</v>
      </c>
      <c r="BB88" s="512">
        <v>268.19839999999999</v>
      </c>
      <c r="BC88" s="512">
        <v>268.19839999999999</v>
      </c>
      <c r="BD88" s="512">
        <v>268.19839999999999</v>
      </c>
      <c r="BE88" s="512">
        <v>268.19839999999999</v>
      </c>
      <c r="BF88" s="512">
        <v>268.19839999999999</v>
      </c>
      <c r="BG88" s="495">
        <f>SUM(E88:BF88)</f>
        <v>14482.713599999988</v>
      </c>
      <c r="BH88" s="1056"/>
      <c r="BI88" s="496">
        <f t="shared" si="9"/>
        <v>53.999999999999957</v>
      </c>
    </row>
    <row r="89" spans="1:62" ht="195" customHeight="1" thickTop="1" thickBot="1" x14ac:dyDescent="1.3">
      <c r="A89" s="1063"/>
      <c r="B89" s="502" t="s">
        <v>217</v>
      </c>
      <c r="C89" s="1052" t="s">
        <v>128</v>
      </c>
      <c r="D89" s="1052"/>
      <c r="E89" s="512">
        <v>268.19839999999999</v>
      </c>
      <c r="F89" s="512">
        <v>268.19839999999999</v>
      </c>
      <c r="G89" s="512">
        <v>268.19839999999999</v>
      </c>
      <c r="H89" s="512">
        <v>268.19839999999999</v>
      </c>
      <c r="I89" s="512">
        <v>268.19839999999999</v>
      </c>
      <c r="J89" s="512">
        <v>268.19839999999999</v>
      </c>
      <c r="K89" s="512">
        <v>268.19839999999999</v>
      </c>
      <c r="L89" s="512">
        <v>268.19839999999999</v>
      </c>
      <c r="M89" s="512">
        <v>268.19839999999999</v>
      </c>
      <c r="N89" s="512">
        <v>268.19839999999999</v>
      </c>
      <c r="O89" s="512">
        <v>268.19839999999999</v>
      </c>
      <c r="P89" s="512">
        <v>268.19839999999999</v>
      </c>
      <c r="Q89" s="512">
        <v>268.19839999999999</v>
      </c>
      <c r="R89" s="512">
        <v>268.19839999999999</v>
      </c>
      <c r="S89" s="512">
        <v>268.19839999999999</v>
      </c>
      <c r="T89" s="512">
        <v>268.19839999999999</v>
      </c>
      <c r="U89" s="512">
        <v>268.19839999999999</v>
      </c>
      <c r="V89" s="512">
        <v>268.19839999999999</v>
      </c>
      <c r="W89" s="512">
        <v>268.19839999999999</v>
      </c>
      <c r="X89" s="512">
        <v>268.19839999999999</v>
      </c>
      <c r="Y89" s="512">
        <v>268.19839999999999</v>
      </c>
      <c r="Z89" s="512">
        <v>268.19839999999999</v>
      </c>
      <c r="AA89" s="512">
        <v>268.19839999999999</v>
      </c>
      <c r="AB89" s="512">
        <v>268.19839999999999</v>
      </c>
      <c r="AC89" s="512">
        <v>268.19839999999999</v>
      </c>
      <c r="AD89" s="512">
        <v>268.19839999999999</v>
      </c>
      <c r="AE89" s="512">
        <v>268.19839999999999</v>
      </c>
      <c r="AF89" s="512">
        <v>268.19839999999999</v>
      </c>
      <c r="AG89" s="512">
        <v>268.19839999999999</v>
      </c>
      <c r="AH89" s="557">
        <v>268.19839999999999</v>
      </c>
      <c r="AI89" s="512">
        <v>268.19839999999999</v>
      </c>
      <c r="AJ89" s="512">
        <v>268.19839999999999</v>
      </c>
      <c r="AK89" s="512">
        <v>268.19839999999999</v>
      </c>
      <c r="AL89" s="512">
        <v>268.19839999999999</v>
      </c>
      <c r="AM89" s="512">
        <v>268.19839999999999</v>
      </c>
      <c r="AN89" s="512">
        <v>268.19839999999999</v>
      </c>
      <c r="AO89" s="512">
        <v>268.19839999999999</v>
      </c>
      <c r="AP89" s="512">
        <v>268.19839999999999</v>
      </c>
      <c r="AQ89" s="512">
        <v>268.19839999999999</v>
      </c>
      <c r="AR89" s="512">
        <v>268.19839999999999</v>
      </c>
      <c r="AS89" s="512">
        <v>268.19839999999999</v>
      </c>
      <c r="AT89" s="512">
        <v>268.19839999999999</v>
      </c>
      <c r="AU89" s="512">
        <v>268.19839999999999</v>
      </c>
      <c r="AV89" s="512">
        <v>268.19839999999999</v>
      </c>
      <c r="AW89" s="512">
        <v>268.19839999999999</v>
      </c>
      <c r="AX89" s="512">
        <v>268.19839999999999</v>
      </c>
      <c r="AY89" s="512">
        <v>268.19839999999999</v>
      </c>
      <c r="AZ89" s="512">
        <v>268.19839999999999</v>
      </c>
      <c r="BA89" s="512">
        <v>268.19839999999999</v>
      </c>
      <c r="BB89" s="512">
        <v>268.19839999999999</v>
      </c>
      <c r="BC89" s="512">
        <v>268.19839999999999</v>
      </c>
      <c r="BD89" s="512">
        <v>268.19839999999999</v>
      </c>
      <c r="BE89" s="512">
        <v>268.19839999999999</v>
      </c>
      <c r="BF89" s="512">
        <v>268.19839999999999</v>
      </c>
      <c r="BG89" s="495">
        <f t="shared" si="12"/>
        <v>14482.713599999988</v>
      </c>
      <c r="BH89" s="1056"/>
      <c r="BI89" s="496">
        <f t="shared" si="9"/>
        <v>53.999999999999957</v>
      </c>
    </row>
    <row r="90" spans="1:62" ht="195" customHeight="1" thickTop="1" thickBot="1" x14ac:dyDescent="1.3">
      <c r="A90" s="1063"/>
      <c r="B90" s="502" t="s">
        <v>218</v>
      </c>
      <c r="C90" s="1052" t="s">
        <v>128</v>
      </c>
      <c r="D90" s="1052"/>
      <c r="E90" s="512">
        <v>268.4384</v>
      </c>
      <c r="F90" s="512">
        <v>268.4384</v>
      </c>
      <c r="G90" s="512">
        <v>268.4384</v>
      </c>
      <c r="H90" s="512">
        <v>268.4384</v>
      </c>
      <c r="I90" s="512">
        <v>268.4384</v>
      </c>
      <c r="J90" s="512">
        <v>268.4384</v>
      </c>
      <c r="K90" s="512">
        <v>268.4384</v>
      </c>
      <c r="L90" s="512">
        <v>268.4384</v>
      </c>
      <c r="M90" s="512">
        <v>268.4384</v>
      </c>
      <c r="N90" s="512">
        <v>268.4384</v>
      </c>
      <c r="O90" s="512">
        <v>268.4384</v>
      </c>
      <c r="P90" s="512">
        <v>268.4384</v>
      </c>
      <c r="Q90" s="512">
        <v>268.4384</v>
      </c>
      <c r="R90" s="512">
        <v>268.4384</v>
      </c>
      <c r="S90" s="512">
        <v>268.4384</v>
      </c>
      <c r="T90" s="512">
        <v>268.4384</v>
      </c>
      <c r="U90" s="512">
        <v>268.4384</v>
      </c>
      <c r="V90" s="512">
        <v>268.4384</v>
      </c>
      <c r="W90" s="512">
        <v>268.4384</v>
      </c>
      <c r="X90" s="512">
        <v>268.4384</v>
      </c>
      <c r="Y90" s="512">
        <v>268.4384</v>
      </c>
      <c r="Z90" s="512">
        <v>268.4384</v>
      </c>
      <c r="AA90" s="512">
        <v>268.4384</v>
      </c>
      <c r="AB90" s="512">
        <v>268.4384</v>
      </c>
      <c r="AC90" s="512">
        <v>268.4384</v>
      </c>
      <c r="AD90" s="512">
        <v>268.4384</v>
      </c>
      <c r="AE90" s="512">
        <v>268.4384</v>
      </c>
      <c r="AF90" s="512">
        <v>268.4384</v>
      </c>
      <c r="AG90" s="512">
        <v>268.4384</v>
      </c>
      <c r="AH90" s="557">
        <v>268.4384</v>
      </c>
      <c r="AI90" s="512">
        <v>268.4384</v>
      </c>
      <c r="AJ90" s="512">
        <v>268.4384</v>
      </c>
      <c r="AK90" s="512">
        <v>268.4384</v>
      </c>
      <c r="AL90" s="512">
        <v>268.4384</v>
      </c>
      <c r="AM90" s="512">
        <v>268.4384</v>
      </c>
      <c r="AN90" s="512">
        <v>268.4384</v>
      </c>
      <c r="AO90" s="512">
        <v>268.4384</v>
      </c>
      <c r="AP90" s="512">
        <v>268.4384</v>
      </c>
      <c r="AQ90" s="512">
        <v>268.4384</v>
      </c>
      <c r="AR90" s="512">
        <v>268.4384</v>
      </c>
      <c r="AS90" s="512">
        <v>268.4384</v>
      </c>
      <c r="AT90" s="512">
        <v>268.4384</v>
      </c>
      <c r="AU90" s="512">
        <v>268.4384</v>
      </c>
      <c r="AV90" s="512">
        <v>268.4384</v>
      </c>
      <c r="AW90" s="512">
        <v>268.4384</v>
      </c>
      <c r="AX90" s="512">
        <v>268.4384</v>
      </c>
      <c r="AY90" s="512">
        <v>268.4384</v>
      </c>
      <c r="AZ90" s="512">
        <v>268.4384</v>
      </c>
      <c r="BA90" s="512">
        <v>268.4384</v>
      </c>
      <c r="BB90" s="512">
        <v>268.4384</v>
      </c>
      <c r="BC90" s="512">
        <v>268.4384</v>
      </c>
      <c r="BD90" s="512">
        <v>268.4384</v>
      </c>
      <c r="BE90" s="512">
        <v>268.4384</v>
      </c>
      <c r="BF90" s="512">
        <v>268.4384</v>
      </c>
      <c r="BG90" s="495">
        <f t="shared" si="12"/>
        <v>14495.67359999998</v>
      </c>
      <c r="BH90" s="1056"/>
      <c r="BI90" s="496">
        <f t="shared" si="9"/>
        <v>53.999999999999929</v>
      </c>
    </row>
    <row r="91" spans="1:62" ht="195" customHeight="1" thickTop="1" thickBot="1" x14ac:dyDescent="1.3">
      <c r="A91" s="1063"/>
      <c r="B91" s="502" t="s">
        <v>219</v>
      </c>
      <c r="C91" s="1052" t="s">
        <v>128</v>
      </c>
      <c r="D91" s="1052"/>
      <c r="E91" s="512">
        <v>268.4384</v>
      </c>
      <c r="F91" s="512">
        <v>268.4384</v>
      </c>
      <c r="G91" s="512">
        <v>268.4384</v>
      </c>
      <c r="H91" s="512">
        <v>268.4384</v>
      </c>
      <c r="I91" s="512">
        <v>268.4384</v>
      </c>
      <c r="J91" s="512">
        <v>268.4384</v>
      </c>
      <c r="K91" s="512">
        <v>268.4384</v>
      </c>
      <c r="L91" s="512">
        <v>268.4384</v>
      </c>
      <c r="M91" s="512">
        <v>268.4384</v>
      </c>
      <c r="N91" s="512">
        <v>268.4384</v>
      </c>
      <c r="O91" s="512">
        <v>268.4384</v>
      </c>
      <c r="P91" s="512">
        <v>268.4384</v>
      </c>
      <c r="Q91" s="512">
        <v>268.4384</v>
      </c>
      <c r="R91" s="512">
        <v>268.4384</v>
      </c>
      <c r="S91" s="512">
        <v>268.4384</v>
      </c>
      <c r="T91" s="512">
        <v>268.4384</v>
      </c>
      <c r="U91" s="512">
        <v>268.4384</v>
      </c>
      <c r="V91" s="512">
        <v>268.4384</v>
      </c>
      <c r="W91" s="512">
        <v>268.4384</v>
      </c>
      <c r="X91" s="512">
        <v>268.4384</v>
      </c>
      <c r="Y91" s="512">
        <v>268.4384</v>
      </c>
      <c r="Z91" s="512">
        <v>268.4384</v>
      </c>
      <c r="AA91" s="512">
        <v>268.4384</v>
      </c>
      <c r="AB91" s="512">
        <v>268.4384</v>
      </c>
      <c r="AC91" s="512">
        <v>268.4384</v>
      </c>
      <c r="AD91" s="512">
        <v>268.4384</v>
      </c>
      <c r="AE91" s="512">
        <v>268.4384</v>
      </c>
      <c r="AF91" s="512">
        <v>268.4384</v>
      </c>
      <c r="AG91" s="512">
        <v>268.4384</v>
      </c>
      <c r="AH91" s="557">
        <v>268.4384</v>
      </c>
      <c r="AI91" s="512">
        <v>268.4384</v>
      </c>
      <c r="AJ91" s="512">
        <v>268.4384</v>
      </c>
      <c r="AK91" s="512">
        <v>268.4384</v>
      </c>
      <c r="AL91" s="512">
        <v>268.4384</v>
      </c>
      <c r="AM91" s="512">
        <v>268.4384</v>
      </c>
      <c r="AN91" s="512">
        <v>268.4384</v>
      </c>
      <c r="AO91" s="512">
        <v>268.4384</v>
      </c>
      <c r="AP91" s="512">
        <v>268.4384</v>
      </c>
      <c r="AQ91" s="512">
        <v>268.4384</v>
      </c>
      <c r="AR91" s="512">
        <v>268.4384</v>
      </c>
      <c r="AS91" s="512">
        <v>268.4384</v>
      </c>
      <c r="AT91" s="512">
        <v>268.4384</v>
      </c>
      <c r="AU91" s="512">
        <v>268.4384</v>
      </c>
      <c r="AV91" s="512">
        <v>268.4384</v>
      </c>
      <c r="AW91" s="512">
        <v>268.4384</v>
      </c>
      <c r="AX91" s="512">
        <v>268.4384</v>
      </c>
      <c r="AY91" s="512">
        <v>268.4384</v>
      </c>
      <c r="AZ91" s="512">
        <v>268.4384</v>
      </c>
      <c r="BA91" s="512">
        <v>268.4384</v>
      </c>
      <c r="BB91" s="512">
        <v>268.4384</v>
      </c>
      <c r="BC91" s="512">
        <v>268.4384</v>
      </c>
      <c r="BD91" s="512">
        <v>268.4384</v>
      </c>
      <c r="BE91" s="512">
        <v>268.4384</v>
      </c>
      <c r="BF91" s="512">
        <v>268.4384</v>
      </c>
      <c r="BG91" s="495">
        <f t="shared" si="12"/>
        <v>14495.67359999998</v>
      </c>
      <c r="BH91" s="1056"/>
      <c r="BI91" s="496">
        <f t="shared" si="9"/>
        <v>53.999999999999929</v>
      </c>
    </row>
    <row r="92" spans="1:62" ht="195" customHeight="1" thickTop="1" thickBot="1" x14ac:dyDescent="1.3">
      <c r="A92" s="1063"/>
      <c r="B92" s="502" t="s">
        <v>220</v>
      </c>
      <c r="C92" s="1052" t="s">
        <v>128</v>
      </c>
      <c r="D92" s="1052"/>
      <c r="E92" s="512">
        <v>265.75840000000005</v>
      </c>
      <c r="F92" s="512">
        <v>265.75840000000005</v>
      </c>
      <c r="G92" s="512">
        <v>265.75840000000005</v>
      </c>
      <c r="H92" s="512">
        <v>265.75840000000005</v>
      </c>
      <c r="I92" s="512">
        <v>265.75840000000005</v>
      </c>
      <c r="J92" s="512">
        <v>265.75840000000005</v>
      </c>
      <c r="K92" s="512">
        <v>265.75840000000005</v>
      </c>
      <c r="L92" s="512">
        <v>265.75840000000005</v>
      </c>
      <c r="M92" s="512">
        <v>265.75840000000005</v>
      </c>
      <c r="N92" s="512">
        <v>265.75840000000005</v>
      </c>
      <c r="O92" s="512">
        <v>265.75840000000005</v>
      </c>
      <c r="P92" s="512">
        <v>265.75840000000005</v>
      </c>
      <c r="Q92" s="512">
        <v>265.75840000000005</v>
      </c>
      <c r="R92" s="512">
        <v>265.75840000000005</v>
      </c>
      <c r="S92" s="512">
        <v>265.75840000000005</v>
      </c>
      <c r="T92" s="512">
        <v>265.75840000000005</v>
      </c>
      <c r="U92" s="512">
        <v>265.75840000000005</v>
      </c>
      <c r="V92" s="512">
        <v>265.75840000000005</v>
      </c>
      <c r="W92" s="512">
        <v>265.75840000000005</v>
      </c>
      <c r="X92" s="512">
        <v>265.75840000000005</v>
      </c>
      <c r="Y92" s="512">
        <v>265.75840000000005</v>
      </c>
      <c r="Z92" s="512">
        <v>265.75840000000005</v>
      </c>
      <c r="AA92" s="512">
        <v>265.75840000000005</v>
      </c>
      <c r="AB92" s="512">
        <v>265.75840000000005</v>
      </c>
      <c r="AC92" s="512">
        <v>265.75840000000005</v>
      </c>
      <c r="AD92" s="512">
        <v>265.75840000000005</v>
      </c>
      <c r="AE92" s="512">
        <v>265.75840000000005</v>
      </c>
      <c r="AF92" s="512">
        <v>265.75840000000005</v>
      </c>
      <c r="AG92" s="512">
        <v>265.75840000000005</v>
      </c>
      <c r="AH92" s="557">
        <v>265.75840000000005</v>
      </c>
      <c r="AI92" s="512">
        <v>265.75840000000005</v>
      </c>
      <c r="AJ92" s="512">
        <v>265.75840000000005</v>
      </c>
      <c r="AK92" s="512">
        <v>265.75840000000005</v>
      </c>
      <c r="AL92" s="512">
        <v>265.75840000000005</v>
      </c>
      <c r="AM92" s="512">
        <v>265.75840000000005</v>
      </c>
      <c r="AN92" s="512">
        <v>265.75840000000005</v>
      </c>
      <c r="AO92" s="512">
        <v>265.75840000000005</v>
      </c>
      <c r="AP92" s="512">
        <v>265.75840000000005</v>
      </c>
      <c r="AQ92" s="512">
        <v>265.75840000000005</v>
      </c>
      <c r="AR92" s="512">
        <v>265.75840000000005</v>
      </c>
      <c r="AS92" s="512">
        <v>265.75840000000005</v>
      </c>
      <c r="AT92" s="512">
        <v>265.75840000000005</v>
      </c>
      <c r="AU92" s="512">
        <v>265.75840000000005</v>
      </c>
      <c r="AV92" s="512">
        <v>265.75840000000005</v>
      </c>
      <c r="AW92" s="512">
        <v>265.75840000000005</v>
      </c>
      <c r="AX92" s="512">
        <v>265.75840000000005</v>
      </c>
      <c r="AY92" s="512">
        <v>265.75840000000005</v>
      </c>
      <c r="AZ92" s="512">
        <v>265.75840000000005</v>
      </c>
      <c r="BA92" s="512">
        <v>265.75840000000005</v>
      </c>
      <c r="BB92" s="512">
        <v>265.75840000000005</v>
      </c>
      <c r="BC92" s="512">
        <v>265.75840000000005</v>
      </c>
      <c r="BD92" s="512">
        <v>265.75840000000005</v>
      </c>
      <c r="BE92" s="512">
        <v>265.75840000000005</v>
      </c>
      <c r="BF92" s="512">
        <v>265.75840000000005</v>
      </c>
      <c r="BG92" s="495">
        <f>SUM(E92:BF92)</f>
        <v>14350.953600000012</v>
      </c>
      <c r="BH92" s="1056"/>
      <c r="BI92" s="496">
        <f t="shared" si="9"/>
        <v>54.000000000000036</v>
      </c>
    </row>
    <row r="93" spans="1:62" s="511" customFormat="1" ht="195" customHeight="1" thickTop="1" thickBot="1" x14ac:dyDescent="1.3">
      <c r="A93" s="1072" t="s">
        <v>367</v>
      </c>
      <c r="B93" s="499" t="s">
        <v>368</v>
      </c>
      <c r="C93" s="1053" t="s">
        <v>127</v>
      </c>
      <c r="D93" s="1053"/>
      <c r="E93" s="514">
        <v>2750</v>
      </c>
      <c r="F93" s="514">
        <v>2750</v>
      </c>
      <c r="G93" s="514">
        <v>2750</v>
      </c>
      <c r="H93" s="514">
        <v>2750</v>
      </c>
      <c r="I93" s="514">
        <v>2750</v>
      </c>
      <c r="J93" s="514">
        <v>2750</v>
      </c>
      <c r="K93" s="514">
        <v>2750</v>
      </c>
      <c r="L93" s="514">
        <v>2750</v>
      </c>
      <c r="M93" s="514">
        <v>2750</v>
      </c>
      <c r="N93" s="514">
        <v>2750</v>
      </c>
      <c r="O93" s="514">
        <v>2750</v>
      </c>
      <c r="P93" s="514">
        <v>2750</v>
      </c>
      <c r="Q93" s="514">
        <v>2750</v>
      </c>
      <c r="R93" s="514">
        <v>2750</v>
      </c>
      <c r="S93" s="514">
        <v>2750</v>
      </c>
      <c r="T93" s="514">
        <v>2750</v>
      </c>
      <c r="U93" s="514">
        <v>2750</v>
      </c>
      <c r="V93" s="514">
        <v>2750</v>
      </c>
      <c r="W93" s="514">
        <v>2750</v>
      </c>
      <c r="X93" s="514">
        <v>2750</v>
      </c>
      <c r="Y93" s="514">
        <v>2750</v>
      </c>
      <c r="Z93" s="514">
        <v>2750</v>
      </c>
      <c r="AA93" s="514">
        <v>2750</v>
      </c>
      <c r="AB93" s="514">
        <v>2750</v>
      </c>
      <c r="AC93" s="514">
        <v>2750</v>
      </c>
      <c r="AD93" s="514">
        <v>2750</v>
      </c>
      <c r="AE93" s="514">
        <v>2750</v>
      </c>
      <c r="AF93" s="514">
        <v>2750</v>
      </c>
      <c r="AG93" s="514">
        <v>2750</v>
      </c>
      <c r="AH93" s="514">
        <v>2750</v>
      </c>
      <c r="AI93" s="514">
        <v>2750</v>
      </c>
      <c r="AJ93" s="514">
        <v>2750</v>
      </c>
      <c r="AK93" s="514">
        <v>2750</v>
      </c>
      <c r="AL93" s="514">
        <v>2750</v>
      </c>
      <c r="AM93" s="514">
        <v>2750</v>
      </c>
      <c r="AN93" s="514">
        <v>2750</v>
      </c>
      <c r="AO93" s="514">
        <v>2750</v>
      </c>
      <c r="AP93" s="514">
        <v>2750</v>
      </c>
      <c r="AQ93" s="514">
        <v>2750</v>
      </c>
      <c r="AR93" s="514">
        <v>2750</v>
      </c>
      <c r="AS93" s="514">
        <v>2750</v>
      </c>
      <c r="AT93" s="514">
        <v>2750</v>
      </c>
      <c r="AU93" s="514">
        <v>2750</v>
      </c>
      <c r="AV93" s="514">
        <v>2750</v>
      </c>
      <c r="AW93" s="514">
        <v>2750</v>
      </c>
      <c r="AX93" s="514">
        <v>2750</v>
      </c>
      <c r="AY93" s="514">
        <v>2750</v>
      </c>
      <c r="AZ93" s="514">
        <v>2750</v>
      </c>
      <c r="BA93" s="514">
        <v>2750</v>
      </c>
      <c r="BB93" s="514">
        <v>2750</v>
      </c>
      <c r="BC93" s="514">
        <v>2750</v>
      </c>
      <c r="BD93" s="514">
        <v>2750</v>
      </c>
      <c r="BE93" s="514">
        <v>2750</v>
      </c>
      <c r="BF93" s="514">
        <v>2750</v>
      </c>
      <c r="BG93" s="490">
        <f>SUM(E93:BF93)</f>
        <v>148500</v>
      </c>
      <c r="BH93" s="1076">
        <f>SUM(BG94:BG97)</f>
        <v>0</v>
      </c>
      <c r="BI93" s="491">
        <f>BG93/BF93</f>
        <v>54</v>
      </c>
    </row>
    <row r="94" spans="1:62" ht="195" customHeight="1" thickTop="1" thickBot="1" x14ac:dyDescent="1.3">
      <c r="A94" s="1072"/>
      <c r="B94" s="502" t="s">
        <v>369</v>
      </c>
      <c r="C94" s="1052" t="s">
        <v>597</v>
      </c>
      <c r="D94" s="1052"/>
      <c r="E94" s="512"/>
      <c r="F94" s="512"/>
      <c r="G94" s="512"/>
      <c r="H94" s="512"/>
      <c r="I94" s="512"/>
      <c r="J94" s="512"/>
      <c r="K94" s="512"/>
      <c r="L94" s="512"/>
      <c r="M94" s="512"/>
      <c r="N94" s="512"/>
      <c r="O94" s="512"/>
      <c r="P94" s="512"/>
      <c r="Q94" s="512"/>
      <c r="R94" s="512"/>
      <c r="S94" s="512"/>
      <c r="T94" s="512"/>
      <c r="U94" s="512"/>
      <c r="V94" s="512"/>
      <c r="W94" s="512"/>
      <c r="X94" s="571"/>
      <c r="Y94" s="571"/>
      <c r="Z94" s="512"/>
      <c r="AA94" s="571"/>
      <c r="AB94" s="512"/>
      <c r="AC94" s="512"/>
      <c r="AD94" s="512"/>
      <c r="AE94" s="512"/>
      <c r="AF94" s="512"/>
      <c r="AG94" s="512"/>
      <c r="AH94" s="557"/>
      <c r="AI94" s="512"/>
      <c r="AJ94" s="557"/>
      <c r="AK94" s="557"/>
      <c r="AL94" s="512"/>
      <c r="AM94" s="512"/>
      <c r="AN94" s="512"/>
      <c r="AO94" s="512"/>
      <c r="AP94" s="512"/>
      <c r="AQ94" s="512"/>
      <c r="AR94" s="512"/>
      <c r="AS94" s="512"/>
      <c r="AT94" s="512"/>
      <c r="AU94" s="512"/>
      <c r="AV94" s="512"/>
      <c r="AW94" s="512"/>
      <c r="AX94" s="512"/>
      <c r="AY94" s="512"/>
      <c r="AZ94" s="512"/>
      <c r="BA94" s="512"/>
      <c r="BB94" s="512"/>
      <c r="BC94" s="512"/>
      <c r="BD94" s="512"/>
      <c r="BE94" s="512"/>
      <c r="BF94" s="512"/>
      <c r="BG94" s="495">
        <f>SUM(E94:BF94)</f>
        <v>0</v>
      </c>
      <c r="BH94" s="1076"/>
      <c r="BI94" s="496">
        <f>BG94/BF98</f>
        <v>0</v>
      </c>
    </row>
    <row r="95" spans="1:62" ht="195" customHeight="1" thickTop="1" thickBot="1" x14ac:dyDescent="1.3">
      <c r="A95" s="1072"/>
      <c r="B95" s="502" t="s">
        <v>370</v>
      </c>
      <c r="C95" s="1052" t="s">
        <v>597</v>
      </c>
      <c r="D95" s="1052"/>
      <c r="E95" s="512"/>
      <c r="F95" s="512"/>
      <c r="G95" s="512"/>
      <c r="H95" s="512"/>
      <c r="I95" s="512"/>
      <c r="J95" s="512"/>
      <c r="K95" s="512"/>
      <c r="L95" s="512"/>
      <c r="M95" s="512"/>
      <c r="N95" s="512"/>
      <c r="O95" s="512"/>
      <c r="P95" s="512"/>
      <c r="Q95" s="512"/>
      <c r="R95" s="512"/>
      <c r="S95" s="512"/>
      <c r="T95" s="512"/>
      <c r="U95" s="512"/>
      <c r="V95" s="512"/>
      <c r="W95" s="512"/>
      <c r="X95" s="571"/>
      <c r="Y95" s="571"/>
      <c r="Z95" s="512"/>
      <c r="AA95" s="571"/>
      <c r="AB95" s="512"/>
      <c r="AC95" s="512"/>
      <c r="AD95" s="512"/>
      <c r="AE95" s="512"/>
      <c r="AF95" s="512"/>
      <c r="AG95" s="512"/>
      <c r="AH95" s="557"/>
      <c r="AI95" s="512"/>
      <c r="AJ95" s="557"/>
      <c r="AK95" s="557"/>
      <c r="AL95" s="512"/>
      <c r="AM95" s="512"/>
      <c r="AN95" s="512"/>
      <c r="AO95" s="512"/>
      <c r="AP95" s="512"/>
      <c r="AQ95" s="512"/>
      <c r="AR95" s="512"/>
      <c r="AS95" s="512"/>
      <c r="AT95" s="512"/>
      <c r="AU95" s="512"/>
      <c r="AV95" s="512"/>
      <c r="AW95" s="512"/>
      <c r="AX95" s="512"/>
      <c r="AY95" s="512"/>
      <c r="AZ95" s="512"/>
      <c r="BA95" s="512"/>
      <c r="BB95" s="512"/>
      <c r="BC95" s="512"/>
      <c r="BD95" s="512"/>
      <c r="BE95" s="512"/>
      <c r="BF95" s="512"/>
      <c r="BG95" s="495">
        <f>SUM(E95:BF95)</f>
        <v>0</v>
      </c>
      <c r="BH95" s="1076"/>
      <c r="BI95" s="496">
        <f t="shared" ref="BI95:BI97" si="13">BG95/BF99</f>
        <v>0</v>
      </c>
      <c r="BJ95" s="519"/>
    </row>
    <row r="96" spans="1:62" ht="195" customHeight="1" thickTop="1" thickBot="1" x14ac:dyDescent="1.3">
      <c r="A96" s="1072"/>
      <c r="B96" s="502" t="s">
        <v>371</v>
      </c>
      <c r="C96" s="1052" t="s">
        <v>597</v>
      </c>
      <c r="D96" s="1052"/>
      <c r="E96" s="512"/>
      <c r="F96" s="512"/>
      <c r="G96" s="512"/>
      <c r="H96" s="512"/>
      <c r="I96" s="512"/>
      <c r="J96" s="512"/>
      <c r="K96" s="512"/>
      <c r="L96" s="512"/>
      <c r="M96" s="512"/>
      <c r="N96" s="512"/>
      <c r="O96" s="512"/>
      <c r="P96" s="512"/>
      <c r="Q96" s="512"/>
      <c r="R96" s="512"/>
      <c r="S96" s="512"/>
      <c r="T96" s="512"/>
      <c r="U96" s="512"/>
      <c r="V96" s="512"/>
      <c r="W96" s="512"/>
      <c r="X96" s="571"/>
      <c r="Y96" s="571"/>
      <c r="Z96" s="512"/>
      <c r="AA96" s="571"/>
      <c r="AB96" s="512"/>
      <c r="AC96" s="512"/>
      <c r="AD96" s="512"/>
      <c r="AE96" s="512"/>
      <c r="AF96" s="512"/>
      <c r="AG96" s="512"/>
      <c r="AH96" s="557"/>
      <c r="AI96" s="512"/>
      <c r="AJ96" s="557"/>
      <c r="AK96" s="557"/>
      <c r="AL96" s="512"/>
      <c r="AM96" s="512"/>
      <c r="AN96" s="512"/>
      <c r="AO96" s="512"/>
      <c r="AP96" s="512"/>
      <c r="AQ96" s="512"/>
      <c r="AR96" s="512"/>
      <c r="AS96" s="512"/>
      <c r="AT96" s="512"/>
      <c r="AU96" s="512"/>
      <c r="AV96" s="512"/>
      <c r="AW96" s="512"/>
      <c r="AX96" s="512"/>
      <c r="AY96" s="512"/>
      <c r="AZ96" s="512"/>
      <c r="BA96" s="512"/>
      <c r="BB96" s="512"/>
      <c r="BC96" s="512"/>
      <c r="BD96" s="512"/>
      <c r="BE96" s="512"/>
      <c r="BF96" s="512"/>
      <c r="BG96" s="495">
        <f t="shared" ref="BG96:BG103" si="14">SUM(E96:BF96)</f>
        <v>0</v>
      </c>
      <c r="BH96" s="1076"/>
      <c r="BI96" s="496">
        <f t="shared" si="13"/>
        <v>0</v>
      </c>
      <c r="BJ96" s="519"/>
    </row>
    <row r="97" spans="1:62" ht="195" customHeight="1" thickTop="1" thickBot="1" x14ac:dyDescent="1.3">
      <c r="A97" s="1072"/>
      <c r="B97" s="502" t="s">
        <v>372</v>
      </c>
      <c r="C97" s="1052" t="s">
        <v>597</v>
      </c>
      <c r="D97" s="1052"/>
      <c r="E97" s="512"/>
      <c r="F97" s="512"/>
      <c r="G97" s="512"/>
      <c r="H97" s="512"/>
      <c r="I97" s="512"/>
      <c r="J97" s="512"/>
      <c r="K97" s="512"/>
      <c r="L97" s="512"/>
      <c r="M97" s="512"/>
      <c r="N97" s="512"/>
      <c r="O97" s="512"/>
      <c r="P97" s="512"/>
      <c r="Q97" s="512"/>
      <c r="R97" s="512"/>
      <c r="S97" s="512"/>
      <c r="T97" s="512"/>
      <c r="U97" s="512"/>
      <c r="V97" s="512"/>
      <c r="W97" s="512"/>
      <c r="X97" s="571"/>
      <c r="Y97" s="571"/>
      <c r="Z97" s="512"/>
      <c r="AA97" s="571"/>
      <c r="AB97" s="512"/>
      <c r="AC97" s="512"/>
      <c r="AD97" s="512"/>
      <c r="AE97" s="512"/>
      <c r="AF97" s="512"/>
      <c r="AG97" s="512"/>
      <c r="AH97" s="557"/>
      <c r="AI97" s="512"/>
      <c r="AJ97" s="557"/>
      <c r="AK97" s="557"/>
      <c r="AL97" s="512"/>
      <c r="AM97" s="512"/>
      <c r="AN97" s="512"/>
      <c r="AO97" s="512"/>
      <c r="AP97" s="512"/>
      <c r="AQ97" s="512"/>
      <c r="AR97" s="512"/>
      <c r="AS97" s="512"/>
      <c r="AT97" s="512"/>
      <c r="AU97" s="512"/>
      <c r="AV97" s="512"/>
      <c r="AW97" s="512"/>
      <c r="AX97" s="512"/>
      <c r="AY97" s="512"/>
      <c r="AZ97" s="512"/>
      <c r="BA97" s="512"/>
      <c r="BB97" s="512"/>
      <c r="BC97" s="512"/>
      <c r="BD97" s="512"/>
      <c r="BE97" s="512"/>
      <c r="BF97" s="512"/>
      <c r="BG97" s="495">
        <f t="shared" si="14"/>
        <v>0</v>
      </c>
      <c r="BH97" s="1076"/>
      <c r="BI97" s="496">
        <f t="shared" si="13"/>
        <v>0</v>
      </c>
      <c r="BJ97" s="519"/>
    </row>
    <row r="98" spans="1:62" ht="195" customHeight="1" thickTop="1" thickBot="1" x14ac:dyDescent="1.3">
      <c r="A98" s="1072"/>
      <c r="B98" s="502" t="s">
        <v>369</v>
      </c>
      <c r="C98" s="1052" t="s">
        <v>596</v>
      </c>
      <c r="D98" s="1052"/>
      <c r="E98" s="512">
        <v>860.46954999999957</v>
      </c>
      <c r="F98" s="512">
        <v>860.46954999999957</v>
      </c>
      <c r="G98" s="512">
        <v>860.46954999999957</v>
      </c>
      <c r="H98" s="512">
        <v>860.46954999999957</v>
      </c>
      <c r="I98" s="512">
        <v>860.46954999999957</v>
      </c>
      <c r="J98" s="512">
        <v>860.46954999999957</v>
      </c>
      <c r="K98" s="512">
        <v>860.46954999999957</v>
      </c>
      <c r="L98" s="512">
        <v>860.46954999999957</v>
      </c>
      <c r="M98" s="512">
        <v>860.46954999999957</v>
      </c>
      <c r="N98" s="512">
        <v>860.46954999999957</v>
      </c>
      <c r="O98" s="512">
        <v>860.46954999999957</v>
      </c>
      <c r="P98" s="512">
        <v>860.46954999999957</v>
      </c>
      <c r="Q98" s="557">
        <v>860.46954999999957</v>
      </c>
      <c r="R98" s="512">
        <v>860.46954999999957</v>
      </c>
      <c r="S98" s="565">
        <v>860.46954999999957</v>
      </c>
      <c r="T98" s="565">
        <v>860.46954999999957</v>
      </c>
      <c r="U98" s="631">
        <v>860.46954999999957</v>
      </c>
      <c r="V98" s="631">
        <v>860.46954999999957</v>
      </c>
      <c r="W98" s="734">
        <v>860.46954999999957</v>
      </c>
      <c r="X98" s="512">
        <v>860.46954999999957</v>
      </c>
      <c r="Y98" s="631">
        <v>860.46954999999957</v>
      </c>
      <c r="Z98" s="631">
        <v>860.46954999999957</v>
      </c>
      <c r="AA98" s="631">
        <v>860.46954999999957</v>
      </c>
      <c r="AB98" s="512">
        <v>860.46954999999957</v>
      </c>
      <c r="AC98" s="512">
        <v>860.46954999999957</v>
      </c>
      <c r="AD98" s="565">
        <v>860.46954999999957</v>
      </c>
      <c r="AE98" s="565">
        <v>860.46954999999957</v>
      </c>
      <c r="AF98" s="565">
        <v>860.46954999999957</v>
      </c>
      <c r="AG98" s="565">
        <v>860.46954999999957</v>
      </c>
      <c r="AH98" s="565">
        <v>860.46954999999957</v>
      </c>
      <c r="AI98" s="565">
        <v>860.46954999999957</v>
      </c>
      <c r="AJ98" s="565">
        <v>860.46954999999957</v>
      </c>
      <c r="AK98" s="565">
        <v>860.46954999999957</v>
      </c>
      <c r="AL98" s="512">
        <v>860.46954999999957</v>
      </c>
      <c r="AM98" s="557">
        <v>860.46954999999957</v>
      </c>
      <c r="AN98" s="512">
        <v>860.46954999999957</v>
      </c>
      <c r="AO98" s="512">
        <v>860.46954999999957</v>
      </c>
      <c r="AP98" s="512">
        <v>860.46954999999957</v>
      </c>
      <c r="AQ98" s="512">
        <v>860.46954999999957</v>
      </c>
      <c r="AR98" s="512">
        <v>860.46954999999957</v>
      </c>
      <c r="AS98" s="512">
        <v>860.46955000000003</v>
      </c>
      <c r="AT98" s="512">
        <v>860.46954999999957</v>
      </c>
      <c r="AU98" s="512">
        <v>860.46955000000003</v>
      </c>
      <c r="AV98" s="512">
        <v>860.46955000000003</v>
      </c>
      <c r="AW98" s="512">
        <v>860.46955000000003</v>
      </c>
      <c r="AX98" s="557">
        <v>860.46954999999957</v>
      </c>
      <c r="AY98" s="512">
        <v>860.46954999999957</v>
      </c>
      <c r="AZ98" s="512">
        <v>860.46955000000003</v>
      </c>
      <c r="BA98" s="512">
        <v>860.46955000000003</v>
      </c>
      <c r="BB98" s="512">
        <v>860.46955000000003</v>
      </c>
      <c r="BC98" s="512">
        <v>860.46954999999957</v>
      </c>
      <c r="BD98" s="512">
        <v>860.46955000000003</v>
      </c>
      <c r="BE98" s="512">
        <v>860.46955000000003</v>
      </c>
      <c r="BF98" s="512">
        <v>860.46955000000003</v>
      </c>
      <c r="BG98" s="495">
        <f t="shared" ref="BG98:BG101" si="15">SUM(E98:BF98)</f>
        <v>46465.355699999978</v>
      </c>
      <c r="BH98" s="1076">
        <f>SUM(BG98:BG101)</f>
        <v>161253.73119999995</v>
      </c>
      <c r="BI98" s="496">
        <f>BG98/BF98</f>
        <v>53.999999999999972</v>
      </c>
      <c r="BJ98" s="519"/>
    </row>
    <row r="99" spans="1:62" ht="195" customHeight="1" thickTop="1" thickBot="1" x14ac:dyDescent="1.3">
      <c r="A99" s="1072"/>
      <c r="B99" s="502" t="s">
        <v>370</v>
      </c>
      <c r="C99" s="1052" t="s">
        <v>596</v>
      </c>
      <c r="D99" s="1052"/>
      <c r="E99" s="512">
        <v>707.66864999999984</v>
      </c>
      <c r="F99" s="512">
        <v>707.66864999999984</v>
      </c>
      <c r="G99" s="512">
        <v>707.66864999999984</v>
      </c>
      <c r="H99" s="512">
        <v>707.66864999999984</v>
      </c>
      <c r="I99" s="512">
        <v>707.66864999999984</v>
      </c>
      <c r="J99" s="512">
        <v>707.66864999999984</v>
      </c>
      <c r="K99" s="512">
        <v>707.66864999999984</v>
      </c>
      <c r="L99" s="512">
        <v>707.66864999999984</v>
      </c>
      <c r="M99" s="512">
        <v>707.66864999999984</v>
      </c>
      <c r="N99" s="512">
        <v>707.66864999999984</v>
      </c>
      <c r="O99" s="512">
        <v>707.66864999999984</v>
      </c>
      <c r="P99" s="512">
        <v>707.66864999999984</v>
      </c>
      <c r="Q99" s="557">
        <v>707.66864999999984</v>
      </c>
      <c r="R99" s="512">
        <v>707.66864999999984</v>
      </c>
      <c r="S99" s="565">
        <v>707.66864999999984</v>
      </c>
      <c r="T99" s="565">
        <v>707.66864999999984</v>
      </c>
      <c r="U99" s="631">
        <v>707.66864999999984</v>
      </c>
      <c r="V99" s="631">
        <v>707.66864999999984</v>
      </c>
      <c r="W99" s="734">
        <v>707.66864999999984</v>
      </c>
      <c r="X99" s="512">
        <v>707.66864999999984</v>
      </c>
      <c r="Y99" s="631">
        <v>707.66864999999984</v>
      </c>
      <c r="Z99" s="631">
        <v>707.66864999999984</v>
      </c>
      <c r="AA99" s="631">
        <v>707.66864999999984</v>
      </c>
      <c r="AB99" s="512">
        <v>707.66864999999984</v>
      </c>
      <c r="AC99" s="512">
        <v>707.66864999999984</v>
      </c>
      <c r="AD99" s="565">
        <v>707.66864999999984</v>
      </c>
      <c r="AE99" s="565">
        <v>707.66864999999984</v>
      </c>
      <c r="AF99" s="565">
        <v>707.66864999999984</v>
      </c>
      <c r="AG99" s="565">
        <v>707.66864999999984</v>
      </c>
      <c r="AH99" s="565">
        <v>707.66864999999984</v>
      </c>
      <c r="AI99" s="565">
        <v>707.66864999999984</v>
      </c>
      <c r="AJ99" s="565">
        <v>707.66864999999984</v>
      </c>
      <c r="AK99" s="565">
        <v>707.66864999999984</v>
      </c>
      <c r="AL99" s="512">
        <v>707.66864999999984</v>
      </c>
      <c r="AM99" s="557">
        <v>707.66864999999984</v>
      </c>
      <c r="AN99" s="512">
        <v>707.66864999999984</v>
      </c>
      <c r="AO99" s="512">
        <v>707.66864999999984</v>
      </c>
      <c r="AP99" s="512">
        <v>707.66864999999984</v>
      </c>
      <c r="AQ99" s="512">
        <v>707.66864999999984</v>
      </c>
      <c r="AR99" s="512">
        <v>707.66864999999984</v>
      </c>
      <c r="AS99" s="512">
        <v>707.66864999999984</v>
      </c>
      <c r="AT99" s="512">
        <v>707.66864999999984</v>
      </c>
      <c r="AU99" s="512">
        <v>707.66864999999984</v>
      </c>
      <c r="AV99" s="512">
        <v>707.66864999999984</v>
      </c>
      <c r="AW99" s="512">
        <v>707.66864999999984</v>
      </c>
      <c r="AX99" s="557">
        <v>707.66864999999984</v>
      </c>
      <c r="AY99" s="512">
        <v>707.66864999999984</v>
      </c>
      <c r="AZ99" s="512">
        <v>707.66864999999984</v>
      </c>
      <c r="BA99" s="512">
        <v>707.66864999999984</v>
      </c>
      <c r="BB99" s="512">
        <v>707.66864999999984</v>
      </c>
      <c r="BC99" s="512">
        <v>707.66864999999984</v>
      </c>
      <c r="BD99" s="512">
        <v>707.66864999999984</v>
      </c>
      <c r="BE99" s="512">
        <v>707.66864999999984</v>
      </c>
      <c r="BF99" s="512">
        <v>707.66864999999984</v>
      </c>
      <c r="BG99" s="495">
        <f t="shared" si="15"/>
        <v>38214.107099999987</v>
      </c>
      <c r="BH99" s="1076"/>
      <c r="BI99" s="496">
        <f t="shared" si="9"/>
        <v>53.999999999999993</v>
      </c>
      <c r="BJ99" s="519"/>
    </row>
    <row r="100" spans="1:62" ht="195" customHeight="1" thickTop="1" thickBot="1" x14ac:dyDescent="1.3">
      <c r="A100" s="1072"/>
      <c r="B100" s="502" t="s">
        <v>371</v>
      </c>
      <c r="C100" s="1052" t="s">
        <v>596</v>
      </c>
      <c r="D100" s="1052"/>
      <c r="E100" s="512">
        <v>711.98335000000009</v>
      </c>
      <c r="F100" s="512">
        <v>711.98335000000009</v>
      </c>
      <c r="G100" s="512">
        <v>711.98335000000009</v>
      </c>
      <c r="H100" s="512">
        <v>711.98335000000009</v>
      </c>
      <c r="I100" s="512">
        <v>711.98335000000009</v>
      </c>
      <c r="J100" s="512">
        <v>711.98335000000009</v>
      </c>
      <c r="K100" s="512">
        <v>711.98335000000009</v>
      </c>
      <c r="L100" s="512">
        <v>711.98335000000009</v>
      </c>
      <c r="M100" s="512">
        <v>711.98335000000009</v>
      </c>
      <c r="N100" s="512">
        <v>711.98335000000009</v>
      </c>
      <c r="O100" s="512">
        <v>711.98335000000009</v>
      </c>
      <c r="P100" s="512">
        <v>711.98335000000009</v>
      </c>
      <c r="Q100" s="557">
        <v>711.98335000000009</v>
      </c>
      <c r="R100" s="512">
        <v>711.98335000000009</v>
      </c>
      <c r="S100" s="565">
        <v>711.98335000000009</v>
      </c>
      <c r="T100" s="565">
        <v>711.98335000000009</v>
      </c>
      <c r="U100" s="631">
        <v>711.98335000000009</v>
      </c>
      <c r="V100" s="631">
        <v>711.98335000000009</v>
      </c>
      <c r="W100" s="734">
        <v>711.98335000000009</v>
      </c>
      <c r="X100" s="512">
        <v>711.98335000000009</v>
      </c>
      <c r="Y100" s="631">
        <v>711.98335000000009</v>
      </c>
      <c r="Z100" s="631">
        <v>711.98335000000009</v>
      </c>
      <c r="AA100" s="631">
        <v>711.98335000000009</v>
      </c>
      <c r="AB100" s="512">
        <v>632</v>
      </c>
      <c r="AC100" s="512">
        <v>711.98335000000009</v>
      </c>
      <c r="AD100" s="565">
        <v>711.98335000000009</v>
      </c>
      <c r="AE100" s="565">
        <v>711.98335000000009</v>
      </c>
      <c r="AF100" s="565">
        <v>711.98335000000009</v>
      </c>
      <c r="AG100" s="565">
        <v>711.98335000000009</v>
      </c>
      <c r="AH100" s="565">
        <v>711.98335000000009</v>
      </c>
      <c r="AI100" s="565">
        <v>711.98335000000009</v>
      </c>
      <c r="AJ100" s="565">
        <v>711.98335000000009</v>
      </c>
      <c r="AK100" s="565">
        <v>711.98335000000009</v>
      </c>
      <c r="AL100" s="512">
        <v>711.98335000000009</v>
      </c>
      <c r="AM100" s="557">
        <v>711.98335000000009</v>
      </c>
      <c r="AN100" s="512">
        <v>711.98335000000009</v>
      </c>
      <c r="AO100" s="512">
        <v>711.98335000000009</v>
      </c>
      <c r="AP100" s="512">
        <v>711.98335000000009</v>
      </c>
      <c r="AQ100" s="512">
        <v>711.98335000000009</v>
      </c>
      <c r="AR100" s="512">
        <v>711.98335000000009</v>
      </c>
      <c r="AS100" s="512">
        <v>711.98335000000009</v>
      </c>
      <c r="AT100" s="512">
        <v>711.98335000000009</v>
      </c>
      <c r="AU100" s="512">
        <v>711.98335000000009</v>
      </c>
      <c r="AV100" s="512">
        <v>711.98335000000009</v>
      </c>
      <c r="AW100" s="512">
        <v>711.98335000000009</v>
      </c>
      <c r="AX100" s="557">
        <v>711.98335000000009</v>
      </c>
      <c r="AY100" s="512">
        <v>711.98335000000009</v>
      </c>
      <c r="AZ100" s="512">
        <v>711.98335000000009</v>
      </c>
      <c r="BA100" s="512">
        <v>711.98335000000009</v>
      </c>
      <c r="BB100" s="512">
        <v>711.98335000000009</v>
      </c>
      <c r="BC100" s="512">
        <v>711.98335000000009</v>
      </c>
      <c r="BD100" s="512">
        <v>711.98335000000009</v>
      </c>
      <c r="BE100" s="512">
        <v>711.98335000000009</v>
      </c>
      <c r="BF100" s="512">
        <v>711.98335000000009</v>
      </c>
      <c r="BG100" s="495">
        <f t="shared" si="15"/>
        <v>38367.117549999995</v>
      </c>
      <c r="BH100" s="1076"/>
      <c r="BI100" s="496">
        <f>BG100/BF100</f>
        <v>53.887661207245912</v>
      </c>
      <c r="BJ100" s="519"/>
    </row>
    <row r="101" spans="1:62" ht="195" customHeight="1" thickTop="1" thickBot="1" x14ac:dyDescent="1.3">
      <c r="A101" s="1072"/>
      <c r="B101" s="502" t="s">
        <v>372</v>
      </c>
      <c r="C101" s="1052" t="s">
        <v>596</v>
      </c>
      <c r="D101" s="1052"/>
      <c r="E101" s="512">
        <v>711.98335000000009</v>
      </c>
      <c r="F101" s="512">
        <v>711.98335000000009</v>
      </c>
      <c r="G101" s="512">
        <v>711.98335000000009</v>
      </c>
      <c r="H101" s="512">
        <v>711.98335000000009</v>
      </c>
      <c r="I101" s="512">
        <v>711.98335000000009</v>
      </c>
      <c r="J101" s="512">
        <v>711.98335000000009</v>
      </c>
      <c r="K101" s="512">
        <v>711.98335000000009</v>
      </c>
      <c r="L101" s="512">
        <v>711.98335000000009</v>
      </c>
      <c r="M101" s="512">
        <v>711.98335000000009</v>
      </c>
      <c r="N101" s="512">
        <v>711.98335000000009</v>
      </c>
      <c r="O101" s="512">
        <v>711.98335000000009</v>
      </c>
      <c r="P101" s="512">
        <v>711.98335000000009</v>
      </c>
      <c r="Q101" s="557">
        <v>711.98335000000009</v>
      </c>
      <c r="R101" s="512">
        <v>711.98335000000009</v>
      </c>
      <c r="S101" s="565">
        <v>711.98335000000009</v>
      </c>
      <c r="T101" s="565">
        <v>711.98335000000009</v>
      </c>
      <c r="U101" s="631">
        <v>711.98335000000009</v>
      </c>
      <c r="V101" s="631">
        <v>711.98335000000009</v>
      </c>
      <c r="W101" s="734">
        <v>711.98335000000009</v>
      </c>
      <c r="X101" s="512">
        <v>711.98335000000009</v>
      </c>
      <c r="Y101" s="631">
        <v>711.98335000000009</v>
      </c>
      <c r="Z101" s="631">
        <v>711.98335000000009</v>
      </c>
      <c r="AA101" s="631">
        <v>632</v>
      </c>
      <c r="AB101" s="512">
        <v>632</v>
      </c>
      <c r="AC101" s="512">
        <v>632</v>
      </c>
      <c r="AD101" s="565">
        <v>711.98335000000009</v>
      </c>
      <c r="AE101" s="565">
        <v>711.98335000000009</v>
      </c>
      <c r="AF101" s="565">
        <v>711.98335000000009</v>
      </c>
      <c r="AG101" s="565">
        <v>711.98335000000009</v>
      </c>
      <c r="AH101" s="565">
        <v>711.98335000000009</v>
      </c>
      <c r="AI101" s="565">
        <v>711.98335000000009</v>
      </c>
      <c r="AJ101" s="565">
        <v>711.98335000000009</v>
      </c>
      <c r="AK101" s="565">
        <v>711.98335000000009</v>
      </c>
      <c r="AL101" s="512">
        <v>711.98335000000009</v>
      </c>
      <c r="AM101" s="557">
        <v>711.98335000000009</v>
      </c>
      <c r="AN101" s="512">
        <v>711.98335000000009</v>
      </c>
      <c r="AO101" s="512">
        <v>711.98335000000009</v>
      </c>
      <c r="AP101" s="512">
        <v>711.98335000000009</v>
      </c>
      <c r="AQ101" s="512">
        <v>711.98335000000009</v>
      </c>
      <c r="AR101" s="512">
        <v>711.98335000000009</v>
      </c>
      <c r="AS101" s="512">
        <v>711.98335000000009</v>
      </c>
      <c r="AT101" s="512">
        <v>711.98335000000009</v>
      </c>
      <c r="AU101" s="512">
        <v>711.98335000000009</v>
      </c>
      <c r="AV101" s="512">
        <v>711.98335000000009</v>
      </c>
      <c r="AW101" s="512">
        <v>711.98335000000009</v>
      </c>
      <c r="AX101" s="557">
        <v>711.98335000000009</v>
      </c>
      <c r="AY101" s="512">
        <v>711.98335000000009</v>
      </c>
      <c r="AZ101" s="512">
        <v>711.98335000000009</v>
      </c>
      <c r="BA101" s="512">
        <v>711.98335000000009</v>
      </c>
      <c r="BB101" s="512">
        <v>711.98335000000009</v>
      </c>
      <c r="BC101" s="512">
        <v>711.98335000000009</v>
      </c>
      <c r="BD101" s="512">
        <v>711.98335000000009</v>
      </c>
      <c r="BE101" s="512">
        <v>711.98335000000009</v>
      </c>
      <c r="BF101" s="512">
        <v>711.98335000000009</v>
      </c>
      <c r="BG101" s="495">
        <f t="shared" si="15"/>
        <v>38207.150849999991</v>
      </c>
      <c r="BH101" s="1076"/>
      <c r="BI101" s="496">
        <f>BG101/BF101</f>
        <v>53.662983621737766</v>
      </c>
      <c r="BJ101" s="519"/>
    </row>
    <row r="102" spans="1:62" ht="307.89999999999998" customHeight="1" thickTop="1" thickBot="1" x14ac:dyDescent="1.3">
      <c r="A102" s="540"/>
      <c r="B102" s="1048" t="s">
        <v>162</v>
      </c>
      <c r="C102" s="1048"/>
      <c r="D102" s="1048"/>
      <c r="E102" s="1048"/>
      <c r="F102" s="543"/>
      <c r="G102" s="543"/>
      <c r="H102" s="543"/>
      <c r="I102" s="543"/>
      <c r="J102" s="543"/>
      <c r="K102" s="543"/>
      <c r="L102" s="543"/>
      <c r="M102" s="543"/>
      <c r="N102" s="543"/>
      <c r="O102" s="543"/>
      <c r="P102" s="543"/>
      <c r="Q102" s="543"/>
      <c r="R102" s="543"/>
      <c r="S102" s="1059" t="s">
        <v>150</v>
      </c>
      <c r="T102" s="1059"/>
      <c r="U102" s="543"/>
      <c r="V102" s="543"/>
      <c r="W102" s="543"/>
      <c r="X102" s="543"/>
      <c r="Y102" s="543"/>
      <c r="Z102" s="543"/>
      <c r="AA102" s="543"/>
      <c r="AB102" s="543"/>
      <c r="AC102" s="543"/>
      <c r="AD102" s="543"/>
      <c r="AE102" s="543"/>
      <c r="AF102" s="543"/>
      <c r="AG102" s="543"/>
      <c r="AH102" s="543"/>
      <c r="AI102" s="543"/>
      <c r="AJ102" s="543"/>
      <c r="AK102" s="1059" t="s">
        <v>162</v>
      </c>
      <c r="AL102" s="1059"/>
      <c r="AM102" s="543"/>
      <c r="AN102" s="543"/>
      <c r="AO102" s="543"/>
      <c r="AP102" s="543"/>
      <c r="AQ102" s="543"/>
      <c r="AR102" s="543"/>
      <c r="AS102" s="543"/>
      <c r="AT102" s="543"/>
      <c r="AU102" s="543"/>
      <c r="AV102" s="543"/>
      <c r="AW102" s="543"/>
      <c r="AX102" s="543"/>
      <c r="AY102" s="543"/>
      <c r="AZ102" s="543"/>
      <c r="BA102" s="543"/>
      <c r="BB102" s="543"/>
      <c r="BC102" s="543"/>
      <c r="BD102" s="543"/>
      <c r="BE102" s="543"/>
      <c r="BF102" s="1059" t="s">
        <v>150</v>
      </c>
      <c r="BG102" s="1059"/>
      <c r="BH102" s="544"/>
      <c r="BI102" s="530"/>
    </row>
    <row r="103" spans="1:62" s="511" customFormat="1" ht="195" customHeight="1" thickTop="1" thickBot="1" x14ac:dyDescent="1.3">
      <c r="A103" s="1072" t="s">
        <v>446</v>
      </c>
      <c r="B103" s="1054" t="s">
        <v>447</v>
      </c>
      <c r="C103" s="1053" t="s">
        <v>127</v>
      </c>
      <c r="D103" s="1053"/>
      <c r="E103" s="508">
        <v>130</v>
      </c>
      <c r="F103" s="508">
        <v>130</v>
      </c>
      <c r="G103" s="508">
        <v>130</v>
      </c>
      <c r="H103" s="508">
        <v>130</v>
      </c>
      <c r="I103" s="508">
        <v>130</v>
      </c>
      <c r="J103" s="508">
        <v>130</v>
      </c>
      <c r="K103" s="508">
        <v>130</v>
      </c>
      <c r="L103" s="508">
        <v>130</v>
      </c>
      <c r="M103" s="508">
        <v>130</v>
      </c>
      <c r="N103" s="508">
        <v>130</v>
      </c>
      <c r="O103" s="508">
        <v>130</v>
      </c>
      <c r="P103" s="508">
        <v>130</v>
      </c>
      <c r="Q103" s="508">
        <v>130</v>
      </c>
      <c r="R103" s="508">
        <v>130</v>
      </c>
      <c r="S103" s="508">
        <v>130</v>
      </c>
      <c r="T103" s="508">
        <v>130</v>
      </c>
      <c r="U103" s="508">
        <v>130</v>
      </c>
      <c r="V103" s="508">
        <v>130</v>
      </c>
      <c r="W103" s="508">
        <v>130</v>
      </c>
      <c r="X103" s="508">
        <v>130</v>
      </c>
      <c r="Y103" s="508">
        <v>130</v>
      </c>
      <c r="Z103" s="508">
        <v>130</v>
      </c>
      <c r="AA103" s="508">
        <v>130</v>
      </c>
      <c r="AB103" s="508">
        <v>130</v>
      </c>
      <c r="AC103" s="508">
        <v>130</v>
      </c>
      <c r="AD103" s="508">
        <v>130</v>
      </c>
      <c r="AE103" s="508">
        <v>130</v>
      </c>
      <c r="AF103" s="508">
        <v>130</v>
      </c>
      <c r="AG103" s="508">
        <v>130</v>
      </c>
      <c r="AH103" s="508">
        <v>130</v>
      </c>
      <c r="AI103" s="508">
        <v>130</v>
      </c>
      <c r="AJ103" s="508">
        <v>130</v>
      </c>
      <c r="AK103" s="508">
        <v>130</v>
      </c>
      <c r="AL103" s="508">
        <v>130</v>
      </c>
      <c r="AM103" s="508">
        <v>130</v>
      </c>
      <c r="AN103" s="508">
        <v>130</v>
      </c>
      <c r="AO103" s="508">
        <v>130</v>
      </c>
      <c r="AP103" s="508">
        <v>130</v>
      </c>
      <c r="AQ103" s="508">
        <v>130</v>
      </c>
      <c r="AR103" s="508">
        <v>130</v>
      </c>
      <c r="AS103" s="508">
        <v>130</v>
      </c>
      <c r="AT103" s="508">
        <v>130</v>
      </c>
      <c r="AU103" s="508">
        <v>130</v>
      </c>
      <c r="AV103" s="508">
        <v>130</v>
      </c>
      <c r="AW103" s="508">
        <v>130</v>
      </c>
      <c r="AX103" s="508">
        <v>130</v>
      </c>
      <c r="AY103" s="508">
        <v>130</v>
      </c>
      <c r="AZ103" s="508">
        <v>130</v>
      </c>
      <c r="BA103" s="508">
        <v>130</v>
      </c>
      <c r="BB103" s="508">
        <v>130</v>
      </c>
      <c r="BC103" s="508">
        <v>130</v>
      </c>
      <c r="BD103" s="508">
        <v>130</v>
      </c>
      <c r="BE103" s="508">
        <v>130</v>
      </c>
      <c r="BF103" s="508">
        <v>130</v>
      </c>
      <c r="BG103" s="490">
        <f t="shared" si="14"/>
        <v>7020</v>
      </c>
      <c r="BH103" s="509"/>
      <c r="BI103" s="491">
        <f t="shared" si="9"/>
        <v>54</v>
      </c>
      <c r="BJ103" s="522"/>
    </row>
    <row r="104" spans="1:62" ht="195" customHeight="1" thickTop="1" thickBot="1" x14ac:dyDescent="1.3">
      <c r="A104" s="1072"/>
      <c r="B104" s="1054"/>
      <c r="C104" s="1052" t="s">
        <v>597</v>
      </c>
      <c r="D104" s="1052"/>
      <c r="E104" s="512"/>
      <c r="F104" s="512"/>
      <c r="G104" s="512"/>
      <c r="H104" s="512"/>
      <c r="I104" s="512"/>
      <c r="J104" s="512"/>
      <c r="K104" s="512"/>
      <c r="L104" s="512"/>
      <c r="M104" s="512"/>
      <c r="N104" s="512"/>
      <c r="O104" s="512"/>
      <c r="P104" s="512"/>
      <c r="Q104" s="557"/>
      <c r="R104" s="512"/>
      <c r="S104" s="512"/>
      <c r="T104" s="512"/>
      <c r="U104" s="512"/>
      <c r="V104" s="571"/>
      <c r="W104" s="571"/>
      <c r="X104" s="571"/>
      <c r="Y104" s="571"/>
      <c r="Z104" s="571"/>
      <c r="AA104" s="571"/>
      <c r="AB104" s="512"/>
      <c r="AC104" s="512"/>
      <c r="AD104" s="512"/>
      <c r="AE104" s="512"/>
      <c r="AF104" s="512"/>
      <c r="AG104" s="512"/>
      <c r="AH104" s="557"/>
      <c r="AI104" s="512"/>
      <c r="AJ104" s="557"/>
      <c r="AK104" s="557"/>
      <c r="AL104" s="512"/>
      <c r="AM104" s="512"/>
      <c r="AN104" s="512"/>
      <c r="AO104" s="512"/>
      <c r="AP104" s="512"/>
      <c r="AQ104" s="512"/>
      <c r="AR104" s="512"/>
      <c r="AS104" s="512"/>
      <c r="AT104" s="512"/>
      <c r="AU104" s="512"/>
      <c r="AV104" s="512"/>
      <c r="AW104" s="512"/>
      <c r="AX104" s="512"/>
      <c r="AY104" s="512"/>
      <c r="AZ104" s="512"/>
      <c r="BA104" s="512"/>
      <c r="BB104" s="512"/>
      <c r="BC104" s="512"/>
      <c r="BD104" s="512"/>
      <c r="BE104" s="512"/>
      <c r="BF104" s="512"/>
      <c r="BG104" s="495">
        <f>SUM(E104:BF104)</f>
        <v>0</v>
      </c>
      <c r="BH104" s="485">
        <f>BG104</f>
        <v>0</v>
      </c>
      <c r="BI104" s="496">
        <f>BG104/136.94</f>
        <v>0</v>
      </c>
      <c r="BJ104" s="519"/>
    </row>
    <row r="105" spans="1:62" ht="195" customHeight="1" thickTop="1" thickBot="1" x14ac:dyDescent="1.3">
      <c r="A105" s="523"/>
      <c r="B105" s="1054"/>
      <c r="C105" s="1052" t="s">
        <v>598</v>
      </c>
      <c r="D105" s="1052"/>
      <c r="E105" s="512">
        <v>136.93600000000001</v>
      </c>
      <c r="F105" s="512">
        <v>136.93600000000001</v>
      </c>
      <c r="G105" s="512">
        <v>136.93600000000001</v>
      </c>
      <c r="H105" s="557">
        <v>136.93600000000001</v>
      </c>
      <c r="I105" s="557">
        <v>136.93600000000001</v>
      </c>
      <c r="J105" s="557">
        <v>136.93600000000001</v>
      </c>
      <c r="K105" s="557">
        <v>136.93600000000001</v>
      </c>
      <c r="L105" s="557">
        <v>136.93600000000001</v>
      </c>
      <c r="M105" s="557">
        <v>136.93600000000001</v>
      </c>
      <c r="N105" s="557">
        <v>136.93600000000001</v>
      </c>
      <c r="O105" s="557">
        <v>136.93600000000001</v>
      </c>
      <c r="P105" s="557">
        <v>136.93600000000001</v>
      </c>
      <c r="Q105" s="557">
        <v>136.93600000000001</v>
      </c>
      <c r="R105" s="557">
        <v>136.93600000000001</v>
      </c>
      <c r="S105" s="565">
        <v>136.93600000000001</v>
      </c>
      <c r="T105" s="565">
        <v>136.93600000000001</v>
      </c>
      <c r="U105" s="631">
        <v>136.93600000000001</v>
      </c>
      <c r="V105" s="631">
        <v>136.93600000000001</v>
      </c>
      <c r="W105" s="734">
        <v>136.93600000000001</v>
      </c>
      <c r="X105" s="693">
        <v>136.93600000000001</v>
      </c>
      <c r="Y105" s="631">
        <v>136.93600000000001</v>
      </c>
      <c r="Z105" s="631">
        <v>136.93600000000001</v>
      </c>
      <c r="AA105" s="631">
        <v>136.93600000000001</v>
      </c>
      <c r="AB105" s="512">
        <v>136.93600000000001</v>
      </c>
      <c r="AC105" s="512">
        <v>136.93600000000001</v>
      </c>
      <c r="AD105" s="565">
        <v>136.93600000000001</v>
      </c>
      <c r="AE105" s="565">
        <v>136.93600000000001</v>
      </c>
      <c r="AF105" s="565">
        <v>136.93600000000001</v>
      </c>
      <c r="AG105" s="565">
        <v>136.93600000000001</v>
      </c>
      <c r="AH105" s="565">
        <v>136.93600000000001</v>
      </c>
      <c r="AI105" s="565">
        <v>136.93600000000001</v>
      </c>
      <c r="AJ105" s="565">
        <v>136.93600000000001</v>
      </c>
      <c r="AK105" s="565">
        <v>136.93600000000001</v>
      </c>
      <c r="AL105" s="512">
        <v>136.93600000000001</v>
      </c>
      <c r="AM105" s="557">
        <v>136.93600000000001</v>
      </c>
      <c r="AN105" s="557">
        <v>136.93600000000001</v>
      </c>
      <c r="AO105" s="557">
        <v>136.93600000000001</v>
      </c>
      <c r="AP105" s="557">
        <v>136.93600000000001</v>
      </c>
      <c r="AQ105" s="557">
        <v>136.93600000000001</v>
      </c>
      <c r="AR105" s="557">
        <v>136.93600000000001</v>
      </c>
      <c r="AS105" s="557">
        <v>136.93600000000001</v>
      </c>
      <c r="AT105" s="557">
        <v>136.93600000000001</v>
      </c>
      <c r="AU105" s="557">
        <v>136.93600000000001</v>
      </c>
      <c r="AV105" s="557">
        <v>136.93600000000001</v>
      </c>
      <c r="AW105" s="557">
        <v>136.93600000000001</v>
      </c>
      <c r="AX105" s="557">
        <v>136.93600000000001</v>
      </c>
      <c r="AY105" s="557">
        <v>136.93600000000001</v>
      </c>
      <c r="AZ105" s="557">
        <v>136.93600000000001</v>
      </c>
      <c r="BA105" s="557">
        <v>136.93600000000001</v>
      </c>
      <c r="BB105" s="557">
        <v>136.93600000000001</v>
      </c>
      <c r="BC105" s="557">
        <v>136.93600000000001</v>
      </c>
      <c r="BD105" s="557">
        <v>136.93600000000001</v>
      </c>
      <c r="BE105" s="557">
        <v>136.93600000000001</v>
      </c>
      <c r="BF105" s="557">
        <v>136.94999999999999</v>
      </c>
      <c r="BG105" s="495">
        <f>SUM(E105:BF105)</f>
        <v>7394.5579999999945</v>
      </c>
      <c r="BH105" s="485">
        <f>BG105</f>
        <v>7394.5579999999945</v>
      </c>
      <c r="BI105" s="496">
        <f>BG105/BF105</f>
        <v>53.99458196422048</v>
      </c>
      <c r="BJ105" s="519"/>
    </row>
    <row r="106" spans="1:62" s="511" customFormat="1" ht="195" customHeight="1" thickTop="1" thickBot="1" x14ac:dyDescent="1.3">
      <c r="A106" s="1072" t="s">
        <v>436</v>
      </c>
      <c r="B106" s="1054" t="s">
        <v>438</v>
      </c>
      <c r="C106" s="1053" t="s">
        <v>127</v>
      </c>
      <c r="D106" s="1053"/>
      <c r="E106" s="508">
        <v>300</v>
      </c>
      <c r="F106" s="508">
        <v>300</v>
      </c>
      <c r="G106" s="508">
        <v>300</v>
      </c>
      <c r="H106" s="508">
        <v>300</v>
      </c>
      <c r="I106" s="508">
        <v>300</v>
      </c>
      <c r="J106" s="508">
        <v>300</v>
      </c>
      <c r="K106" s="508">
        <v>300</v>
      </c>
      <c r="L106" s="508">
        <v>300</v>
      </c>
      <c r="M106" s="508">
        <v>300</v>
      </c>
      <c r="N106" s="508">
        <v>300</v>
      </c>
      <c r="O106" s="508">
        <v>300</v>
      </c>
      <c r="P106" s="508">
        <v>300</v>
      </c>
      <c r="Q106" s="508">
        <v>300</v>
      </c>
      <c r="R106" s="508">
        <v>300</v>
      </c>
      <c r="S106" s="508">
        <v>300</v>
      </c>
      <c r="T106" s="508">
        <v>300</v>
      </c>
      <c r="U106" s="508">
        <v>300</v>
      </c>
      <c r="V106" s="508">
        <v>300</v>
      </c>
      <c r="W106" s="508">
        <v>300</v>
      </c>
      <c r="X106" s="508">
        <v>300</v>
      </c>
      <c r="Y106" s="508">
        <v>300</v>
      </c>
      <c r="Z106" s="508">
        <v>300</v>
      </c>
      <c r="AA106" s="508">
        <v>300</v>
      </c>
      <c r="AB106" s="508">
        <v>300</v>
      </c>
      <c r="AC106" s="508">
        <v>300</v>
      </c>
      <c r="AD106" s="508">
        <v>300</v>
      </c>
      <c r="AE106" s="508">
        <v>300</v>
      </c>
      <c r="AF106" s="508">
        <v>300</v>
      </c>
      <c r="AG106" s="508">
        <v>300</v>
      </c>
      <c r="AH106" s="508">
        <v>300</v>
      </c>
      <c r="AI106" s="508">
        <v>300</v>
      </c>
      <c r="AJ106" s="508">
        <v>300</v>
      </c>
      <c r="AK106" s="508">
        <v>300</v>
      </c>
      <c r="AL106" s="508">
        <v>300</v>
      </c>
      <c r="AM106" s="508">
        <v>300</v>
      </c>
      <c r="AN106" s="508">
        <v>300</v>
      </c>
      <c r="AO106" s="508">
        <v>300</v>
      </c>
      <c r="AP106" s="508">
        <v>300</v>
      </c>
      <c r="AQ106" s="508">
        <v>300</v>
      </c>
      <c r="AR106" s="508">
        <v>300</v>
      </c>
      <c r="AS106" s="508">
        <v>300</v>
      </c>
      <c r="AT106" s="508">
        <v>300</v>
      </c>
      <c r="AU106" s="508">
        <v>300</v>
      </c>
      <c r="AV106" s="508">
        <v>300</v>
      </c>
      <c r="AW106" s="508">
        <v>300</v>
      </c>
      <c r="AX106" s="508">
        <v>300</v>
      </c>
      <c r="AY106" s="508">
        <v>300</v>
      </c>
      <c r="AZ106" s="508">
        <v>300</v>
      </c>
      <c r="BA106" s="508">
        <v>300</v>
      </c>
      <c r="BB106" s="508">
        <v>300</v>
      </c>
      <c r="BC106" s="508">
        <v>300</v>
      </c>
      <c r="BD106" s="508">
        <v>300</v>
      </c>
      <c r="BE106" s="508">
        <v>300</v>
      </c>
      <c r="BF106" s="508">
        <v>300</v>
      </c>
      <c r="BG106" s="490">
        <f t="shared" ref="BG106:BG109" si="16">SUM(E106:BF106)</f>
        <v>16200</v>
      </c>
      <c r="BH106" s="509"/>
      <c r="BI106" s="491">
        <f t="shared" si="9"/>
        <v>54</v>
      </c>
      <c r="BJ106" s="572"/>
    </row>
    <row r="107" spans="1:62" ht="195" customHeight="1" thickTop="1" thickBot="1" x14ac:dyDescent="1.3">
      <c r="A107" s="1072"/>
      <c r="B107" s="1054"/>
      <c r="C107" s="1052" t="s">
        <v>597</v>
      </c>
      <c r="D107" s="1052"/>
      <c r="E107" s="571"/>
      <c r="F107" s="571"/>
      <c r="G107" s="571"/>
      <c r="H107" s="571"/>
      <c r="I107" s="571"/>
      <c r="J107" s="571"/>
      <c r="K107" s="571"/>
      <c r="L107" s="571"/>
      <c r="M107" s="571"/>
      <c r="N107" s="571"/>
      <c r="O107" s="571"/>
      <c r="P107" s="571"/>
      <c r="Q107" s="571"/>
      <c r="R107" s="571"/>
      <c r="S107" s="571"/>
      <c r="T107" s="571"/>
      <c r="U107" s="571"/>
      <c r="V107" s="571"/>
      <c r="W107" s="571"/>
      <c r="X107" s="571"/>
      <c r="Y107" s="571"/>
      <c r="Z107" s="571"/>
      <c r="AA107" s="571"/>
      <c r="AB107" s="571"/>
      <c r="AC107" s="571">
        <v>290.35116249999999</v>
      </c>
      <c r="AD107" s="571">
        <v>290.35116249999999</v>
      </c>
      <c r="AE107" s="571">
        <v>290.35116249999999</v>
      </c>
      <c r="AF107" s="571">
        <v>290.35116249999999</v>
      </c>
      <c r="AG107" s="571"/>
      <c r="AH107" s="571"/>
      <c r="AI107" s="571"/>
      <c r="AJ107" s="571"/>
      <c r="AK107" s="571"/>
      <c r="AL107" s="571"/>
      <c r="AM107" s="571"/>
      <c r="AN107" s="571"/>
      <c r="AO107" s="571"/>
      <c r="AP107" s="571"/>
      <c r="AQ107" s="571"/>
      <c r="AR107" s="571"/>
      <c r="AS107" s="571"/>
      <c r="AT107" s="571"/>
      <c r="AU107" s="571"/>
      <c r="AV107" s="571"/>
      <c r="AW107" s="571"/>
      <c r="AX107" s="571"/>
      <c r="AY107" s="571"/>
      <c r="AZ107" s="571"/>
      <c r="BA107" s="571"/>
      <c r="BB107" s="571"/>
      <c r="BC107" s="571"/>
      <c r="BD107" s="571"/>
      <c r="BE107" s="571"/>
      <c r="BF107" s="571"/>
      <c r="BG107" s="495">
        <f>SUM(E107:BF107)</f>
        <v>1161.4046499999999</v>
      </c>
      <c r="BH107" s="569">
        <f>BG107</f>
        <v>1161.4046499999999</v>
      </c>
      <c r="BI107" s="496">
        <f>BG107/290.35</f>
        <v>4.0000160151541237</v>
      </c>
      <c r="BJ107" s="570"/>
    </row>
    <row r="108" spans="1:62" ht="195" customHeight="1" thickTop="1" thickBot="1" x14ac:dyDescent="1.3">
      <c r="A108" s="1072"/>
      <c r="B108" s="1054"/>
      <c r="C108" s="1052" t="s">
        <v>598</v>
      </c>
      <c r="D108" s="1052"/>
      <c r="E108" s="631">
        <v>290.35000000000002</v>
      </c>
      <c r="F108" s="631">
        <v>290.35000000000002</v>
      </c>
      <c r="G108" s="631">
        <v>290.35000000000002</v>
      </c>
      <c r="H108" s="631">
        <v>290.35116249999999</v>
      </c>
      <c r="I108" s="631">
        <v>290.35116249999999</v>
      </c>
      <c r="J108" s="631">
        <v>290.35116249999999</v>
      </c>
      <c r="K108" s="631">
        <v>290.35116249999999</v>
      </c>
      <c r="L108" s="631">
        <v>290.35116249999999</v>
      </c>
      <c r="M108" s="631">
        <v>290.35000000000002</v>
      </c>
      <c r="N108" s="631">
        <v>290.35116249999999</v>
      </c>
      <c r="O108" s="631">
        <v>290.35116249999999</v>
      </c>
      <c r="P108" s="631">
        <v>290.35116249999999</v>
      </c>
      <c r="Q108" s="631">
        <v>290.35116249999999</v>
      </c>
      <c r="R108" s="631">
        <v>290.35116249999999</v>
      </c>
      <c r="S108" s="734">
        <v>290.35116249999999</v>
      </c>
      <c r="T108" s="734">
        <v>290.35116249999999</v>
      </c>
      <c r="U108" s="734">
        <v>290.35116249999999</v>
      </c>
      <c r="V108" s="734">
        <v>290.35116249999999</v>
      </c>
      <c r="W108" s="734">
        <v>290.35116249999999</v>
      </c>
      <c r="X108" s="734">
        <v>290.35116249999999</v>
      </c>
      <c r="Y108" s="734">
        <v>290.35116249999999</v>
      </c>
      <c r="Z108" s="734">
        <v>290.35116249999999</v>
      </c>
      <c r="AA108" s="734">
        <v>290.35116249999999</v>
      </c>
      <c r="AB108" s="734">
        <v>290.35116249999999</v>
      </c>
      <c r="AC108" s="571"/>
      <c r="AD108" s="571"/>
      <c r="AE108" s="571"/>
      <c r="AF108" s="571"/>
      <c r="AG108" s="755">
        <v>290.35116249999999</v>
      </c>
      <c r="AH108" s="755">
        <v>290.35116249999999</v>
      </c>
      <c r="AI108" s="755">
        <v>290.35116249999999</v>
      </c>
      <c r="AJ108" s="755">
        <v>290.35116249999999</v>
      </c>
      <c r="AK108" s="755">
        <v>290.35116249999999</v>
      </c>
      <c r="AL108" s="755">
        <v>290.35116249999999</v>
      </c>
      <c r="AM108" s="755">
        <v>290.35116249999999</v>
      </c>
      <c r="AN108" s="755">
        <v>290.35116249999999</v>
      </c>
      <c r="AO108" s="755">
        <v>290.35116249999999</v>
      </c>
      <c r="AP108" s="755">
        <v>290.35116249999999</v>
      </c>
      <c r="AQ108" s="571">
        <v>290.35116249999999</v>
      </c>
      <c r="AR108" s="571">
        <v>290.35116249999999</v>
      </c>
      <c r="AS108" s="571">
        <v>290.35116249999999</v>
      </c>
      <c r="AT108" s="571">
        <v>290.35116249999999</v>
      </c>
      <c r="AU108" s="571">
        <v>290.35116249999999</v>
      </c>
      <c r="AV108" s="571">
        <v>290.35116249999999</v>
      </c>
      <c r="AW108" s="571">
        <v>290.35116249999999</v>
      </c>
      <c r="AX108" s="571">
        <v>290.35116249999999</v>
      </c>
      <c r="AY108" s="571">
        <v>290.35116249999999</v>
      </c>
      <c r="AZ108" s="571">
        <v>290.35116249999999</v>
      </c>
      <c r="BA108" s="571">
        <v>290.35116249999999</v>
      </c>
      <c r="BB108" s="571">
        <v>290.35116249999999</v>
      </c>
      <c r="BC108" s="571">
        <v>290.35116249999999</v>
      </c>
      <c r="BD108" s="571">
        <v>290.35116249999999</v>
      </c>
      <c r="BE108" s="571">
        <v>290.35116249999999</v>
      </c>
      <c r="BF108" s="571">
        <v>290.35116249999999</v>
      </c>
      <c r="BG108" s="495">
        <f>SUM(E108:BF108)</f>
        <v>14517.553474999984</v>
      </c>
      <c r="BH108" s="569">
        <f>BG108</f>
        <v>14517.553474999984</v>
      </c>
      <c r="BI108" s="496">
        <f t="shared" si="9"/>
        <v>49.999983984909946</v>
      </c>
      <c r="BJ108" s="570"/>
    </row>
    <row r="109" spans="1:62" s="511" customFormat="1" ht="195" customHeight="1" thickTop="1" thickBot="1" x14ac:dyDescent="1.3">
      <c r="A109" s="1072" t="s">
        <v>437</v>
      </c>
      <c r="B109" s="1054" t="s">
        <v>439</v>
      </c>
      <c r="C109" s="1053" t="s">
        <v>127</v>
      </c>
      <c r="D109" s="1053"/>
      <c r="E109" s="508">
        <v>125</v>
      </c>
      <c r="F109" s="508">
        <v>125</v>
      </c>
      <c r="G109" s="508">
        <v>125</v>
      </c>
      <c r="H109" s="508">
        <v>125</v>
      </c>
      <c r="I109" s="508">
        <v>125</v>
      </c>
      <c r="J109" s="508">
        <v>125</v>
      </c>
      <c r="K109" s="508">
        <v>125</v>
      </c>
      <c r="L109" s="508">
        <v>125</v>
      </c>
      <c r="M109" s="508">
        <v>125</v>
      </c>
      <c r="N109" s="508">
        <v>125</v>
      </c>
      <c r="O109" s="508">
        <v>125</v>
      </c>
      <c r="P109" s="508">
        <v>125</v>
      </c>
      <c r="Q109" s="508">
        <v>125</v>
      </c>
      <c r="R109" s="508">
        <v>125</v>
      </c>
      <c r="S109" s="508">
        <v>125</v>
      </c>
      <c r="T109" s="508">
        <v>125</v>
      </c>
      <c r="U109" s="508">
        <v>125</v>
      </c>
      <c r="V109" s="508">
        <v>125</v>
      </c>
      <c r="W109" s="508">
        <v>125</v>
      </c>
      <c r="X109" s="508">
        <v>125</v>
      </c>
      <c r="Y109" s="508">
        <v>125</v>
      </c>
      <c r="Z109" s="508">
        <v>125</v>
      </c>
      <c r="AA109" s="508">
        <v>125</v>
      </c>
      <c r="AB109" s="508">
        <v>125</v>
      </c>
      <c r="AC109" s="508">
        <v>125</v>
      </c>
      <c r="AD109" s="508">
        <v>125</v>
      </c>
      <c r="AE109" s="508">
        <v>125</v>
      </c>
      <c r="AF109" s="508">
        <v>125</v>
      </c>
      <c r="AG109" s="508">
        <v>125</v>
      </c>
      <c r="AH109" s="508">
        <v>125</v>
      </c>
      <c r="AI109" s="508">
        <v>125</v>
      </c>
      <c r="AJ109" s="508">
        <v>125</v>
      </c>
      <c r="AK109" s="508">
        <v>125</v>
      </c>
      <c r="AL109" s="508">
        <v>125</v>
      </c>
      <c r="AM109" s="508">
        <v>125</v>
      </c>
      <c r="AN109" s="508">
        <v>125</v>
      </c>
      <c r="AO109" s="508">
        <v>125</v>
      </c>
      <c r="AP109" s="508">
        <v>125</v>
      </c>
      <c r="AQ109" s="508">
        <v>125</v>
      </c>
      <c r="AR109" s="508">
        <v>125</v>
      </c>
      <c r="AS109" s="508">
        <v>125</v>
      </c>
      <c r="AT109" s="508">
        <v>125</v>
      </c>
      <c r="AU109" s="508">
        <v>125</v>
      </c>
      <c r="AV109" s="508">
        <v>125</v>
      </c>
      <c r="AW109" s="508">
        <v>125</v>
      </c>
      <c r="AX109" s="508">
        <v>125</v>
      </c>
      <c r="AY109" s="508">
        <v>125</v>
      </c>
      <c r="AZ109" s="508">
        <v>125</v>
      </c>
      <c r="BA109" s="508">
        <v>125</v>
      </c>
      <c r="BB109" s="508">
        <v>125</v>
      </c>
      <c r="BC109" s="508">
        <v>125</v>
      </c>
      <c r="BD109" s="508">
        <v>125</v>
      </c>
      <c r="BE109" s="508">
        <v>125</v>
      </c>
      <c r="BF109" s="508">
        <v>125</v>
      </c>
      <c r="BG109" s="490">
        <f t="shared" si="16"/>
        <v>6750</v>
      </c>
      <c r="BH109" s="509"/>
      <c r="BI109" s="491">
        <f t="shared" si="9"/>
        <v>54</v>
      </c>
      <c r="BJ109" s="572"/>
    </row>
    <row r="110" spans="1:62" ht="195" customHeight="1" thickTop="1" thickBot="1" x14ac:dyDescent="1.3">
      <c r="A110" s="1072"/>
      <c r="B110" s="1054"/>
      <c r="C110" s="1052" t="s">
        <v>597</v>
      </c>
      <c r="D110" s="1052"/>
      <c r="E110" s="571"/>
      <c r="F110" s="571"/>
      <c r="G110" s="571"/>
      <c r="H110" s="571"/>
      <c r="I110" s="571"/>
      <c r="J110" s="571"/>
      <c r="K110" s="571"/>
      <c r="L110" s="571"/>
      <c r="M110" s="571"/>
      <c r="N110" s="571"/>
      <c r="O110" s="571"/>
      <c r="P110" s="571"/>
      <c r="Q110" s="571"/>
      <c r="R110" s="571"/>
      <c r="S110" s="571"/>
      <c r="T110" s="571"/>
      <c r="U110" s="571"/>
      <c r="V110" s="571"/>
      <c r="W110" s="571"/>
      <c r="X110" s="571"/>
      <c r="Y110" s="571"/>
      <c r="Z110" s="571"/>
      <c r="AA110" s="571"/>
      <c r="AB110" s="571"/>
      <c r="AC110" s="571">
        <v>120.66737499999996</v>
      </c>
      <c r="AD110" s="571">
        <v>120.66737499999996</v>
      </c>
      <c r="AE110" s="571">
        <v>120.66737499999996</v>
      </c>
      <c r="AF110" s="571">
        <v>120.66737499999996</v>
      </c>
      <c r="AG110" s="571"/>
      <c r="AH110" s="571"/>
      <c r="AI110" s="571"/>
      <c r="AJ110" s="571"/>
      <c r="AK110" s="571"/>
      <c r="AL110" s="571"/>
      <c r="AM110" s="571"/>
      <c r="AN110" s="571"/>
      <c r="AO110" s="571"/>
      <c r="AP110" s="571"/>
      <c r="AQ110" s="571"/>
      <c r="AR110" s="571"/>
      <c r="AS110" s="571"/>
      <c r="AT110" s="571"/>
      <c r="AU110" s="571"/>
      <c r="AV110" s="571"/>
      <c r="AW110" s="571"/>
      <c r="AX110" s="571"/>
      <c r="AY110" s="571"/>
      <c r="AZ110" s="571"/>
      <c r="BA110" s="571"/>
      <c r="BB110" s="571"/>
      <c r="BC110" s="571"/>
      <c r="BD110" s="571"/>
      <c r="BE110" s="571"/>
      <c r="BF110" s="571"/>
      <c r="BG110" s="495">
        <f>SUM(E110:BF110)</f>
        <v>482.66949999999986</v>
      </c>
      <c r="BH110" s="569">
        <f>BG110</f>
        <v>482.66949999999986</v>
      </c>
      <c r="BI110" s="496">
        <f>BG110/120.67</f>
        <v>3.9999129858291194</v>
      </c>
      <c r="BJ110" s="570"/>
    </row>
    <row r="111" spans="1:62" ht="195" customHeight="1" thickTop="1" thickBot="1" x14ac:dyDescent="1.3">
      <c r="A111" s="1072"/>
      <c r="B111" s="1054"/>
      <c r="C111" s="1052" t="s">
        <v>598</v>
      </c>
      <c r="D111" s="1052"/>
      <c r="E111" s="631">
        <v>120.66737499999996</v>
      </c>
      <c r="F111" s="631">
        <v>120.66737499999996</v>
      </c>
      <c r="G111" s="631">
        <v>120.66737499999996</v>
      </c>
      <c r="H111" s="631">
        <v>120.66737499999996</v>
      </c>
      <c r="I111" s="734">
        <v>120.66737499999996</v>
      </c>
      <c r="J111" s="734">
        <v>120.66737499999996</v>
      </c>
      <c r="K111" s="734">
        <v>120.66737499999996</v>
      </c>
      <c r="L111" s="734">
        <v>120.66737499999996</v>
      </c>
      <c r="M111" s="734">
        <v>120.66737499999996</v>
      </c>
      <c r="N111" s="734">
        <v>120.66737499999996</v>
      </c>
      <c r="O111" s="734">
        <v>120.66737499999996</v>
      </c>
      <c r="P111" s="734">
        <v>120.66737499999996</v>
      </c>
      <c r="Q111" s="734">
        <v>120.66737499999996</v>
      </c>
      <c r="R111" s="734">
        <v>120.66737499999996</v>
      </c>
      <c r="S111" s="734">
        <v>120.66737499999996</v>
      </c>
      <c r="T111" s="734">
        <v>120.66737499999996</v>
      </c>
      <c r="U111" s="734">
        <v>120.66737499999996</v>
      </c>
      <c r="V111" s="734">
        <v>120.66737499999996</v>
      </c>
      <c r="W111" s="734">
        <v>120.66737499999996</v>
      </c>
      <c r="X111" s="734">
        <v>120.66737499999996</v>
      </c>
      <c r="Y111" s="734">
        <v>120.66737499999996</v>
      </c>
      <c r="Z111" s="734">
        <v>120.66737499999996</v>
      </c>
      <c r="AA111" s="734">
        <v>120.66737499999996</v>
      </c>
      <c r="AB111" s="734">
        <v>120.66737499999996</v>
      </c>
      <c r="AC111" s="571"/>
      <c r="AD111" s="571"/>
      <c r="AE111" s="571"/>
      <c r="AF111" s="571"/>
      <c r="AG111" s="755">
        <v>120.66737499999996</v>
      </c>
      <c r="AH111" s="755">
        <v>120.66737499999996</v>
      </c>
      <c r="AI111" s="755">
        <v>120.66737499999996</v>
      </c>
      <c r="AJ111" s="755">
        <v>120.66737499999996</v>
      </c>
      <c r="AK111" s="755">
        <v>120.66737499999996</v>
      </c>
      <c r="AL111" s="755">
        <v>120.66737499999996</v>
      </c>
      <c r="AM111" s="755">
        <v>120.66737499999996</v>
      </c>
      <c r="AN111" s="755">
        <v>120.66737499999996</v>
      </c>
      <c r="AO111" s="755">
        <v>120.66737499999996</v>
      </c>
      <c r="AP111" s="755">
        <v>120.66737499999996</v>
      </c>
      <c r="AQ111" s="571">
        <v>120.66737499999996</v>
      </c>
      <c r="AR111" s="571">
        <v>120.66737499999996</v>
      </c>
      <c r="AS111" s="571">
        <v>120.66737499999996</v>
      </c>
      <c r="AT111" s="571">
        <v>120.66737499999996</v>
      </c>
      <c r="AU111" s="571">
        <v>120.66737499999996</v>
      </c>
      <c r="AV111" s="571">
        <v>120.66737499999996</v>
      </c>
      <c r="AW111" s="571">
        <v>120.66737499999996</v>
      </c>
      <c r="AX111" s="571">
        <v>120.66737499999996</v>
      </c>
      <c r="AY111" s="571">
        <v>120.66737499999996</v>
      </c>
      <c r="AZ111" s="571">
        <v>120.66737499999996</v>
      </c>
      <c r="BA111" s="571">
        <v>120.66737499999996</v>
      </c>
      <c r="BB111" s="571">
        <v>120.66737499999996</v>
      </c>
      <c r="BC111" s="571">
        <v>120.66737499999996</v>
      </c>
      <c r="BD111" s="571">
        <v>120.66737499999996</v>
      </c>
      <c r="BE111" s="571">
        <v>120.66737499999996</v>
      </c>
      <c r="BF111" s="571">
        <v>120</v>
      </c>
      <c r="BG111" s="495">
        <f>SUM(E111:BF111)</f>
        <v>6032.7013749999987</v>
      </c>
      <c r="BH111" s="569">
        <f>BG111</f>
        <v>6032.7013749999987</v>
      </c>
      <c r="BI111" s="496">
        <f t="shared" si="9"/>
        <v>50.272511458333319</v>
      </c>
      <c r="BJ111" s="570"/>
    </row>
    <row r="112" spans="1:62" s="511" customFormat="1" ht="195" customHeight="1" thickTop="1" thickBot="1" x14ac:dyDescent="1.3">
      <c r="A112" s="1072" t="s">
        <v>534</v>
      </c>
      <c r="B112" s="1054" t="s">
        <v>535</v>
      </c>
      <c r="C112" s="1053" t="s">
        <v>127</v>
      </c>
      <c r="D112" s="1053"/>
      <c r="E112" s="508">
        <v>130</v>
      </c>
      <c r="F112" s="508">
        <v>130</v>
      </c>
      <c r="G112" s="508">
        <v>130</v>
      </c>
      <c r="H112" s="508">
        <v>130</v>
      </c>
      <c r="I112" s="508">
        <v>130</v>
      </c>
      <c r="J112" s="508">
        <v>130</v>
      </c>
      <c r="K112" s="508">
        <v>130</v>
      </c>
      <c r="L112" s="508">
        <v>130</v>
      </c>
      <c r="M112" s="508">
        <v>130</v>
      </c>
      <c r="N112" s="508">
        <v>130</v>
      </c>
      <c r="O112" s="508">
        <v>130</v>
      </c>
      <c r="P112" s="508">
        <v>130</v>
      </c>
      <c r="Q112" s="508">
        <v>130</v>
      </c>
      <c r="R112" s="508">
        <v>130</v>
      </c>
      <c r="S112" s="508">
        <v>130</v>
      </c>
      <c r="T112" s="508">
        <v>130</v>
      </c>
      <c r="U112" s="508">
        <v>130</v>
      </c>
      <c r="V112" s="508">
        <v>130</v>
      </c>
      <c r="W112" s="508">
        <v>130</v>
      </c>
      <c r="X112" s="508">
        <v>130</v>
      </c>
      <c r="Y112" s="508">
        <v>130</v>
      </c>
      <c r="Z112" s="508">
        <v>130</v>
      </c>
      <c r="AA112" s="508">
        <v>130</v>
      </c>
      <c r="AB112" s="508">
        <v>130</v>
      </c>
      <c r="AC112" s="508">
        <v>130</v>
      </c>
      <c r="AD112" s="508">
        <v>130</v>
      </c>
      <c r="AE112" s="508">
        <v>130</v>
      </c>
      <c r="AF112" s="508">
        <v>130</v>
      </c>
      <c r="AG112" s="508">
        <v>130</v>
      </c>
      <c r="AH112" s="508">
        <v>130</v>
      </c>
      <c r="AI112" s="508">
        <v>130</v>
      </c>
      <c r="AJ112" s="508">
        <v>130</v>
      </c>
      <c r="AK112" s="508">
        <v>130</v>
      </c>
      <c r="AL112" s="508">
        <v>130</v>
      </c>
      <c r="AM112" s="508">
        <v>130</v>
      </c>
      <c r="AN112" s="508">
        <v>130</v>
      </c>
      <c r="AO112" s="508">
        <v>130</v>
      </c>
      <c r="AP112" s="508">
        <v>130</v>
      </c>
      <c r="AQ112" s="508">
        <v>130</v>
      </c>
      <c r="AR112" s="508">
        <v>130</v>
      </c>
      <c r="AS112" s="508">
        <v>130</v>
      </c>
      <c r="AT112" s="508">
        <v>130</v>
      </c>
      <c r="AU112" s="508">
        <v>130</v>
      </c>
      <c r="AV112" s="508">
        <v>130</v>
      </c>
      <c r="AW112" s="508">
        <v>130</v>
      </c>
      <c r="AX112" s="508">
        <v>130</v>
      </c>
      <c r="AY112" s="508">
        <v>130</v>
      </c>
      <c r="AZ112" s="508">
        <v>130</v>
      </c>
      <c r="BA112" s="508">
        <v>130</v>
      </c>
      <c r="BB112" s="508">
        <v>130</v>
      </c>
      <c r="BC112" s="508">
        <v>130</v>
      </c>
      <c r="BD112" s="508">
        <v>130</v>
      </c>
      <c r="BE112" s="508">
        <v>130</v>
      </c>
      <c r="BF112" s="508">
        <v>130</v>
      </c>
      <c r="BG112" s="490">
        <f t="shared" ref="BG112:BG116" si="17">SUM(E112:BF112)</f>
        <v>7020</v>
      </c>
      <c r="BH112" s="509"/>
      <c r="BI112" s="491">
        <f t="shared" si="9"/>
        <v>54</v>
      </c>
      <c r="BJ112" s="522"/>
    </row>
    <row r="113" spans="1:63" ht="195" customHeight="1" thickTop="1" thickBot="1" x14ac:dyDescent="1.3">
      <c r="A113" s="1072"/>
      <c r="B113" s="1054"/>
      <c r="C113" s="1052" t="s">
        <v>597</v>
      </c>
      <c r="D113" s="1052"/>
      <c r="E113" s="512"/>
      <c r="F113" s="512"/>
      <c r="G113" s="512"/>
      <c r="H113" s="512"/>
      <c r="I113" s="512"/>
      <c r="J113" s="512"/>
      <c r="K113" s="512"/>
      <c r="L113" s="512"/>
      <c r="M113" s="512"/>
      <c r="N113" s="512"/>
      <c r="O113" s="512"/>
      <c r="P113" s="512"/>
      <c r="Q113" s="557"/>
      <c r="R113" s="512"/>
      <c r="S113" s="512"/>
      <c r="T113" s="512"/>
      <c r="U113" s="512"/>
      <c r="V113" s="512"/>
      <c r="W113" s="512"/>
      <c r="X113" s="571"/>
      <c r="Y113" s="571"/>
      <c r="Z113" s="512"/>
      <c r="AA113" s="571"/>
      <c r="AB113" s="512"/>
      <c r="AC113" s="512"/>
      <c r="AD113" s="512"/>
      <c r="AE113" s="512"/>
      <c r="AF113" s="512"/>
      <c r="AG113" s="512"/>
      <c r="AH113" s="557"/>
      <c r="AI113" s="512"/>
      <c r="AJ113" s="557"/>
      <c r="AK113" s="557"/>
      <c r="AL113" s="512"/>
      <c r="AM113" s="557"/>
      <c r="AN113" s="512"/>
      <c r="AO113" s="512"/>
      <c r="AP113" s="512"/>
      <c r="AQ113" s="512"/>
      <c r="AR113" s="512"/>
      <c r="AS113" s="512"/>
      <c r="AT113" s="512"/>
      <c r="AU113" s="512"/>
      <c r="AV113" s="512"/>
      <c r="AW113" s="512"/>
      <c r="AX113" s="512"/>
      <c r="AY113" s="512"/>
      <c r="AZ113" s="512"/>
      <c r="BA113" s="512"/>
      <c r="BB113" s="512"/>
      <c r="BC113" s="512"/>
      <c r="BD113" s="512"/>
      <c r="BE113" s="512"/>
      <c r="BF113" s="512"/>
      <c r="BG113" s="495">
        <f>SUM(E113:BF113)</f>
        <v>0</v>
      </c>
      <c r="BH113" s="485">
        <f>BG113</f>
        <v>0</v>
      </c>
      <c r="BI113" s="496">
        <f>BG113/158.59</f>
        <v>0</v>
      </c>
      <c r="BJ113" s="519"/>
    </row>
    <row r="114" spans="1:63" ht="195" customHeight="1" thickTop="1" thickBot="1" x14ac:dyDescent="1.3">
      <c r="A114" s="1072"/>
      <c r="B114" s="1054"/>
      <c r="C114" s="1052" t="s">
        <v>598</v>
      </c>
      <c r="D114" s="1052"/>
      <c r="E114" s="512">
        <v>158.59</v>
      </c>
      <c r="F114" s="557">
        <v>158.59</v>
      </c>
      <c r="G114" s="557">
        <v>158.59</v>
      </c>
      <c r="H114" s="557">
        <v>158.59</v>
      </c>
      <c r="I114" s="557">
        <v>158.59</v>
      </c>
      <c r="J114" s="557">
        <v>158.59</v>
      </c>
      <c r="K114" s="557">
        <v>158.59</v>
      </c>
      <c r="L114" s="557">
        <v>158.59</v>
      </c>
      <c r="M114" s="557">
        <v>158.59</v>
      </c>
      <c r="N114" s="557">
        <v>158.59</v>
      </c>
      <c r="O114" s="557">
        <v>158.59</v>
      </c>
      <c r="P114" s="557">
        <v>158.59</v>
      </c>
      <c r="Q114" s="557">
        <v>158.59</v>
      </c>
      <c r="R114" s="557">
        <v>158.59</v>
      </c>
      <c r="S114" s="565">
        <v>158.59</v>
      </c>
      <c r="T114" s="565">
        <v>158.59</v>
      </c>
      <c r="U114" s="631">
        <v>158.59</v>
      </c>
      <c r="V114" s="631">
        <v>158.59</v>
      </c>
      <c r="W114" s="734">
        <v>158.59</v>
      </c>
      <c r="X114" s="693">
        <v>158.59</v>
      </c>
      <c r="Y114" s="631">
        <v>158.59</v>
      </c>
      <c r="Z114" s="631">
        <v>158.59</v>
      </c>
      <c r="AA114" s="631">
        <v>158.59</v>
      </c>
      <c r="AB114" s="512">
        <v>158.59</v>
      </c>
      <c r="AC114" s="512">
        <v>158.59</v>
      </c>
      <c r="AD114" s="557">
        <v>158.59</v>
      </c>
      <c r="AE114" s="565">
        <v>158.59</v>
      </c>
      <c r="AF114" s="565">
        <v>158.59</v>
      </c>
      <c r="AG114" s="565">
        <v>158.59</v>
      </c>
      <c r="AH114" s="565">
        <v>158.59</v>
      </c>
      <c r="AI114" s="565">
        <v>158.59</v>
      </c>
      <c r="AJ114" s="565">
        <v>158.59</v>
      </c>
      <c r="AK114" s="565">
        <v>158.59</v>
      </c>
      <c r="AL114" s="512">
        <v>158.59</v>
      </c>
      <c r="AM114" s="557">
        <v>158.59</v>
      </c>
      <c r="AN114" s="557">
        <v>158.59</v>
      </c>
      <c r="AO114" s="557">
        <v>158.59</v>
      </c>
      <c r="AP114" s="557">
        <v>158.59</v>
      </c>
      <c r="AQ114" s="557">
        <v>158.59</v>
      </c>
      <c r="AR114" s="557">
        <v>158.59</v>
      </c>
      <c r="AS114" s="557">
        <v>158.59</v>
      </c>
      <c r="AT114" s="557">
        <v>158.59</v>
      </c>
      <c r="AU114" s="557">
        <v>158.59</v>
      </c>
      <c r="AV114" s="557">
        <v>158.59</v>
      </c>
      <c r="AW114" s="557">
        <v>158.59</v>
      </c>
      <c r="AX114" s="557">
        <v>158.59</v>
      </c>
      <c r="AY114" s="557">
        <v>158.59</v>
      </c>
      <c r="AZ114" s="557">
        <v>158.59</v>
      </c>
      <c r="BA114" s="557">
        <v>158.59</v>
      </c>
      <c r="BB114" s="557">
        <v>158.59</v>
      </c>
      <c r="BC114" s="557">
        <v>158.59</v>
      </c>
      <c r="BD114" s="557">
        <v>158.59</v>
      </c>
      <c r="BE114" s="557">
        <v>158.59</v>
      </c>
      <c r="BF114" s="557">
        <v>158.59</v>
      </c>
      <c r="BG114" s="495">
        <f>SUM(E114:BF114)</f>
        <v>8563.8600000000042</v>
      </c>
      <c r="BH114" s="485">
        <f>BG114</f>
        <v>8563.8600000000042</v>
      </c>
      <c r="BI114" s="496">
        <f>BG114/BF114</f>
        <v>54.000000000000028</v>
      </c>
      <c r="BJ114" s="519"/>
    </row>
    <row r="115" spans="1:63" s="511" customFormat="1" ht="195" customHeight="1" thickTop="1" thickBot="1" x14ac:dyDescent="1.3">
      <c r="A115" s="1072" t="s">
        <v>458</v>
      </c>
      <c r="B115" s="1054" t="s">
        <v>459</v>
      </c>
      <c r="C115" s="1053" t="s">
        <v>127</v>
      </c>
      <c r="D115" s="1053"/>
      <c r="E115" s="508">
        <v>75</v>
      </c>
      <c r="F115" s="508">
        <v>75</v>
      </c>
      <c r="G115" s="508">
        <v>75</v>
      </c>
      <c r="H115" s="508">
        <v>75</v>
      </c>
      <c r="I115" s="508">
        <v>75</v>
      </c>
      <c r="J115" s="508">
        <v>75</v>
      </c>
      <c r="K115" s="508">
        <v>75</v>
      </c>
      <c r="L115" s="508">
        <v>75</v>
      </c>
      <c r="M115" s="508">
        <v>75</v>
      </c>
      <c r="N115" s="508">
        <v>75</v>
      </c>
      <c r="O115" s="508">
        <v>75</v>
      </c>
      <c r="P115" s="508">
        <v>75</v>
      </c>
      <c r="Q115" s="508">
        <v>75</v>
      </c>
      <c r="R115" s="508">
        <v>75</v>
      </c>
      <c r="S115" s="508">
        <v>75</v>
      </c>
      <c r="T115" s="508">
        <v>75</v>
      </c>
      <c r="U115" s="508">
        <v>75</v>
      </c>
      <c r="V115" s="508">
        <v>75</v>
      </c>
      <c r="W115" s="508">
        <v>75</v>
      </c>
      <c r="X115" s="508">
        <v>75</v>
      </c>
      <c r="Y115" s="508">
        <v>75</v>
      </c>
      <c r="Z115" s="508">
        <v>75</v>
      </c>
      <c r="AA115" s="508">
        <v>75</v>
      </c>
      <c r="AB115" s="508">
        <v>75</v>
      </c>
      <c r="AC115" s="508">
        <v>75</v>
      </c>
      <c r="AD115" s="508">
        <v>75</v>
      </c>
      <c r="AE115" s="508">
        <v>75</v>
      </c>
      <c r="AF115" s="508">
        <v>75</v>
      </c>
      <c r="AG115" s="508">
        <v>75</v>
      </c>
      <c r="AH115" s="508">
        <v>75</v>
      </c>
      <c r="AI115" s="508">
        <v>75</v>
      </c>
      <c r="AJ115" s="508">
        <v>75</v>
      </c>
      <c r="AK115" s="508">
        <v>75</v>
      </c>
      <c r="AL115" s="508">
        <v>75</v>
      </c>
      <c r="AM115" s="508">
        <v>75</v>
      </c>
      <c r="AN115" s="508">
        <v>75</v>
      </c>
      <c r="AO115" s="508">
        <v>75</v>
      </c>
      <c r="AP115" s="508">
        <v>75</v>
      </c>
      <c r="AQ115" s="508">
        <v>75</v>
      </c>
      <c r="AR115" s="508">
        <v>75</v>
      </c>
      <c r="AS115" s="508">
        <v>75</v>
      </c>
      <c r="AT115" s="508">
        <v>75</v>
      </c>
      <c r="AU115" s="508">
        <v>75</v>
      </c>
      <c r="AV115" s="508">
        <v>75</v>
      </c>
      <c r="AW115" s="508">
        <v>75</v>
      </c>
      <c r="AX115" s="508">
        <v>75</v>
      </c>
      <c r="AY115" s="508">
        <v>75</v>
      </c>
      <c r="AZ115" s="508">
        <v>75</v>
      </c>
      <c r="BA115" s="508">
        <v>75</v>
      </c>
      <c r="BB115" s="508">
        <v>75</v>
      </c>
      <c r="BC115" s="508">
        <v>75</v>
      </c>
      <c r="BD115" s="508">
        <v>75</v>
      </c>
      <c r="BE115" s="508">
        <v>75</v>
      </c>
      <c r="BF115" s="508">
        <v>75</v>
      </c>
      <c r="BG115" s="490">
        <f t="shared" si="17"/>
        <v>4050</v>
      </c>
      <c r="BH115" s="1076">
        <f>BG116</f>
        <v>5062.5</v>
      </c>
      <c r="BI115" s="491">
        <f t="shared" si="9"/>
        <v>54</v>
      </c>
      <c r="BJ115" s="522"/>
    </row>
    <row r="116" spans="1:63" ht="195" customHeight="1" thickTop="1" thickBot="1" x14ac:dyDescent="1.3">
      <c r="A116" s="1072"/>
      <c r="B116" s="1054"/>
      <c r="C116" s="1052" t="s">
        <v>128</v>
      </c>
      <c r="D116" s="1052"/>
      <c r="E116" s="512">
        <v>93.75</v>
      </c>
      <c r="F116" s="512">
        <v>93.75</v>
      </c>
      <c r="G116" s="512">
        <v>93.75</v>
      </c>
      <c r="H116" s="557">
        <v>93.75</v>
      </c>
      <c r="I116" s="512">
        <v>93.75</v>
      </c>
      <c r="J116" s="512">
        <v>93.75</v>
      </c>
      <c r="K116" s="512">
        <v>93.75</v>
      </c>
      <c r="L116" s="512">
        <v>93.75</v>
      </c>
      <c r="M116" s="557">
        <v>93.75</v>
      </c>
      <c r="N116" s="557">
        <v>93.75</v>
      </c>
      <c r="O116" s="557">
        <v>93.75</v>
      </c>
      <c r="P116" s="512">
        <v>93.75</v>
      </c>
      <c r="Q116" s="512">
        <v>93.75</v>
      </c>
      <c r="R116" s="512">
        <v>93.75</v>
      </c>
      <c r="S116" s="512">
        <v>93.75</v>
      </c>
      <c r="T116" s="512">
        <v>93.75</v>
      </c>
      <c r="U116" s="631">
        <v>93.75</v>
      </c>
      <c r="V116" s="631">
        <v>93.75</v>
      </c>
      <c r="W116" s="631">
        <v>93.75</v>
      </c>
      <c r="X116" s="512">
        <v>93.75</v>
      </c>
      <c r="Y116" s="557">
        <v>93.75</v>
      </c>
      <c r="Z116" s="631">
        <v>93.75</v>
      </c>
      <c r="AA116" s="512">
        <v>93.75</v>
      </c>
      <c r="AB116" s="565">
        <v>93.75</v>
      </c>
      <c r="AC116" s="565">
        <v>93.75</v>
      </c>
      <c r="AD116" s="565">
        <v>93.75</v>
      </c>
      <c r="AE116" s="565">
        <v>93.75</v>
      </c>
      <c r="AF116" s="565">
        <v>93.75</v>
      </c>
      <c r="AG116" s="565">
        <v>93.75</v>
      </c>
      <c r="AH116" s="565">
        <v>93.75</v>
      </c>
      <c r="AI116" s="565">
        <v>93.75</v>
      </c>
      <c r="AJ116" s="565">
        <v>93.75</v>
      </c>
      <c r="AK116" s="565">
        <v>93.75</v>
      </c>
      <c r="AL116" s="565">
        <v>93.75</v>
      </c>
      <c r="AM116" s="565">
        <v>93.75</v>
      </c>
      <c r="AN116" s="565">
        <v>93.75</v>
      </c>
      <c r="AO116" s="565">
        <v>93.75</v>
      </c>
      <c r="AP116" s="565">
        <v>93.75</v>
      </c>
      <c r="AQ116" s="565">
        <v>93.75</v>
      </c>
      <c r="AR116" s="565">
        <v>93.75</v>
      </c>
      <c r="AS116" s="565">
        <v>93.75</v>
      </c>
      <c r="AT116" s="565">
        <v>93.75</v>
      </c>
      <c r="AU116" s="565">
        <v>93.75</v>
      </c>
      <c r="AV116" s="565">
        <v>93.75</v>
      </c>
      <c r="AW116" s="565">
        <v>93.75</v>
      </c>
      <c r="AX116" s="565">
        <v>93.75</v>
      </c>
      <c r="AY116" s="565">
        <v>93.75</v>
      </c>
      <c r="AZ116" s="565">
        <v>93.75</v>
      </c>
      <c r="BA116" s="565">
        <v>93.75</v>
      </c>
      <c r="BB116" s="565">
        <v>93.75</v>
      </c>
      <c r="BC116" s="565">
        <v>93.75</v>
      </c>
      <c r="BD116" s="565">
        <v>93.75</v>
      </c>
      <c r="BE116" s="565">
        <v>93.75</v>
      </c>
      <c r="BF116" s="565">
        <v>93.75</v>
      </c>
      <c r="BG116" s="495">
        <f t="shared" si="17"/>
        <v>5062.5</v>
      </c>
      <c r="BH116" s="1076"/>
      <c r="BI116" s="496">
        <f t="shared" si="9"/>
        <v>54</v>
      </c>
      <c r="BJ116" s="519"/>
      <c r="BK116" s="519"/>
    </row>
    <row r="117" spans="1:63" s="511" customFormat="1" ht="195" customHeight="1" thickTop="1" thickBot="1" x14ac:dyDescent="1.3">
      <c r="A117" s="1072" t="s">
        <v>462</v>
      </c>
      <c r="B117" s="1054" t="s">
        <v>460</v>
      </c>
      <c r="C117" s="1053" t="s">
        <v>127</v>
      </c>
      <c r="D117" s="1053"/>
      <c r="E117" s="508">
        <v>20</v>
      </c>
      <c r="F117" s="508">
        <v>20</v>
      </c>
      <c r="G117" s="508">
        <v>20</v>
      </c>
      <c r="H117" s="508">
        <v>20</v>
      </c>
      <c r="I117" s="508">
        <v>20</v>
      </c>
      <c r="J117" s="508">
        <v>20</v>
      </c>
      <c r="K117" s="508">
        <v>20</v>
      </c>
      <c r="L117" s="508">
        <v>20</v>
      </c>
      <c r="M117" s="508">
        <v>20</v>
      </c>
      <c r="N117" s="508">
        <v>20</v>
      </c>
      <c r="O117" s="508">
        <v>20</v>
      </c>
      <c r="P117" s="508">
        <v>20</v>
      </c>
      <c r="Q117" s="508">
        <v>20</v>
      </c>
      <c r="R117" s="508">
        <v>20</v>
      </c>
      <c r="S117" s="508">
        <v>20</v>
      </c>
      <c r="T117" s="508">
        <v>20</v>
      </c>
      <c r="U117" s="508">
        <v>20</v>
      </c>
      <c r="V117" s="508">
        <v>20</v>
      </c>
      <c r="W117" s="508">
        <v>20</v>
      </c>
      <c r="X117" s="508">
        <v>20</v>
      </c>
      <c r="Y117" s="508">
        <v>20</v>
      </c>
      <c r="Z117" s="508">
        <v>20</v>
      </c>
      <c r="AA117" s="508">
        <v>20</v>
      </c>
      <c r="AB117" s="508">
        <v>20</v>
      </c>
      <c r="AC117" s="508">
        <v>20</v>
      </c>
      <c r="AD117" s="508">
        <v>20</v>
      </c>
      <c r="AE117" s="508">
        <v>20</v>
      </c>
      <c r="AF117" s="508">
        <v>20</v>
      </c>
      <c r="AG117" s="508">
        <v>20</v>
      </c>
      <c r="AH117" s="508">
        <v>20</v>
      </c>
      <c r="AI117" s="508">
        <v>20</v>
      </c>
      <c r="AJ117" s="508">
        <v>20</v>
      </c>
      <c r="AK117" s="508">
        <v>20</v>
      </c>
      <c r="AL117" s="508">
        <v>20</v>
      </c>
      <c r="AM117" s="508">
        <v>20</v>
      </c>
      <c r="AN117" s="508">
        <v>20</v>
      </c>
      <c r="AO117" s="508">
        <v>20</v>
      </c>
      <c r="AP117" s="508">
        <v>20</v>
      </c>
      <c r="AQ117" s="508">
        <v>20</v>
      </c>
      <c r="AR117" s="508">
        <v>20</v>
      </c>
      <c r="AS117" s="508">
        <v>20</v>
      </c>
      <c r="AT117" s="508">
        <v>20</v>
      </c>
      <c r="AU117" s="508">
        <v>20</v>
      </c>
      <c r="AV117" s="508">
        <v>20</v>
      </c>
      <c r="AW117" s="508">
        <v>20</v>
      </c>
      <c r="AX117" s="508">
        <v>20</v>
      </c>
      <c r="AY117" s="508">
        <v>20</v>
      </c>
      <c r="AZ117" s="508">
        <v>20</v>
      </c>
      <c r="BA117" s="508">
        <v>20</v>
      </c>
      <c r="BB117" s="508">
        <v>20</v>
      </c>
      <c r="BC117" s="508">
        <v>20</v>
      </c>
      <c r="BD117" s="508">
        <v>20</v>
      </c>
      <c r="BE117" s="508">
        <v>20</v>
      </c>
      <c r="BF117" s="508">
        <v>20</v>
      </c>
      <c r="BG117" s="490">
        <f>SUM(E117:BF117)</f>
        <v>1080</v>
      </c>
      <c r="BH117" s="1076">
        <f>BG118</f>
        <v>1153.9799999999993</v>
      </c>
      <c r="BI117" s="491">
        <f t="shared" si="9"/>
        <v>54</v>
      </c>
      <c r="BJ117" s="522"/>
    </row>
    <row r="118" spans="1:63" ht="195" customHeight="1" thickTop="1" thickBot="1" x14ac:dyDescent="1.3">
      <c r="A118" s="1072"/>
      <c r="B118" s="1054"/>
      <c r="C118" s="1052" t="s">
        <v>128</v>
      </c>
      <c r="D118" s="1052"/>
      <c r="E118" s="512">
        <v>21.37</v>
      </c>
      <c r="F118" s="557">
        <v>21.37</v>
      </c>
      <c r="G118" s="557">
        <v>21.37</v>
      </c>
      <c r="H118" s="557">
        <v>21.37</v>
      </c>
      <c r="I118" s="557">
        <v>21.37</v>
      </c>
      <c r="J118" s="557">
        <v>21.37</v>
      </c>
      <c r="K118" s="557">
        <v>21.37</v>
      </c>
      <c r="L118" s="557">
        <v>21.37</v>
      </c>
      <c r="M118" s="557">
        <v>21.37</v>
      </c>
      <c r="N118" s="557">
        <v>21.37</v>
      </c>
      <c r="O118" s="557">
        <v>21.37</v>
      </c>
      <c r="P118" s="557">
        <v>21.37</v>
      </c>
      <c r="Q118" s="557">
        <v>21.37</v>
      </c>
      <c r="R118" s="557">
        <v>21.37</v>
      </c>
      <c r="S118" s="557">
        <v>21.37</v>
      </c>
      <c r="T118" s="557">
        <v>21.37</v>
      </c>
      <c r="U118" s="631">
        <v>21.37</v>
      </c>
      <c r="V118" s="631">
        <v>21.37</v>
      </c>
      <c r="W118" s="631">
        <v>21.37</v>
      </c>
      <c r="X118" s="512">
        <v>21.37</v>
      </c>
      <c r="Y118" s="557">
        <v>21.37</v>
      </c>
      <c r="Z118" s="631">
        <v>21.37</v>
      </c>
      <c r="AA118" s="565">
        <v>21.37</v>
      </c>
      <c r="AB118" s="565">
        <v>21.37</v>
      </c>
      <c r="AC118" s="565">
        <v>21.37</v>
      </c>
      <c r="AD118" s="565">
        <v>21.37</v>
      </c>
      <c r="AE118" s="565">
        <v>21.37</v>
      </c>
      <c r="AF118" s="565">
        <v>21.37</v>
      </c>
      <c r="AG118" s="565">
        <v>21.37</v>
      </c>
      <c r="AH118" s="565">
        <v>21.37</v>
      </c>
      <c r="AI118" s="565">
        <v>21.37</v>
      </c>
      <c r="AJ118" s="565">
        <v>21.37</v>
      </c>
      <c r="AK118" s="565">
        <v>21.37</v>
      </c>
      <c r="AL118" s="565">
        <v>21.37</v>
      </c>
      <c r="AM118" s="565">
        <v>21.37</v>
      </c>
      <c r="AN118" s="565">
        <v>21.37</v>
      </c>
      <c r="AO118" s="565">
        <v>21.37</v>
      </c>
      <c r="AP118" s="565">
        <v>21.37</v>
      </c>
      <c r="AQ118" s="565">
        <v>21.37</v>
      </c>
      <c r="AR118" s="565">
        <v>21.37</v>
      </c>
      <c r="AS118" s="565">
        <v>21.37</v>
      </c>
      <c r="AT118" s="565">
        <v>21.37</v>
      </c>
      <c r="AU118" s="565">
        <v>21.37</v>
      </c>
      <c r="AV118" s="565">
        <v>21.37</v>
      </c>
      <c r="AW118" s="565">
        <v>21.37</v>
      </c>
      <c r="AX118" s="565">
        <v>21.37</v>
      </c>
      <c r="AY118" s="565">
        <v>21.37</v>
      </c>
      <c r="AZ118" s="565">
        <v>21.37</v>
      </c>
      <c r="BA118" s="565">
        <v>21.37</v>
      </c>
      <c r="BB118" s="565">
        <v>21.37</v>
      </c>
      <c r="BC118" s="565">
        <v>21.37</v>
      </c>
      <c r="BD118" s="565">
        <v>21.37</v>
      </c>
      <c r="BE118" s="565">
        <v>21.37</v>
      </c>
      <c r="BF118" s="557">
        <v>21.37</v>
      </c>
      <c r="BG118" s="495">
        <f>SUM(E118:BF118)</f>
        <v>1153.9799999999993</v>
      </c>
      <c r="BH118" s="1076"/>
      <c r="BI118" s="496">
        <f t="shared" si="9"/>
        <v>53.999999999999964</v>
      </c>
      <c r="BJ118" s="519"/>
    </row>
    <row r="119" spans="1:63" s="511" customFormat="1" ht="195" customHeight="1" thickTop="1" thickBot="1" x14ac:dyDescent="1.3">
      <c r="A119" s="1072" t="s">
        <v>463</v>
      </c>
      <c r="B119" s="1054" t="s">
        <v>461</v>
      </c>
      <c r="C119" s="1053" t="s">
        <v>127</v>
      </c>
      <c r="D119" s="1053"/>
      <c r="E119" s="508">
        <v>128</v>
      </c>
      <c r="F119" s="508">
        <v>128</v>
      </c>
      <c r="G119" s="508">
        <v>128</v>
      </c>
      <c r="H119" s="508">
        <v>128</v>
      </c>
      <c r="I119" s="508">
        <v>128</v>
      </c>
      <c r="J119" s="508">
        <v>128</v>
      </c>
      <c r="K119" s="508">
        <v>128</v>
      </c>
      <c r="L119" s="508">
        <v>128</v>
      </c>
      <c r="M119" s="508">
        <v>128</v>
      </c>
      <c r="N119" s="508">
        <v>128</v>
      </c>
      <c r="O119" s="508">
        <v>128</v>
      </c>
      <c r="P119" s="508">
        <v>128</v>
      </c>
      <c r="Q119" s="508">
        <v>128</v>
      </c>
      <c r="R119" s="508">
        <v>128</v>
      </c>
      <c r="S119" s="508">
        <v>128</v>
      </c>
      <c r="T119" s="508">
        <v>128</v>
      </c>
      <c r="U119" s="508">
        <v>128</v>
      </c>
      <c r="V119" s="508">
        <v>128</v>
      </c>
      <c r="W119" s="508">
        <v>128</v>
      </c>
      <c r="X119" s="508">
        <v>128</v>
      </c>
      <c r="Y119" s="508">
        <v>128</v>
      </c>
      <c r="Z119" s="508">
        <v>128</v>
      </c>
      <c r="AA119" s="508">
        <v>128</v>
      </c>
      <c r="AB119" s="508">
        <v>128</v>
      </c>
      <c r="AC119" s="508">
        <v>128</v>
      </c>
      <c r="AD119" s="508">
        <v>128</v>
      </c>
      <c r="AE119" s="508">
        <v>128</v>
      </c>
      <c r="AF119" s="508">
        <v>128</v>
      </c>
      <c r="AG119" s="508">
        <v>128</v>
      </c>
      <c r="AH119" s="508">
        <v>128</v>
      </c>
      <c r="AI119" s="508">
        <v>128</v>
      </c>
      <c r="AJ119" s="508">
        <v>128</v>
      </c>
      <c r="AK119" s="508">
        <v>128</v>
      </c>
      <c r="AL119" s="508">
        <v>128</v>
      </c>
      <c r="AM119" s="508">
        <v>128</v>
      </c>
      <c r="AN119" s="508">
        <v>128</v>
      </c>
      <c r="AO119" s="508">
        <v>128</v>
      </c>
      <c r="AP119" s="508">
        <v>128</v>
      </c>
      <c r="AQ119" s="508">
        <v>128</v>
      </c>
      <c r="AR119" s="508">
        <v>128</v>
      </c>
      <c r="AS119" s="508">
        <v>128</v>
      </c>
      <c r="AT119" s="508">
        <v>128</v>
      </c>
      <c r="AU119" s="508">
        <v>128</v>
      </c>
      <c r="AV119" s="508">
        <v>128</v>
      </c>
      <c r="AW119" s="508">
        <v>128</v>
      </c>
      <c r="AX119" s="508">
        <v>128</v>
      </c>
      <c r="AY119" s="508">
        <v>128</v>
      </c>
      <c r="AZ119" s="508">
        <v>128</v>
      </c>
      <c r="BA119" s="508">
        <v>128</v>
      </c>
      <c r="BB119" s="508">
        <v>128</v>
      </c>
      <c r="BC119" s="508">
        <v>128</v>
      </c>
      <c r="BD119" s="508">
        <v>128</v>
      </c>
      <c r="BE119" s="508">
        <v>128</v>
      </c>
      <c r="BF119" s="508">
        <v>128</v>
      </c>
      <c r="BG119" s="490">
        <f>SUM(E119:BF119)</f>
        <v>6912</v>
      </c>
      <c r="BH119" s="1076">
        <f>BG120</f>
        <v>6935.759999999992</v>
      </c>
      <c r="BI119" s="491">
        <f t="shared" si="9"/>
        <v>54</v>
      </c>
      <c r="BJ119" s="522"/>
    </row>
    <row r="120" spans="1:63" ht="195" customHeight="1" thickTop="1" thickBot="1" x14ac:dyDescent="1.3">
      <c r="A120" s="1072"/>
      <c r="B120" s="1054"/>
      <c r="C120" s="1052" t="s">
        <v>128</v>
      </c>
      <c r="D120" s="1052"/>
      <c r="E120" s="512">
        <v>128.44</v>
      </c>
      <c r="F120" s="557">
        <v>128.44</v>
      </c>
      <c r="G120" s="557">
        <v>128.44</v>
      </c>
      <c r="H120" s="557">
        <v>128.44</v>
      </c>
      <c r="I120" s="557">
        <v>128.44</v>
      </c>
      <c r="J120" s="557">
        <v>128.44</v>
      </c>
      <c r="K120" s="557">
        <v>128.44</v>
      </c>
      <c r="L120" s="557">
        <v>128.44</v>
      </c>
      <c r="M120" s="557">
        <v>128.44</v>
      </c>
      <c r="N120" s="557">
        <v>128.44</v>
      </c>
      <c r="O120" s="557">
        <v>128.44</v>
      </c>
      <c r="P120" s="557">
        <v>128.44</v>
      </c>
      <c r="Q120" s="557">
        <v>128.44</v>
      </c>
      <c r="R120" s="557">
        <v>128.44</v>
      </c>
      <c r="S120" s="557">
        <v>128.44</v>
      </c>
      <c r="T120" s="557">
        <v>128.44</v>
      </c>
      <c r="U120" s="631">
        <v>128.44</v>
      </c>
      <c r="V120" s="631">
        <v>128.44</v>
      </c>
      <c r="W120" s="631">
        <v>128.44</v>
      </c>
      <c r="X120" s="512">
        <v>128.44</v>
      </c>
      <c r="Y120" s="557">
        <v>128.44</v>
      </c>
      <c r="Z120" s="631">
        <v>128.44</v>
      </c>
      <c r="AA120" s="512">
        <v>128.44</v>
      </c>
      <c r="AB120" s="565">
        <v>128.44</v>
      </c>
      <c r="AC120" s="565">
        <v>128.44</v>
      </c>
      <c r="AD120" s="565">
        <v>128.44</v>
      </c>
      <c r="AE120" s="565">
        <v>128.44</v>
      </c>
      <c r="AF120" s="565">
        <v>128.44</v>
      </c>
      <c r="AG120" s="565">
        <v>128.44</v>
      </c>
      <c r="AH120" s="565">
        <v>128.44</v>
      </c>
      <c r="AI120" s="565">
        <v>128.44</v>
      </c>
      <c r="AJ120" s="565">
        <v>128.44</v>
      </c>
      <c r="AK120" s="565">
        <v>128.44</v>
      </c>
      <c r="AL120" s="565">
        <v>128.44</v>
      </c>
      <c r="AM120" s="565">
        <v>128.44</v>
      </c>
      <c r="AN120" s="565">
        <v>128.44</v>
      </c>
      <c r="AO120" s="565">
        <v>128.44</v>
      </c>
      <c r="AP120" s="565">
        <v>128.44</v>
      </c>
      <c r="AQ120" s="565">
        <v>128.44</v>
      </c>
      <c r="AR120" s="565">
        <v>128.44</v>
      </c>
      <c r="AS120" s="565">
        <v>128.44</v>
      </c>
      <c r="AT120" s="565">
        <v>128.44</v>
      </c>
      <c r="AU120" s="565">
        <v>128.44</v>
      </c>
      <c r="AV120" s="565">
        <v>128.44</v>
      </c>
      <c r="AW120" s="565">
        <v>128.44</v>
      </c>
      <c r="AX120" s="565">
        <v>128.44</v>
      </c>
      <c r="AY120" s="565">
        <v>128.44</v>
      </c>
      <c r="AZ120" s="565">
        <v>128.44</v>
      </c>
      <c r="BA120" s="565">
        <v>128.44</v>
      </c>
      <c r="BB120" s="565">
        <v>128.44</v>
      </c>
      <c r="BC120" s="565">
        <v>128.44</v>
      </c>
      <c r="BD120" s="565">
        <v>128.44</v>
      </c>
      <c r="BE120" s="565">
        <v>128.44</v>
      </c>
      <c r="BF120" s="565">
        <v>128.44</v>
      </c>
      <c r="BG120" s="495">
        <f>SUM(E120:BF120)</f>
        <v>6935.759999999992</v>
      </c>
      <c r="BH120" s="1076"/>
      <c r="BI120" s="496">
        <f t="shared" si="9"/>
        <v>53.999999999999936</v>
      </c>
      <c r="BJ120" s="519"/>
    </row>
    <row r="121" spans="1:63" ht="307.89999999999998" customHeight="1" thickTop="1" thickBot="1" x14ac:dyDescent="1.3">
      <c r="A121" s="540"/>
      <c r="B121" s="541"/>
      <c r="C121" s="542"/>
      <c r="D121" s="542"/>
      <c r="E121" s="1074" t="s">
        <v>802</v>
      </c>
      <c r="F121" s="1074"/>
      <c r="G121" s="1074"/>
      <c r="H121" s="1074"/>
      <c r="I121" s="543"/>
      <c r="J121" s="543"/>
      <c r="K121" s="543"/>
      <c r="L121" s="543"/>
      <c r="M121" s="543"/>
      <c r="N121" s="543"/>
      <c r="O121" s="543"/>
      <c r="P121" s="543"/>
      <c r="Q121" s="543"/>
      <c r="R121" s="543"/>
      <c r="S121" s="1059" t="s">
        <v>150</v>
      </c>
      <c r="T121" s="1059"/>
      <c r="U121" s="543"/>
      <c r="V121" s="543"/>
      <c r="W121" s="543"/>
      <c r="X121" s="543"/>
      <c r="Y121" s="543"/>
      <c r="Z121" s="543"/>
      <c r="AA121" s="543"/>
      <c r="AB121" s="543"/>
      <c r="AC121" s="543"/>
      <c r="AD121" s="543"/>
      <c r="AE121" s="543"/>
      <c r="AF121" s="543"/>
      <c r="AG121" s="543"/>
      <c r="AH121" s="543"/>
      <c r="AI121" s="543"/>
      <c r="AJ121" s="543"/>
      <c r="AK121" s="1059" t="s">
        <v>162</v>
      </c>
      <c r="AL121" s="1059"/>
      <c r="AM121" s="543"/>
      <c r="AN121" s="543"/>
      <c r="AO121" s="543"/>
      <c r="AP121" s="543"/>
      <c r="AQ121" s="543"/>
      <c r="AR121" s="543"/>
      <c r="AS121" s="543"/>
      <c r="AT121" s="543"/>
      <c r="AU121" s="543"/>
      <c r="AV121" s="543"/>
      <c r="AW121" s="543"/>
      <c r="AX121" s="543"/>
      <c r="AY121" s="543"/>
      <c r="AZ121" s="543"/>
      <c r="BA121" s="543"/>
      <c r="BB121" s="543"/>
      <c r="BC121" s="543"/>
      <c r="BD121" s="543"/>
      <c r="BE121" s="543"/>
      <c r="BF121" s="1059" t="s">
        <v>150</v>
      </c>
      <c r="BG121" s="1059"/>
      <c r="BH121" s="544"/>
      <c r="BI121" s="530"/>
    </row>
    <row r="122" spans="1:63" ht="343.9" customHeight="1" thickTop="1" thickBot="1" x14ac:dyDescent="1.3">
      <c r="A122" s="1057" t="s">
        <v>125</v>
      </c>
      <c r="B122" s="1058"/>
      <c r="C122" s="1058"/>
      <c r="D122" s="1058"/>
      <c r="E122" s="524">
        <v>300</v>
      </c>
      <c r="F122" s="524">
        <v>301</v>
      </c>
      <c r="G122" s="524">
        <v>302</v>
      </c>
      <c r="H122" s="524">
        <v>303</v>
      </c>
      <c r="I122" s="524">
        <v>304</v>
      </c>
      <c r="J122" s="524">
        <v>305</v>
      </c>
      <c r="K122" s="524">
        <v>306</v>
      </c>
      <c r="L122" s="524">
        <v>307</v>
      </c>
      <c r="M122" s="524">
        <v>308</v>
      </c>
      <c r="N122" s="524">
        <v>309</v>
      </c>
      <c r="O122" s="524">
        <v>310</v>
      </c>
      <c r="P122" s="524">
        <v>311</v>
      </c>
      <c r="Q122" s="524">
        <v>312</v>
      </c>
      <c r="R122" s="524">
        <v>313</v>
      </c>
      <c r="S122" s="524">
        <v>314</v>
      </c>
      <c r="T122" s="524">
        <v>315</v>
      </c>
      <c r="U122" s="524">
        <v>316</v>
      </c>
      <c r="V122" s="524">
        <v>317</v>
      </c>
      <c r="W122" s="524">
        <v>318</v>
      </c>
      <c r="X122" s="524">
        <v>319</v>
      </c>
      <c r="Y122" s="524">
        <v>320</v>
      </c>
      <c r="Z122" s="524">
        <v>321</v>
      </c>
      <c r="AA122" s="524">
        <v>322</v>
      </c>
      <c r="AB122" s="524">
        <v>323</v>
      </c>
      <c r="AC122" s="524">
        <v>324</v>
      </c>
      <c r="AD122" s="524">
        <v>325</v>
      </c>
      <c r="AE122" s="524">
        <v>326</v>
      </c>
      <c r="AF122" s="524">
        <v>327</v>
      </c>
      <c r="AG122" s="524">
        <v>328</v>
      </c>
      <c r="AH122" s="524">
        <v>329</v>
      </c>
      <c r="AI122" s="524">
        <v>330</v>
      </c>
      <c r="AJ122" s="524">
        <v>331</v>
      </c>
      <c r="AK122" s="524">
        <v>332</v>
      </c>
      <c r="AL122" s="524">
        <v>333</v>
      </c>
      <c r="AM122" s="524">
        <v>334</v>
      </c>
      <c r="AN122" s="524">
        <v>335</v>
      </c>
      <c r="AO122" s="524">
        <v>336</v>
      </c>
      <c r="AP122" s="524">
        <v>337</v>
      </c>
      <c r="AQ122" s="524">
        <v>338</v>
      </c>
      <c r="AR122" s="524">
        <v>339</v>
      </c>
      <c r="AS122" s="524">
        <v>340</v>
      </c>
      <c r="AT122" s="524">
        <v>341</v>
      </c>
      <c r="AU122" s="524">
        <v>342</v>
      </c>
      <c r="AV122" s="524">
        <v>343</v>
      </c>
      <c r="AW122" s="524">
        <v>344</v>
      </c>
      <c r="AX122" s="524">
        <v>345</v>
      </c>
      <c r="AY122" s="524">
        <v>346</v>
      </c>
      <c r="AZ122" s="524">
        <v>347</v>
      </c>
      <c r="BA122" s="524">
        <v>348</v>
      </c>
      <c r="BB122" s="524">
        <v>349</v>
      </c>
      <c r="BC122" s="524">
        <v>350</v>
      </c>
      <c r="BD122" s="524">
        <v>351</v>
      </c>
      <c r="BE122" s="524">
        <v>352</v>
      </c>
      <c r="BF122" s="524">
        <v>353</v>
      </c>
      <c r="BG122" s="485" t="s">
        <v>160</v>
      </c>
      <c r="BH122" s="486" t="s">
        <v>161</v>
      </c>
      <c r="BI122" s="496"/>
    </row>
    <row r="123" spans="1:63" s="511" customFormat="1" ht="193.9" customHeight="1" thickTop="1" thickBot="1" x14ac:dyDescent="1.3">
      <c r="A123" s="1072" t="s">
        <v>500</v>
      </c>
      <c r="B123" s="1054" t="s">
        <v>501</v>
      </c>
      <c r="C123" s="1053" t="s">
        <v>127</v>
      </c>
      <c r="D123" s="1053"/>
      <c r="E123" s="525">
        <v>325</v>
      </c>
      <c r="F123" s="525">
        <v>325</v>
      </c>
      <c r="G123" s="525">
        <v>325</v>
      </c>
      <c r="H123" s="525">
        <v>325</v>
      </c>
      <c r="I123" s="525">
        <v>325</v>
      </c>
      <c r="J123" s="525">
        <v>325</v>
      </c>
      <c r="K123" s="525">
        <v>325</v>
      </c>
      <c r="L123" s="525">
        <v>325</v>
      </c>
      <c r="M123" s="525">
        <v>325</v>
      </c>
      <c r="N123" s="525">
        <v>325</v>
      </c>
      <c r="O123" s="525">
        <v>325</v>
      </c>
      <c r="P123" s="525">
        <v>325</v>
      </c>
      <c r="Q123" s="525">
        <v>325</v>
      </c>
      <c r="R123" s="525">
        <v>325</v>
      </c>
      <c r="S123" s="525">
        <v>325</v>
      </c>
      <c r="T123" s="525">
        <v>325</v>
      </c>
      <c r="U123" s="525">
        <v>325</v>
      </c>
      <c r="V123" s="525">
        <v>325</v>
      </c>
      <c r="W123" s="525">
        <v>325</v>
      </c>
      <c r="X123" s="525">
        <v>325</v>
      </c>
      <c r="Y123" s="525">
        <v>325</v>
      </c>
      <c r="Z123" s="525">
        <v>325</v>
      </c>
      <c r="AA123" s="525">
        <v>325</v>
      </c>
      <c r="AB123" s="525">
        <v>325</v>
      </c>
      <c r="AC123" s="525">
        <v>325</v>
      </c>
      <c r="AD123" s="525">
        <v>325</v>
      </c>
      <c r="AE123" s="525">
        <v>325</v>
      </c>
      <c r="AF123" s="525">
        <v>325</v>
      </c>
      <c r="AG123" s="525">
        <v>325</v>
      </c>
      <c r="AH123" s="525">
        <v>325</v>
      </c>
      <c r="AI123" s="525">
        <v>325</v>
      </c>
      <c r="AJ123" s="525">
        <v>325</v>
      </c>
      <c r="AK123" s="525">
        <v>325</v>
      </c>
      <c r="AL123" s="525">
        <v>325</v>
      </c>
      <c r="AM123" s="525">
        <v>325</v>
      </c>
      <c r="AN123" s="525">
        <v>325</v>
      </c>
      <c r="AO123" s="525">
        <v>325</v>
      </c>
      <c r="AP123" s="525">
        <v>325</v>
      </c>
      <c r="AQ123" s="525">
        <v>325</v>
      </c>
      <c r="AR123" s="525">
        <v>325</v>
      </c>
      <c r="AS123" s="525">
        <v>325</v>
      </c>
      <c r="AT123" s="525">
        <v>325</v>
      </c>
      <c r="AU123" s="525">
        <v>325</v>
      </c>
      <c r="AV123" s="525">
        <v>325</v>
      </c>
      <c r="AW123" s="525">
        <v>325</v>
      </c>
      <c r="AX123" s="525">
        <v>325</v>
      </c>
      <c r="AY123" s="525">
        <v>325</v>
      </c>
      <c r="AZ123" s="525">
        <v>325</v>
      </c>
      <c r="BA123" s="525">
        <v>325</v>
      </c>
      <c r="BB123" s="525">
        <v>325</v>
      </c>
      <c r="BC123" s="525">
        <v>325</v>
      </c>
      <c r="BD123" s="525">
        <v>325</v>
      </c>
      <c r="BE123" s="525">
        <v>325</v>
      </c>
      <c r="BF123" s="525">
        <v>325</v>
      </c>
      <c r="BG123" s="490">
        <f>SUM(E123:BF123)</f>
        <v>17550</v>
      </c>
      <c r="BH123" s="1077">
        <f>BG124</f>
        <v>17975.519999999986</v>
      </c>
      <c r="BI123" s="491">
        <f t="shared" ref="BI123:BI185" si="18">BG123/BF123</f>
        <v>54</v>
      </c>
    </row>
    <row r="124" spans="1:63" ht="193.9" customHeight="1" thickTop="1" thickBot="1" x14ac:dyDescent="1.3">
      <c r="A124" s="1072"/>
      <c r="B124" s="1054"/>
      <c r="C124" s="1052" t="s">
        <v>128</v>
      </c>
      <c r="D124" s="1052"/>
      <c r="E124" s="512">
        <v>332.88</v>
      </c>
      <c r="F124" s="512">
        <v>332.88</v>
      </c>
      <c r="G124" s="512">
        <v>332.88</v>
      </c>
      <c r="H124" s="512">
        <v>332.88</v>
      </c>
      <c r="I124" s="512">
        <v>332.88</v>
      </c>
      <c r="J124" s="512">
        <v>332.88</v>
      </c>
      <c r="K124" s="512">
        <v>332.88</v>
      </c>
      <c r="L124" s="512">
        <v>332.88</v>
      </c>
      <c r="M124" s="512">
        <v>332.88</v>
      </c>
      <c r="N124" s="512">
        <v>332.88</v>
      </c>
      <c r="O124" s="512">
        <v>332.88</v>
      </c>
      <c r="P124" s="512">
        <v>332.88</v>
      </c>
      <c r="Q124" s="512">
        <v>332.88</v>
      </c>
      <c r="R124" s="512">
        <v>332.88</v>
      </c>
      <c r="S124" s="512">
        <v>332.88</v>
      </c>
      <c r="T124" s="512">
        <v>332.88</v>
      </c>
      <c r="U124" s="512">
        <v>332.88</v>
      </c>
      <c r="V124" s="512">
        <v>332.88</v>
      </c>
      <c r="W124" s="512">
        <v>332.88</v>
      </c>
      <c r="X124" s="512">
        <v>332.88</v>
      </c>
      <c r="Y124" s="557">
        <v>332.88</v>
      </c>
      <c r="Z124" s="557">
        <v>332.88</v>
      </c>
      <c r="AA124" s="557">
        <v>332.88</v>
      </c>
      <c r="AB124" s="557">
        <v>332.88</v>
      </c>
      <c r="AC124" s="557">
        <v>332.88</v>
      </c>
      <c r="AD124" s="557">
        <v>332.88</v>
      </c>
      <c r="AE124" s="557">
        <v>332.88</v>
      </c>
      <c r="AF124" s="557">
        <v>332.88</v>
      </c>
      <c r="AG124" s="557">
        <v>332.88</v>
      </c>
      <c r="AH124" s="565">
        <v>332.88</v>
      </c>
      <c r="AI124" s="557">
        <v>332.88</v>
      </c>
      <c r="AJ124" s="557">
        <v>332.88</v>
      </c>
      <c r="AK124" s="557">
        <v>332.88</v>
      </c>
      <c r="AL124" s="557">
        <v>332.88</v>
      </c>
      <c r="AM124" s="557">
        <v>332.88</v>
      </c>
      <c r="AN124" s="557">
        <v>332.88</v>
      </c>
      <c r="AO124" s="557">
        <v>332.88</v>
      </c>
      <c r="AP124" s="557">
        <v>332.88</v>
      </c>
      <c r="AQ124" s="557">
        <v>332.88</v>
      </c>
      <c r="AR124" s="557">
        <v>332.88</v>
      </c>
      <c r="AS124" s="557">
        <v>332.88</v>
      </c>
      <c r="AT124" s="557">
        <v>332.88</v>
      </c>
      <c r="AU124" s="557">
        <v>332.88</v>
      </c>
      <c r="AV124" s="557">
        <v>332.88</v>
      </c>
      <c r="AW124" s="557">
        <v>332.88</v>
      </c>
      <c r="AX124" s="557">
        <v>332.88</v>
      </c>
      <c r="AY124" s="557">
        <v>332.88</v>
      </c>
      <c r="AZ124" s="557">
        <v>332.88</v>
      </c>
      <c r="BA124" s="557">
        <v>332.88</v>
      </c>
      <c r="BB124" s="557">
        <v>332.88</v>
      </c>
      <c r="BC124" s="557">
        <v>332.88</v>
      </c>
      <c r="BD124" s="557">
        <v>332.88</v>
      </c>
      <c r="BE124" s="557">
        <v>332.88</v>
      </c>
      <c r="BF124" s="557">
        <v>332.88</v>
      </c>
      <c r="BG124" s="495">
        <f>SUM(E124:BF124)</f>
        <v>17975.519999999986</v>
      </c>
      <c r="BH124" s="1077"/>
      <c r="BI124" s="496">
        <f t="shared" si="18"/>
        <v>53.999999999999957</v>
      </c>
      <c r="BJ124" s="513">
        <f>BH123/BE124</f>
        <v>53.999999999999957</v>
      </c>
    </row>
    <row r="125" spans="1:63" s="511" customFormat="1" ht="228.75" thickTop="1" thickBot="1" x14ac:dyDescent="1.3">
      <c r="A125" s="526" t="s">
        <v>491</v>
      </c>
      <c r="B125" s="499" t="s">
        <v>498</v>
      </c>
      <c r="C125" s="1053" t="s">
        <v>127</v>
      </c>
      <c r="D125" s="1053"/>
      <c r="E125" s="508">
        <v>1460</v>
      </c>
      <c r="F125" s="508">
        <v>1460</v>
      </c>
      <c r="G125" s="508">
        <v>1460</v>
      </c>
      <c r="H125" s="508">
        <v>1460</v>
      </c>
      <c r="I125" s="508">
        <v>1460</v>
      </c>
      <c r="J125" s="508">
        <v>1460</v>
      </c>
      <c r="K125" s="508">
        <v>1460</v>
      </c>
      <c r="L125" s="508">
        <v>1460</v>
      </c>
      <c r="M125" s="508">
        <v>1460</v>
      </c>
      <c r="N125" s="508">
        <v>1460</v>
      </c>
      <c r="O125" s="508">
        <v>1460</v>
      </c>
      <c r="P125" s="508">
        <v>1460</v>
      </c>
      <c r="Q125" s="508">
        <v>1460</v>
      </c>
      <c r="R125" s="508">
        <v>1460</v>
      </c>
      <c r="S125" s="508">
        <v>1460</v>
      </c>
      <c r="T125" s="508">
        <v>1460</v>
      </c>
      <c r="U125" s="508">
        <v>1460</v>
      </c>
      <c r="V125" s="508">
        <v>1460</v>
      </c>
      <c r="W125" s="508">
        <v>1460</v>
      </c>
      <c r="X125" s="508">
        <v>1460</v>
      </c>
      <c r="Y125" s="508">
        <v>1460</v>
      </c>
      <c r="Z125" s="508">
        <v>1460</v>
      </c>
      <c r="AA125" s="508">
        <v>1460</v>
      </c>
      <c r="AB125" s="508">
        <v>1460</v>
      </c>
      <c r="AC125" s="508">
        <v>1460</v>
      </c>
      <c r="AD125" s="508">
        <v>1460</v>
      </c>
      <c r="AE125" s="508">
        <v>1460</v>
      </c>
      <c r="AF125" s="508">
        <v>1460</v>
      </c>
      <c r="AG125" s="508">
        <v>1460</v>
      </c>
      <c r="AH125" s="508">
        <v>1460</v>
      </c>
      <c r="AI125" s="508">
        <v>1460</v>
      </c>
      <c r="AJ125" s="508">
        <v>1460</v>
      </c>
      <c r="AK125" s="508">
        <v>1460</v>
      </c>
      <c r="AL125" s="508">
        <v>1460</v>
      </c>
      <c r="AM125" s="508">
        <v>1460</v>
      </c>
      <c r="AN125" s="508">
        <v>1460</v>
      </c>
      <c r="AO125" s="508">
        <v>1460</v>
      </c>
      <c r="AP125" s="508">
        <v>1460</v>
      </c>
      <c r="AQ125" s="508">
        <v>1460</v>
      </c>
      <c r="AR125" s="508">
        <v>1460</v>
      </c>
      <c r="AS125" s="508">
        <v>1460</v>
      </c>
      <c r="AT125" s="508">
        <v>1460</v>
      </c>
      <c r="AU125" s="508">
        <v>1460</v>
      </c>
      <c r="AV125" s="508">
        <v>1460</v>
      </c>
      <c r="AW125" s="508">
        <v>1460</v>
      </c>
      <c r="AX125" s="508">
        <v>1460</v>
      </c>
      <c r="AY125" s="508">
        <v>1460</v>
      </c>
      <c r="AZ125" s="508">
        <v>1460</v>
      </c>
      <c r="BA125" s="508">
        <v>1460</v>
      </c>
      <c r="BB125" s="508">
        <v>1460</v>
      </c>
      <c r="BC125" s="508">
        <v>1460</v>
      </c>
      <c r="BD125" s="508">
        <v>1460</v>
      </c>
      <c r="BE125" s="508">
        <v>1460</v>
      </c>
      <c r="BF125" s="508">
        <v>1460</v>
      </c>
      <c r="BG125" s="490">
        <f>SUM(E125:BF125)</f>
        <v>78840</v>
      </c>
      <c r="BH125" s="1077">
        <f>SUM(BG126:BG131)</f>
        <v>79812</v>
      </c>
      <c r="BI125" s="491">
        <f t="shared" si="18"/>
        <v>54</v>
      </c>
    </row>
    <row r="126" spans="1:63" ht="199.9" customHeight="1" thickTop="1" thickBot="1" x14ac:dyDescent="1.3">
      <c r="A126" s="1072" t="s">
        <v>489</v>
      </c>
      <c r="B126" s="502" t="s">
        <v>483</v>
      </c>
      <c r="C126" s="1052" t="s">
        <v>128</v>
      </c>
      <c r="D126" s="1052"/>
      <c r="E126" s="512">
        <v>246</v>
      </c>
      <c r="F126" s="631">
        <v>246</v>
      </c>
      <c r="G126" s="631">
        <v>246</v>
      </c>
      <c r="H126" s="631">
        <v>246</v>
      </c>
      <c r="I126" s="631">
        <v>246</v>
      </c>
      <c r="J126" s="631">
        <v>246</v>
      </c>
      <c r="K126" s="631">
        <v>246</v>
      </c>
      <c r="L126" s="631">
        <v>246</v>
      </c>
      <c r="M126" s="631">
        <v>246</v>
      </c>
      <c r="N126" s="631">
        <v>246</v>
      </c>
      <c r="O126" s="631">
        <v>246</v>
      </c>
      <c r="P126" s="631">
        <v>246</v>
      </c>
      <c r="Q126" s="631">
        <v>246</v>
      </c>
      <c r="R126" s="631">
        <v>246</v>
      </c>
      <c r="S126" s="631">
        <v>246</v>
      </c>
      <c r="T126" s="631">
        <v>246</v>
      </c>
      <c r="U126" s="631">
        <v>246</v>
      </c>
      <c r="V126" s="631">
        <v>246</v>
      </c>
      <c r="W126" s="631">
        <v>246</v>
      </c>
      <c r="X126" s="631">
        <v>246</v>
      </c>
      <c r="Y126" s="631">
        <v>246</v>
      </c>
      <c r="Z126" s="631">
        <v>246</v>
      </c>
      <c r="AA126" s="631">
        <v>246</v>
      </c>
      <c r="AB126" s="631">
        <v>246</v>
      </c>
      <c r="AC126" s="631">
        <v>246</v>
      </c>
      <c r="AD126" s="631">
        <v>246</v>
      </c>
      <c r="AE126" s="631">
        <v>246</v>
      </c>
      <c r="AF126" s="631">
        <v>246</v>
      </c>
      <c r="AG126" s="631">
        <v>246</v>
      </c>
      <c r="AH126" s="631">
        <v>246</v>
      </c>
      <c r="AI126" s="631">
        <v>246</v>
      </c>
      <c r="AJ126" s="631">
        <v>246</v>
      </c>
      <c r="AK126" s="631">
        <v>246</v>
      </c>
      <c r="AL126" s="631">
        <v>246</v>
      </c>
      <c r="AM126" s="631">
        <v>246</v>
      </c>
      <c r="AN126" s="631">
        <v>246</v>
      </c>
      <c r="AO126" s="631">
        <v>246</v>
      </c>
      <c r="AP126" s="631">
        <v>246</v>
      </c>
      <c r="AQ126" s="631">
        <v>246</v>
      </c>
      <c r="AR126" s="631">
        <v>246</v>
      </c>
      <c r="AS126" s="631">
        <v>246</v>
      </c>
      <c r="AT126" s="631">
        <v>246</v>
      </c>
      <c r="AU126" s="631">
        <v>246</v>
      </c>
      <c r="AV126" s="631">
        <v>246</v>
      </c>
      <c r="AW126" s="631">
        <v>246</v>
      </c>
      <c r="AX126" s="631">
        <v>246</v>
      </c>
      <c r="AY126" s="631">
        <v>246</v>
      </c>
      <c r="AZ126" s="631">
        <v>246</v>
      </c>
      <c r="BA126" s="631">
        <v>246</v>
      </c>
      <c r="BB126" s="631">
        <v>246</v>
      </c>
      <c r="BC126" s="631">
        <v>246</v>
      </c>
      <c r="BD126" s="631">
        <v>246</v>
      </c>
      <c r="BE126" s="631">
        <v>246</v>
      </c>
      <c r="BF126" s="631">
        <v>246</v>
      </c>
      <c r="BG126" s="495">
        <f t="shared" ref="BG126:BG145" si="19">SUM(E126:BF126)</f>
        <v>13284</v>
      </c>
      <c r="BH126" s="1077"/>
      <c r="BI126" s="496">
        <f t="shared" si="18"/>
        <v>54</v>
      </c>
    </row>
    <row r="127" spans="1:63" ht="199.9" customHeight="1" thickTop="1" thickBot="1" x14ac:dyDescent="1.3">
      <c r="A127" s="1072"/>
      <c r="B127" s="502" t="s">
        <v>484</v>
      </c>
      <c r="C127" s="1052" t="s">
        <v>128</v>
      </c>
      <c r="D127" s="1052"/>
      <c r="E127" s="512">
        <v>246</v>
      </c>
      <c r="F127" s="631">
        <v>246</v>
      </c>
      <c r="G127" s="631">
        <v>246</v>
      </c>
      <c r="H127" s="631">
        <v>246</v>
      </c>
      <c r="I127" s="631">
        <v>246</v>
      </c>
      <c r="J127" s="631">
        <v>246</v>
      </c>
      <c r="K127" s="631">
        <v>246</v>
      </c>
      <c r="L127" s="631">
        <v>246</v>
      </c>
      <c r="M127" s="631">
        <v>246</v>
      </c>
      <c r="N127" s="631">
        <v>246</v>
      </c>
      <c r="O127" s="631">
        <v>246</v>
      </c>
      <c r="P127" s="631">
        <v>246</v>
      </c>
      <c r="Q127" s="631">
        <v>246</v>
      </c>
      <c r="R127" s="631">
        <v>246</v>
      </c>
      <c r="S127" s="631">
        <v>246</v>
      </c>
      <c r="T127" s="631">
        <v>246</v>
      </c>
      <c r="U127" s="631">
        <v>246</v>
      </c>
      <c r="V127" s="631">
        <v>246</v>
      </c>
      <c r="W127" s="631">
        <v>246</v>
      </c>
      <c r="X127" s="631">
        <v>246</v>
      </c>
      <c r="Y127" s="631">
        <v>246</v>
      </c>
      <c r="Z127" s="631">
        <v>246</v>
      </c>
      <c r="AA127" s="631">
        <v>246</v>
      </c>
      <c r="AB127" s="631">
        <v>246</v>
      </c>
      <c r="AC127" s="631">
        <v>246</v>
      </c>
      <c r="AD127" s="631">
        <v>246</v>
      </c>
      <c r="AE127" s="631">
        <v>246</v>
      </c>
      <c r="AF127" s="631">
        <v>246</v>
      </c>
      <c r="AG127" s="631">
        <v>246</v>
      </c>
      <c r="AH127" s="631">
        <v>246</v>
      </c>
      <c r="AI127" s="631">
        <v>246</v>
      </c>
      <c r="AJ127" s="631">
        <v>246</v>
      </c>
      <c r="AK127" s="631">
        <v>246</v>
      </c>
      <c r="AL127" s="631">
        <v>246</v>
      </c>
      <c r="AM127" s="631">
        <v>246</v>
      </c>
      <c r="AN127" s="631">
        <v>246</v>
      </c>
      <c r="AO127" s="631">
        <v>246</v>
      </c>
      <c r="AP127" s="631">
        <v>246</v>
      </c>
      <c r="AQ127" s="631">
        <v>246</v>
      </c>
      <c r="AR127" s="631">
        <v>246</v>
      </c>
      <c r="AS127" s="631">
        <v>246</v>
      </c>
      <c r="AT127" s="631">
        <v>246</v>
      </c>
      <c r="AU127" s="631">
        <v>246</v>
      </c>
      <c r="AV127" s="631">
        <v>246</v>
      </c>
      <c r="AW127" s="631">
        <v>246</v>
      </c>
      <c r="AX127" s="631">
        <v>246</v>
      </c>
      <c r="AY127" s="631">
        <v>246</v>
      </c>
      <c r="AZ127" s="631">
        <v>246</v>
      </c>
      <c r="BA127" s="631">
        <v>246</v>
      </c>
      <c r="BB127" s="631">
        <v>246</v>
      </c>
      <c r="BC127" s="631">
        <v>246</v>
      </c>
      <c r="BD127" s="631">
        <v>246</v>
      </c>
      <c r="BE127" s="631">
        <v>246</v>
      </c>
      <c r="BF127" s="631">
        <v>246</v>
      </c>
      <c r="BG127" s="495">
        <f t="shared" si="19"/>
        <v>13284</v>
      </c>
      <c r="BH127" s="1077"/>
      <c r="BI127" s="496">
        <f t="shared" si="18"/>
        <v>54</v>
      </c>
    </row>
    <row r="128" spans="1:63" ht="199.9" customHeight="1" thickTop="1" thickBot="1" x14ac:dyDescent="1.3">
      <c r="A128" s="1072"/>
      <c r="B128" s="502" t="s">
        <v>485</v>
      </c>
      <c r="C128" s="1052" t="s">
        <v>128</v>
      </c>
      <c r="D128" s="1052"/>
      <c r="E128" s="512">
        <v>246</v>
      </c>
      <c r="F128" s="631">
        <v>246</v>
      </c>
      <c r="G128" s="631">
        <v>246</v>
      </c>
      <c r="H128" s="631">
        <v>246</v>
      </c>
      <c r="I128" s="631">
        <v>246</v>
      </c>
      <c r="J128" s="631">
        <v>246</v>
      </c>
      <c r="K128" s="631">
        <v>246</v>
      </c>
      <c r="L128" s="631">
        <v>246</v>
      </c>
      <c r="M128" s="631">
        <v>246</v>
      </c>
      <c r="N128" s="631">
        <v>246</v>
      </c>
      <c r="O128" s="631">
        <v>246</v>
      </c>
      <c r="P128" s="631">
        <v>246</v>
      </c>
      <c r="Q128" s="631">
        <v>246</v>
      </c>
      <c r="R128" s="631">
        <v>246</v>
      </c>
      <c r="S128" s="631">
        <v>246</v>
      </c>
      <c r="T128" s="631">
        <v>246</v>
      </c>
      <c r="U128" s="631">
        <v>246</v>
      </c>
      <c r="V128" s="631">
        <v>246</v>
      </c>
      <c r="W128" s="631">
        <v>246</v>
      </c>
      <c r="X128" s="631">
        <v>246</v>
      </c>
      <c r="Y128" s="631">
        <v>246</v>
      </c>
      <c r="Z128" s="631">
        <v>246</v>
      </c>
      <c r="AA128" s="631">
        <v>246</v>
      </c>
      <c r="AB128" s="631">
        <v>246</v>
      </c>
      <c r="AC128" s="631">
        <v>246</v>
      </c>
      <c r="AD128" s="631">
        <v>246</v>
      </c>
      <c r="AE128" s="631">
        <v>246</v>
      </c>
      <c r="AF128" s="631">
        <v>246</v>
      </c>
      <c r="AG128" s="631">
        <v>246</v>
      </c>
      <c r="AH128" s="631">
        <v>246</v>
      </c>
      <c r="AI128" s="631">
        <v>246</v>
      </c>
      <c r="AJ128" s="631">
        <v>246</v>
      </c>
      <c r="AK128" s="631">
        <v>246</v>
      </c>
      <c r="AL128" s="631">
        <v>246</v>
      </c>
      <c r="AM128" s="631">
        <v>246</v>
      </c>
      <c r="AN128" s="631">
        <v>246</v>
      </c>
      <c r="AO128" s="631">
        <v>246</v>
      </c>
      <c r="AP128" s="631">
        <v>246</v>
      </c>
      <c r="AQ128" s="631">
        <v>246</v>
      </c>
      <c r="AR128" s="631">
        <v>246</v>
      </c>
      <c r="AS128" s="631">
        <v>246</v>
      </c>
      <c r="AT128" s="631">
        <v>246</v>
      </c>
      <c r="AU128" s="631">
        <v>246</v>
      </c>
      <c r="AV128" s="631">
        <v>246</v>
      </c>
      <c r="AW128" s="631">
        <v>246</v>
      </c>
      <c r="AX128" s="631">
        <v>246</v>
      </c>
      <c r="AY128" s="631">
        <v>246</v>
      </c>
      <c r="AZ128" s="631">
        <v>246</v>
      </c>
      <c r="BA128" s="631">
        <v>246</v>
      </c>
      <c r="BB128" s="631">
        <v>246</v>
      </c>
      <c r="BC128" s="631">
        <v>246</v>
      </c>
      <c r="BD128" s="631">
        <v>246</v>
      </c>
      <c r="BE128" s="631">
        <v>246</v>
      </c>
      <c r="BF128" s="631">
        <v>246</v>
      </c>
      <c r="BG128" s="495">
        <f t="shared" si="19"/>
        <v>13284</v>
      </c>
      <c r="BH128" s="1077"/>
      <c r="BI128" s="496">
        <f t="shared" si="18"/>
        <v>54</v>
      </c>
      <c r="BJ128" s="513">
        <f>BH125/SUM(BE126:BE131)</f>
        <v>54</v>
      </c>
    </row>
    <row r="129" spans="1:62" ht="199.9" customHeight="1" thickTop="1" thickBot="1" x14ac:dyDescent="1.3">
      <c r="A129" s="1072"/>
      <c r="B129" s="502" t="s">
        <v>486</v>
      </c>
      <c r="C129" s="1052" t="s">
        <v>128</v>
      </c>
      <c r="D129" s="1052"/>
      <c r="E129" s="512">
        <v>246</v>
      </c>
      <c r="F129" s="631">
        <v>246</v>
      </c>
      <c r="G129" s="631">
        <v>246</v>
      </c>
      <c r="H129" s="631">
        <v>246</v>
      </c>
      <c r="I129" s="631">
        <v>246</v>
      </c>
      <c r="J129" s="631">
        <v>246</v>
      </c>
      <c r="K129" s="631">
        <v>246</v>
      </c>
      <c r="L129" s="631">
        <v>246</v>
      </c>
      <c r="M129" s="631">
        <v>246</v>
      </c>
      <c r="N129" s="631">
        <v>246</v>
      </c>
      <c r="O129" s="631">
        <v>246</v>
      </c>
      <c r="P129" s="631">
        <v>246</v>
      </c>
      <c r="Q129" s="631">
        <v>246</v>
      </c>
      <c r="R129" s="631">
        <v>246</v>
      </c>
      <c r="S129" s="631">
        <v>246</v>
      </c>
      <c r="T129" s="631">
        <v>246</v>
      </c>
      <c r="U129" s="631">
        <v>246</v>
      </c>
      <c r="V129" s="631">
        <v>246</v>
      </c>
      <c r="W129" s="631">
        <v>246</v>
      </c>
      <c r="X129" s="631">
        <v>246</v>
      </c>
      <c r="Y129" s="631">
        <v>246</v>
      </c>
      <c r="Z129" s="631">
        <v>246</v>
      </c>
      <c r="AA129" s="631">
        <v>246</v>
      </c>
      <c r="AB129" s="631">
        <v>246</v>
      </c>
      <c r="AC129" s="631">
        <v>246</v>
      </c>
      <c r="AD129" s="631">
        <v>246</v>
      </c>
      <c r="AE129" s="631">
        <v>246</v>
      </c>
      <c r="AF129" s="631">
        <v>246</v>
      </c>
      <c r="AG129" s="631">
        <v>246</v>
      </c>
      <c r="AH129" s="631">
        <v>246</v>
      </c>
      <c r="AI129" s="631">
        <v>246</v>
      </c>
      <c r="AJ129" s="631">
        <v>246</v>
      </c>
      <c r="AK129" s="631">
        <v>246</v>
      </c>
      <c r="AL129" s="631">
        <v>246</v>
      </c>
      <c r="AM129" s="631">
        <v>246</v>
      </c>
      <c r="AN129" s="631">
        <v>246</v>
      </c>
      <c r="AO129" s="631">
        <v>246</v>
      </c>
      <c r="AP129" s="631">
        <v>246</v>
      </c>
      <c r="AQ129" s="631">
        <v>246</v>
      </c>
      <c r="AR129" s="631">
        <v>246</v>
      </c>
      <c r="AS129" s="631">
        <v>246</v>
      </c>
      <c r="AT129" s="631">
        <v>246</v>
      </c>
      <c r="AU129" s="631">
        <v>246</v>
      </c>
      <c r="AV129" s="631">
        <v>246</v>
      </c>
      <c r="AW129" s="631">
        <v>246</v>
      </c>
      <c r="AX129" s="631">
        <v>246</v>
      </c>
      <c r="AY129" s="631">
        <v>246</v>
      </c>
      <c r="AZ129" s="631">
        <v>246</v>
      </c>
      <c r="BA129" s="631">
        <v>246</v>
      </c>
      <c r="BB129" s="631">
        <v>246</v>
      </c>
      <c r="BC129" s="631">
        <v>246</v>
      </c>
      <c r="BD129" s="631">
        <v>246</v>
      </c>
      <c r="BE129" s="631">
        <v>246</v>
      </c>
      <c r="BF129" s="631">
        <v>246</v>
      </c>
      <c r="BG129" s="495">
        <f t="shared" si="19"/>
        <v>13284</v>
      </c>
      <c r="BH129" s="1077"/>
      <c r="BI129" s="496">
        <f t="shared" si="18"/>
        <v>54</v>
      </c>
    </row>
    <row r="130" spans="1:62" ht="199.9" customHeight="1" thickTop="1" thickBot="1" x14ac:dyDescent="1.3">
      <c r="A130" s="1072"/>
      <c r="B130" s="502" t="s">
        <v>487</v>
      </c>
      <c r="C130" s="1052" t="s">
        <v>128</v>
      </c>
      <c r="D130" s="1052"/>
      <c r="E130" s="512">
        <v>246</v>
      </c>
      <c r="F130" s="631">
        <v>246</v>
      </c>
      <c r="G130" s="631">
        <v>246</v>
      </c>
      <c r="H130" s="631">
        <v>246</v>
      </c>
      <c r="I130" s="631">
        <v>246</v>
      </c>
      <c r="J130" s="631">
        <v>246</v>
      </c>
      <c r="K130" s="631">
        <v>246</v>
      </c>
      <c r="L130" s="631">
        <v>246</v>
      </c>
      <c r="M130" s="631">
        <v>246</v>
      </c>
      <c r="N130" s="631">
        <v>246</v>
      </c>
      <c r="O130" s="631">
        <v>246</v>
      </c>
      <c r="P130" s="631">
        <v>246</v>
      </c>
      <c r="Q130" s="631">
        <v>246</v>
      </c>
      <c r="R130" s="631">
        <v>246</v>
      </c>
      <c r="S130" s="631">
        <v>246</v>
      </c>
      <c r="T130" s="631">
        <v>246</v>
      </c>
      <c r="U130" s="631">
        <v>246</v>
      </c>
      <c r="V130" s="631">
        <v>246</v>
      </c>
      <c r="W130" s="631">
        <v>246</v>
      </c>
      <c r="X130" s="631">
        <v>246</v>
      </c>
      <c r="Y130" s="631">
        <v>246</v>
      </c>
      <c r="Z130" s="631">
        <v>246</v>
      </c>
      <c r="AA130" s="631">
        <v>246</v>
      </c>
      <c r="AB130" s="631">
        <v>246</v>
      </c>
      <c r="AC130" s="631">
        <v>246</v>
      </c>
      <c r="AD130" s="631">
        <v>246</v>
      </c>
      <c r="AE130" s="631">
        <v>246</v>
      </c>
      <c r="AF130" s="631">
        <v>246</v>
      </c>
      <c r="AG130" s="631">
        <v>246</v>
      </c>
      <c r="AH130" s="631">
        <v>246</v>
      </c>
      <c r="AI130" s="631">
        <v>246</v>
      </c>
      <c r="AJ130" s="631">
        <v>246</v>
      </c>
      <c r="AK130" s="631">
        <v>246</v>
      </c>
      <c r="AL130" s="631">
        <v>246</v>
      </c>
      <c r="AM130" s="631">
        <v>246</v>
      </c>
      <c r="AN130" s="631">
        <v>246</v>
      </c>
      <c r="AO130" s="631">
        <v>246</v>
      </c>
      <c r="AP130" s="631">
        <v>246</v>
      </c>
      <c r="AQ130" s="631">
        <v>246</v>
      </c>
      <c r="AR130" s="631">
        <v>246</v>
      </c>
      <c r="AS130" s="631">
        <v>246</v>
      </c>
      <c r="AT130" s="631">
        <v>246</v>
      </c>
      <c r="AU130" s="631">
        <v>246</v>
      </c>
      <c r="AV130" s="631">
        <v>246</v>
      </c>
      <c r="AW130" s="631">
        <v>246</v>
      </c>
      <c r="AX130" s="631">
        <v>246</v>
      </c>
      <c r="AY130" s="631">
        <v>246</v>
      </c>
      <c r="AZ130" s="631">
        <v>246</v>
      </c>
      <c r="BA130" s="631">
        <v>246</v>
      </c>
      <c r="BB130" s="631">
        <v>246</v>
      </c>
      <c r="BC130" s="631">
        <v>246</v>
      </c>
      <c r="BD130" s="631">
        <v>246</v>
      </c>
      <c r="BE130" s="631">
        <v>246</v>
      </c>
      <c r="BF130" s="631">
        <v>246</v>
      </c>
      <c r="BG130" s="495">
        <f t="shared" si="19"/>
        <v>13284</v>
      </c>
      <c r="BH130" s="1077"/>
      <c r="BI130" s="496">
        <f t="shared" si="18"/>
        <v>54</v>
      </c>
    </row>
    <row r="131" spans="1:62" ht="199.9" customHeight="1" thickTop="1" thickBot="1" x14ac:dyDescent="1.3">
      <c r="A131" s="1072"/>
      <c r="B131" s="502" t="s">
        <v>488</v>
      </c>
      <c r="C131" s="1052" t="s">
        <v>128</v>
      </c>
      <c r="D131" s="1052"/>
      <c r="E131" s="512">
        <v>248</v>
      </c>
      <c r="F131" s="631">
        <v>248</v>
      </c>
      <c r="G131" s="631">
        <v>248</v>
      </c>
      <c r="H131" s="631">
        <v>248</v>
      </c>
      <c r="I131" s="631">
        <v>248</v>
      </c>
      <c r="J131" s="631">
        <v>248</v>
      </c>
      <c r="K131" s="631">
        <v>248</v>
      </c>
      <c r="L131" s="631">
        <v>248</v>
      </c>
      <c r="M131" s="631">
        <v>248</v>
      </c>
      <c r="N131" s="631">
        <v>248</v>
      </c>
      <c r="O131" s="631">
        <v>248</v>
      </c>
      <c r="P131" s="631">
        <v>248</v>
      </c>
      <c r="Q131" s="631">
        <v>248</v>
      </c>
      <c r="R131" s="631">
        <v>248</v>
      </c>
      <c r="S131" s="631">
        <v>248</v>
      </c>
      <c r="T131" s="631">
        <v>248</v>
      </c>
      <c r="U131" s="631">
        <v>248</v>
      </c>
      <c r="V131" s="631">
        <v>248</v>
      </c>
      <c r="W131" s="631">
        <v>248</v>
      </c>
      <c r="X131" s="631">
        <v>248</v>
      </c>
      <c r="Y131" s="631">
        <v>248</v>
      </c>
      <c r="Z131" s="631">
        <v>248</v>
      </c>
      <c r="AA131" s="631">
        <v>248</v>
      </c>
      <c r="AB131" s="631">
        <v>248</v>
      </c>
      <c r="AC131" s="631">
        <v>248</v>
      </c>
      <c r="AD131" s="631">
        <v>248</v>
      </c>
      <c r="AE131" s="631">
        <v>248</v>
      </c>
      <c r="AF131" s="631">
        <v>248</v>
      </c>
      <c r="AG131" s="631">
        <v>248</v>
      </c>
      <c r="AH131" s="631">
        <v>248</v>
      </c>
      <c r="AI131" s="631">
        <v>248</v>
      </c>
      <c r="AJ131" s="631">
        <v>248</v>
      </c>
      <c r="AK131" s="631">
        <v>248</v>
      </c>
      <c r="AL131" s="631">
        <v>248</v>
      </c>
      <c r="AM131" s="631">
        <v>248</v>
      </c>
      <c r="AN131" s="631">
        <v>248</v>
      </c>
      <c r="AO131" s="631">
        <v>248</v>
      </c>
      <c r="AP131" s="631">
        <v>248</v>
      </c>
      <c r="AQ131" s="631">
        <v>248</v>
      </c>
      <c r="AR131" s="631">
        <v>248</v>
      </c>
      <c r="AS131" s="631">
        <v>248</v>
      </c>
      <c r="AT131" s="631">
        <v>248</v>
      </c>
      <c r="AU131" s="631">
        <v>248</v>
      </c>
      <c r="AV131" s="631">
        <v>248</v>
      </c>
      <c r="AW131" s="631">
        <v>248</v>
      </c>
      <c r="AX131" s="631">
        <v>248</v>
      </c>
      <c r="AY131" s="631">
        <v>248</v>
      </c>
      <c r="AZ131" s="631">
        <v>248</v>
      </c>
      <c r="BA131" s="631">
        <v>248</v>
      </c>
      <c r="BB131" s="631">
        <v>248</v>
      </c>
      <c r="BC131" s="631">
        <v>248</v>
      </c>
      <c r="BD131" s="631">
        <v>248</v>
      </c>
      <c r="BE131" s="631">
        <v>248</v>
      </c>
      <c r="BF131" s="631">
        <v>248</v>
      </c>
      <c r="BG131" s="495">
        <f t="shared" si="19"/>
        <v>13392</v>
      </c>
      <c r="BH131" s="1077"/>
      <c r="BI131" s="496">
        <f t="shared" si="18"/>
        <v>54</v>
      </c>
      <c r="BJ131" s="527">
        <f>SUM(BI126:BI131)</f>
        <v>324</v>
      </c>
    </row>
    <row r="132" spans="1:62" s="511" customFormat="1" ht="169.15" customHeight="1" thickTop="1" thickBot="1" x14ac:dyDescent="1.3">
      <c r="A132" s="526" t="s">
        <v>492</v>
      </c>
      <c r="B132" s="499" t="s">
        <v>497</v>
      </c>
      <c r="C132" s="1053" t="s">
        <v>127</v>
      </c>
      <c r="D132" s="1053"/>
      <c r="E132" s="508">
        <v>235</v>
      </c>
      <c r="F132" s="508">
        <v>235</v>
      </c>
      <c r="G132" s="508">
        <v>235</v>
      </c>
      <c r="H132" s="508">
        <v>235</v>
      </c>
      <c r="I132" s="508">
        <v>235</v>
      </c>
      <c r="J132" s="508">
        <v>235</v>
      </c>
      <c r="K132" s="508">
        <v>235</v>
      </c>
      <c r="L132" s="508">
        <v>235</v>
      </c>
      <c r="M132" s="508">
        <v>235</v>
      </c>
      <c r="N132" s="508">
        <v>235</v>
      </c>
      <c r="O132" s="508">
        <v>235</v>
      </c>
      <c r="P132" s="508">
        <v>235</v>
      </c>
      <c r="Q132" s="508">
        <v>235</v>
      </c>
      <c r="R132" s="508">
        <v>235</v>
      </c>
      <c r="S132" s="508">
        <v>235</v>
      </c>
      <c r="T132" s="508">
        <v>235</v>
      </c>
      <c r="U132" s="508">
        <v>235</v>
      </c>
      <c r="V132" s="508">
        <v>235</v>
      </c>
      <c r="W132" s="508">
        <v>235</v>
      </c>
      <c r="X132" s="508">
        <v>235</v>
      </c>
      <c r="Y132" s="508">
        <v>235</v>
      </c>
      <c r="Z132" s="508">
        <v>235</v>
      </c>
      <c r="AA132" s="508">
        <v>235</v>
      </c>
      <c r="AB132" s="508">
        <v>235</v>
      </c>
      <c r="AC132" s="508">
        <v>235</v>
      </c>
      <c r="AD132" s="508">
        <v>235</v>
      </c>
      <c r="AE132" s="508">
        <v>235</v>
      </c>
      <c r="AF132" s="508">
        <v>235</v>
      </c>
      <c r="AG132" s="508">
        <v>235</v>
      </c>
      <c r="AH132" s="508">
        <v>235</v>
      </c>
      <c r="AI132" s="508">
        <v>235</v>
      </c>
      <c r="AJ132" s="508">
        <v>235</v>
      </c>
      <c r="AK132" s="508">
        <v>235</v>
      </c>
      <c r="AL132" s="508">
        <v>235</v>
      </c>
      <c r="AM132" s="508">
        <v>235</v>
      </c>
      <c r="AN132" s="508">
        <v>235</v>
      </c>
      <c r="AO132" s="508">
        <v>235</v>
      </c>
      <c r="AP132" s="508">
        <v>235</v>
      </c>
      <c r="AQ132" s="508">
        <v>235</v>
      </c>
      <c r="AR132" s="508">
        <v>235</v>
      </c>
      <c r="AS132" s="508">
        <v>235</v>
      </c>
      <c r="AT132" s="508">
        <v>235</v>
      </c>
      <c r="AU132" s="508">
        <v>235</v>
      </c>
      <c r="AV132" s="508">
        <v>235</v>
      </c>
      <c r="AW132" s="508">
        <v>235</v>
      </c>
      <c r="AX132" s="508">
        <v>235</v>
      </c>
      <c r="AY132" s="508">
        <v>235</v>
      </c>
      <c r="AZ132" s="508">
        <v>235</v>
      </c>
      <c r="BA132" s="508">
        <v>235</v>
      </c>
      <c r="BB132" s="508">
        <v>235</v>
      </c>
      <c r="BC132" s="508">
        <v>235</v>
      </c>
      <c r="BD132" s="508">
        <v>235</v>
      </c>
      <c r="BE132" s="508">
        <v>235</v>
      </c>
      <c r="BF132" s="508">
        <v>235</v>
      </c>
      <c r="BG132" s="490">
        <f t="shared" si="19"/>
        <v>12690</v>
      </c>
      <c r="BH132" s="1077">
        <f>SUM(BG133:BG138)</f>
        <v>12582</v>
      </c>
      <c r="BI132" s="491">
        <f t="shared" si="18"/>
        <v>54</v>
      </c>
    </row>
    <row r="133" spans="1:62" ht="199.9" customHeight="1" thickTop="1" thickBot="1" x14ac:dyDescent="1.3">
      <c r="A133" s="1072" t="s">
        <v>509</v>
      </c>
      <c r="B133" s="502" t="s">
        <v>483</v>
      </c>
      <c r="C133" s="1052" t="s">
        <v>128</v>
      </c>
      <c r="D133" s="1052"/>
      <c r="E133" s="631">
        <v>39</v>
      </c>
      <c r="F133" s="631">
        <v>39</v>
      </c>
      <c r="G133" s="631">
        <v>39</v>
      </c>
      <c r="H133" s="631">
        <v>39</v>
      </c>
      <c r="I133" s="631">
        <v>39</v>
      </c>
      <c r="J133" s="631">
        <v>39</v>
      </c>
      <c r="K133" s="631">
        <v>39</v>
      </c>
      <c r="L133" s="631">
        <v>39</v>
      </c>
      <c r="M133" s="631">
        <v>39</v>
      </c>
      <c r="N133" s="631">
        <v>39</v>
      </c>
      <c r="O133" s="631">
        <v>39</v>
      </c>
      <c r="P133" s="631">
        <v>39</v>
      </c>
      <c r="Q133" s="631">
        <v>39</v>
      </c>
      <c r="R133" s="631">
        <v>39</v>
      </c>
      <c r="S133" s="631">
        <v>39</v>
      </c>
      <c r="T133" s="631">
        <v>39</v>
      </c>
      <c r="U133" s="631">
        <v>39</v>
      </c>
      <c r="V133" s="631">
        <v>39</v>
      </c>
      <c r="W133" s="631">
        <v>39</v>
      </c>
      <c r="X133" s="631">
        <v>39</v>
      </c>
      <c r="Y133" s="631">
        <v>39</v>
      </c>
      <c r="Z133" s="631">
        <v>39</v>
      </c>
      <c r="AA133" s="631">
        <v>39</v>
      </c>
      <c r="AB133" s="631">
        <v>39</v>
      </c>
      <c r="AC133" s="631">
        <v>39</v>
      </c>
      <c r="AD133" s="631">
        <v>39</v>
      </c>
      <c r="AE133" s="631">
        <v>39</v>
      </c>
      <c r="AF133" s="631">
        <v>39</v>
      </c>
      <c r="AG133" s="631">
        <v>39</v>
      </c>
      <c r="AH133" s="631">
        <v>39</v>
      </c>
      <c r="AI133" s="512">
        <v>39</v>
      </c>
      <c r="AJ133" s="631">
        <v>39</v>
      </c>
      <c r="AK133" s="631">
        <v>39</v>
      </c>
      <c r="AL133" s="631">
        <v>39</v>
      </c>
      <c r="AM133" s="631">
        <v>39</v>
      </c>
      <c r="AN133" s="631">
        <v>39</v>
      </c>
      <c r="AO133" s="631">
        <v>39</v>
      </c>
      <c r="AP133" s="631">
        <v>39</v>
      </c>
      <c r="AQ133" s="631">
        <v>39</v>
      </c>
      <c r="AR133" s="631">
        <v>39</v>
      </c>
      <c r="AS133" s="631">
        <v>39</v>
      </c>
      <c r="AT133" s="631">
        <v>39</v>
      </c>
      <c r="AU133" s="631">
        <v>39</v>
      </c>
      <c r="AV133" s="631">
        <v>39</v>
      </c>
      <c r="AW133" s="631">
        <v>39</v>
      </c>
      <c r="AX133" s="631">
        <v>39</v>
      </c>
      <c r="AY133" s="631">
        <v>39</v>
      </c>
      <c r="AZ133" s="631">
        <v>39</v>
      </c>
      <c r="BA133" s="631">
        <v>39</v>
      </c>
      <c r="BB133" s="631">
        <v>39</v>
      </c>
      <c r="BC133" s="631">
        <v>39</v>
      </c>
      <c r="BD133" s="631">
        <v>39</v>
      </c>
      <c r="BE133" s="631">
        <v>39</v>
      </c>
      <c r="BF133" s="631">
        <v>39</v>
      </c>
      <c r="BG133" s="495">
        <f t="shared" si="19"/>
        <v>2106</v>
      </c>
      <c r="BH133" s="1077"/>
      <c r="BI133" s="496">
        <f t="shared" si="18"/>
        <v>54</v>
      </c>
    </row>
    <row r="134" spans="1:62" ht="199.9" customHeight="1" thickTop="1" thickBot="1" x14ac:dyDescent="1.3">
      <c r="A134" s="1072"/>
      <c r="B134" s="502" t="s">
        <v>484</v>
      </c>
      <c r="C134" s="1052" t="s">
        <v>128</v>
      </c>
      <c r="D134" s="1052"/>
      <c r="E134" s="631">
        <v>39</v>
      </c>
      <c r="F134" s="631">
        <v>39</v>
      </c>
      <c r="G134" s="631">
        <v>39</v>
      </c>
      <c r="H134" s="631">
        <v>39</v>
      </c>
      <c r="I134" s="631">
        <v>39</v>
      </c>
      <c r="J134" s="631">
        <v>39</v>
      </c>
      <c r="K134" s="631">
        <v>39</v>
      </c>
      <c r="L134" s="631">
        <v>39</v>
      </c>
      <c r="M134" s="631">
        <v>39</v>
      </c>
      <c r="N134" s="631">
        <v>39</v>
      </c>
      <c r="O134" s="631">
        <v>39</v>
      </c>
      <c r="P134" s="631">
        <v>39</v>
      </c>
      <c r="Q134" s="631">
        <v>39</v>
      </c>
      <c r="R134" s="631">
        <v>39</v>
      </c>
      <c r="S134" s="631">
        <v>39</v>
      </c>
      <c r="T134" s="631">
        <v>39</v>
      </c>
      <c r="U134" s="631">
        <v>39</v>
      </c>
      <c r="V134" s="631">
        <v>39</v>
      </c>
      <c r="W134" s="631">
        <v>39</v>
      </c>
      <c r="X134" s="631">
        <v>39</v>
      </c>
      <c r="Y134" s="631">
        <v>39</v>
      </c>
      <c r="Z134" s="631">
        <v>39</v>
      </c>
      <c r="AA134" s="631">
        <v>39</v>
      </c>
      <c r="AB134" s="631">
        <v>39</v>
      </c>
      <c r="AC134" s="631">
        <v>39</v>
      </c>
      <c r="AD134" s="631">
        <v>39</v>
      </c>
      <c r="AE134" s="631">
        <v>39</v>
      </c>
      <c r="AF134" s="631">
        <v>39</v>
      </c>
      <c r="AG134" s="631">
        <v>39</v>
      </c>
      <c r="AH134" s="631">
        <v>39</v>
      </c>
      <c r="AI134" s="512">
        <v>39</v>
      </c>
      <c r="AJ134" s="631">
        <v>39</v>
      </c>
      <c r="AK134" s="631">
        <v>39</v>
      </c>
      <c r="AL134" s="631">
        <v>39</v>
      </c>
      <c r="AM134" s="631">
        <v>39</v>
      </c>
      <c r="AN134" s="631">
        <v>39</v>
      </c>
      <c r="AO134" s="631">
        <v>39</v>
      </c>
      <c r="AP134" s="631">
        <v>39</v>
      </c>
      <c r="AQ134" s="631">
        <v>39</v>
      </c>
      <c r="AR134" s="631">
        <v>39</v>
      </c>
      <c r="AS134" s="631">
        <v>39</v>
      </c>
      <c r="AT134" s="631">
        <v>39</v>
      </c>
      <c r="AU134" s="631">
        <v>39</v>
      </c>
      <c r="AV134" s="631">
        <v>39</v>
      </c>
      <c r="AW134" s="631">
        <v>39</v>
      </c>
      <c r="AX134" s="631">
        <v>39</v>
      </c>
      <c r="AY134" s="631">
        <v>39</v>
      </c>
      <c r="AZ134" s="631">
        <v>39</v>
      </c>
      <c r="BA134" s="631">
        <v>39</v>
      </c>
      <c r="BB134" s="631">
        <v>39</v>
      </c>
      <c r="BC134" s="631">
        <v>39</v>
      </c>
      <c r="BD134" s="631">
        <v>39</v>
      </c>
      <c r="BE134" s="631">
        <v>39</v>
      </c>
      <c r="BF134" s="631">
        <v>39</v>
      </c>
      <c r="BG134" s="495">
        <f t="shared" si="19"/>
        <v>2106</v>
      </c>
      <c r="BH134" s="1077"/>
      <c r="BI134" s="496">
        <f t="shared" si="18"/>
        <v>54</v>
      </c>
    </row>
    <row r="135" spans="1:62" ht="199.9" customHeight="1" thickTop="1" thickBot="1" x14ac:dyDescent="1.3">
      <c r="A135" s="1072"/>
      <c r="B135" s="502" t="s">
        <v>485</v>
      </c>
      <c r="C135" s="1052" t="s">
        <v>128</v>
      </c>
      <c r="D135" s="1052"/>
      <c r="E135" s="631">
        <v>39</v>
      </c>
      <c r="F135" s="631">
        <v>39</v>
      </c>
      <c r="G135" s="631">
        <v>39</v>
      </c>
      <c r="H135" s="631">
        <v>39</v>
      </c>
      <c r="I135" s="631">
        <v>39</v>
      </c>
      <c r="J135" s="631">
        <v>39</v>
      </c>
      <c r="K135" s="631">
        <v>39</v>
      </c>
      <c r="L135" s="631">
        <v>39</v>
      </c>
      <c r="M135" s="631">
        <v>39</v>
      </c>
      <c r="N135" s="631">
        <v>39</v>
      </c>
      <c r="O135" s="631">
        <v>39</v>
      </c>
      <c r="P135" s="631">
        <v>39</v>
      </c>
      <c r="Q135" s="631">
        <v>39</v>
      </c>
      <c r="R135" s="631">
        <v>39</v>
      </c>
      <c r="S135" s="631">
        <v>39</v>
      </c>
      <c r="T135" s="631">
        <v>39</v>
      </c>
      <c r="U135" s="631">
        <v>39</v>
      </c>
      <c r="V135" s="631">
        <v>39</v>
      </c>
      <c r="W135" s="631">
        <v>39</v>
      </c>
      <c r="X135" s="631">
        <v>39</v>
      </c>
      <c r="Y135" s="631">
        <v>39</v>
      </c>
      <c r="Z135" s="631">
        <v>39</v>
      </c>
      <c r="AA135" s="631">
        <v>39</v>
      </c>
      <c r="AB135" s="631">
        <v>39</v>
      </c>
      <c r="AC135" s="631">
        <v>39</v>
      </c>
      <c r="AD135" s="631">
        <v>39</v>
      </c>
      <c r="AE135" s="631">
        <v>39</v>
      </c>
      <c r="AF135" s="631">
        <v>39</v>
      </c>
      <c r="AG135" s="631">
        <v>39</v>
      </c>
      <c r="AH135" s="631">
        <v>39</v>
      </c>
      <c r="AI135" s="512">
        <v>39</v>
      </c>
      <c r="AJ135" s="631">
        <v>39</v>
      </c>
      <c r="AK135" s="631">
        <v>39</v>
      </c>
      <c r="AL135" s="631">
        <v>39</v>
      </c>
      <c r="AM135" s="631">
        <v>39</v>
      </c>
      <c r="AN135" s="631">
        <v>39</v>
      </c>
      <c r="AO135" s="631">
        <v>39</v>
      </c>
      <c r="AP135" s="631">
        <v>39</v>
      </c>
      <c r="AQ135" s="631">
        <v>39</v>
      </c>
      <c r="AR135" s="631">
        <v>39</v>
      </c>
      <c r="AS135" s="631">
        <v>39</v>
      </c>
      <c r="AT135" s="631">
        <v>39</v>
      </c>
      <c r="AU135" s="631">
        <v>39</v>
      </c>
      <c r="AV135" s="631">
        <v>39</v>
      </c>
      <c r="AW135" s="631">
        <v>39</v>
      </c>
      <c r="AX135" s="631">
        <v>39</v>
      </c>
      <c r="AY135" s="631">
        <v>39</v>
      </c>
      <c r="AZ135" s="631">
        <v>39</v>
      </c>
      <c r="BA135" s="631">
        <v>39</v>
      </c>
      <c r="BB135" s="631">
        <v>39</v>
      </c>
      <c r="BC135" s="631">
        <v>39</v>
      </c>
      <c r="BD135" s="631">
        <v>39</v>
      </c>
      <c r="BE135" s="631">
        <v>39</v>
      </c>
      <c r="BF135" s="631">
        <v>39</v>
      </c>
      <c r="BG135" s="495">
        <f t="shared" si="19"/>
        <v>2106</v>
      </c>
      <c r="BH135" s="1077"/>
      <c r="BI135" s="496">
        <f t="shared" si="18"/>
        <v>54</v>
      </c>
    </row>
    <row r="136" spans="1:62" ht="199.9" customHeight="1" thickTop="1" thickBot="1" x14ac:dyDescent="1.3">
      <c r="A136" s="1072"/>
      <c r="B136" s="502" t="s">
        <v>486</v>
      </c>
      <c r="C136" s="1052" t="s">
        <v>128</v>
      </c>
      <c r="D136" s="1052"/>
      <c r="E136" s="631">
        <v>39</v>
      </c>
      <c r="F136" s="631">
        <v>39</v>
      </c>
      <c r="G136" s="631">
        <v>39</v>
      </c>
      <c r="H136" s="631">
        <v>39</v>
      </c>
      <c r="I136" s="631">
        <v>39</v>
      </c>
      <c r="J136" s="631">
        <v>39</v>
      </c>
      <c r="K136" s="631">
        <v>39</v>
      </c>
      <c r="L136" s="631">
        <v>39</v>
      </c>
      <c r="M136" s="631">
        <v>39</v>
      </c>
      <c r="N136" s="631">
        <v>39</v>
      </c>
      <c r="O136" s="631">
        <v>39</v>
      </c>
      <c r="P136" s="631">
        <v>39</v>
      </c>
      <c r="Q136" s="631">
        <v>39</v>
      </c>
      <c r="R136" s="631">
        <v>39</v>
      </c>
      <c r="S136" s="631">
        <v>39</v>
      </c>
      <c r="T136" s="631">
        <v>39</v>
      </c>
      <c r="U136" s="631">
        <v>39</v>
      </c>
      <c r="V136" s="631">
        <v>39</v>
      </c>
      <c r="W136" s="631">
        <v>39</v>
      </c>
      <c r="X136" s="631">
        <v>39</v>
      </c>
      <c r="Y136" s="631">
        <v>39</v>
      </c>
      <c r="Z136" s="631">
        <v>39</v>
      </c>
      <c r="AA136" s="631">
        <v>39</v>
      </c>
      <c r="AB136" s="631">
        <v>39</v>
      </c>
      <c r="AC136" s="631">
        <v>39</v>
      </c>
      <c r="AD136" s="631">
        <v>39</v>
      </c>
      <c r="AE136" s="631">
        <v>39</v>
      </c>
      <c r="AF136" s="631">
        <v>39</v>
      </c>
      <c r="AG136" s="631">
        <v>39</v>
      </c>
      <c r="AH136" s="631">
        <v>39</v>
      </c>
      <c r="AI136" s="512">
        <v>39</v>
      </c>
      <c r="AJ136" s="631">
        <v>39</v>
      </c>
      <c r="AK136" s="631">
        <v>39</v>
      </c>
      <c r="AL136" s="631">
        <v>39</v>
      </c>
      <c r="AM136" s="631">
        <v>39</v>
      </c>
      <c r="AN136" s="631">
        <v>39</v>
      </c>
      <c r="AO136" s="631">
        <v>39</v>
      </c>
      <c r="AP136" s="631">
        <v>39</v>
      </c>
      <c r="AQ136" s="631">
        <v>39</v>
      </c>
      <c r="AR136" s="631">
        <v>39</v>
      </c>
      <c r="AS136" s="631">
        <v>39</v>
      </c>
      <c r="AT136" s="631">
        <v>39</v>
      </c>
      <c r="AU136" s="631">
        <v>39</v>
      </c>
      <c r="AV136" s="631">
        <v>39</v>
      </c>
      <c r="AW136" s="631">
        <v>39</v>
      </c>
      <c r="AX136" s="631">
        <v>39</v>
      </c>
      <c r="AY136" s="631">
        <v>39</v>
      </c>
      <c r="AZ136" s="631">
        <v>39</v>
      </c>
      <c r="BA136" s="631">
        <v>39</v>
      </c>
      <c r="BB136" s="631">
        <v>39</v>
      </c>
      <c r="BC136" s="631">
        <v>39</v>
      </c>
      <c r="BD136" s="631">
        <v>39</v>
      </c>
      <c r="BE136" s="631">
        <v>39</v>
      </c>
      <c r="BF136" s="631">
        <v>39</v>
      </c>
      <c r="BG136" s="495">
        <f t="shared" si="19"/>
        <v>2106</v>
      </c>
      <c r="BH136" s="1077"/>
      <c r="BI136" s="496">
        <f t="shared" si="18"/>
        <v>54</v>
      </c>
      <c r="BJ136" s="513">
        <f>BH132/SUM(BE133:BE138)</f>
        <v>54</v>
      </c>
    </row>
    <row r="137" spans="1:62" ht="199.9" customHeight="1" thickTop="1" thickBot="1" x14ac:dyDescent="1.3">
      <c r="A137" s="1072"/>
      <c r="B137" s="502" t="s">
        <v>487</v>
      </c>
      <c r="C137" s="1052" t="s">
        <v>128</v>
      </c>
      <c r="D137" s="1052"/>
      <c r="E137" s="631">
        <v>39</v>
      </c>
      <c r="F137" s="631">
        <v>39</v>
      </c>
      <c r="G137" s="631">
        <v>39</v>
      </c>
      <c r="H137" s="631">
        <v>39</v>
      </c>
      <c r="I137" s="631">
        <v>39</v>
      </c>
      <c r="J137" s="631">
        <v>39</v>
      </c>
      <c r="K137" s="631">
        <v>39</v>
      </c>
      <c r="L137" s="631">
        <v>39</v>
      </c>
      <c r="M137" s="631">
        <v>39</v>
      </c>
      <c r="N137" s="631">
        <v>39</v>
      </c>
      <c r="O137" s="631">
        <v>39</v>
      </c>
      <c r="P137" s="631">
        <v>39</v>
      </c>
      <c r="Q137" s="631">
        <v>39</v>
      </c>
      <c r="R137" s="631">
        <v>39</v>
      </c>
      <c r="S137" s="631">
        <v>39</v>
      </c>
      <c r="T137" s="631">
        <v>39</v>
      </c>
      <c r="U137" s="631">
        <v>39</v>
      </c>
      <c r="V137" s="631">
        <v>39</v>
      </c>
      <c r="W137" s="631">
        <v>39</v>
      </c>
      <c r="X137" s="631">
        <v>39</v>
      </c>
      <c r="Y137" s="631">
        <v>39</v>
      </c>
      <c r="Z137" s="631">
        <v>39</v>
      </c>
      <c r="AA137" s="631">
        <v>39</v>
      </c>
      <c r="AB137" s="631">
        <v>39</v>
      </c>
      <c r="AC137" s="631">
        <v>39</v>
      </c>
      <c r="AD137" s="631">
        <v>39</v>
      </c>
      <c r="AE137" s="631">
        <v>39</v>
      </c>
      <c r="AF137" s="631">
        <v>39</v>
      </c>
      <c r="AG137" s="631">
        <v>39</v>
      </c>
      <c r="AH137" s="631">
        <v>39</v>
      </c>
      <c r="AI137" s="512">
        <v>39</v>
      </c>
      <c r="AJ137" s="631">
        <v>39</v>
      </c>
      <c r="AK137" s="631">
        <v>39</v>
      </c>
      <c r="AL137" s="631">
        <v>39</v>
      </c>
      <c r="AM137" s="631">
        <v>39</v>
      </c>
      <c r="AN137" s="631">
        <v>39</v>
      </c>
      <c r="AO137" s="631">
        <v>39</v>
      </c>
      <c r="AP137" s="631">
        <v>39</v>
      </c>
      <c r="AQ137" s="631">
        <v>39</v>
      </c>
      <c r="AR137" s="631">
        <v>39</v>
      </c>
      <c r="AS137" s="631">
        <v>39</v>
      </c>
      <c r="AT137" s="631">
        <v>39</v>
      </c>
      <c r="AU137" s="631">
        <v>39</v>
      </c>
      <c r="AV137" s="631">
        <v>39</v>
      </c>
      <c r="AW137" s="631">
        <v>39</v>
      </c>
      <c r="AX137" s="631">
        <v>39</v>
      </c>
      <c r="AY137" s="631">
        <v>39</v>
      </c>
      <c r="AZ137" s="631">
        <v>39</v>
      </c>
      <c r="BA137" s="631">
        <v>39</v>
      </c>
      <c r="BB137" s="631">
        <v>39</v>
      </c>
      <c r="BC137" s="631">
        <v>39</v>
      </c>
      <c r="BD137" s="631">
        <v>39</v>
      </c>
      <c r="BE137" s="631">
        <v>39</v>
      </c>
      <c r="BF137" s="631">
        <v>39</v>
      </c>
      <c r="BG137" s="495">
        <f t="shared" si="19"/>
        <v>2106</v>
      </c>
      <c r="BH137" s="1077"/>
      <c r="BI137" s="496">
        <f t="shared" si="18"/>
        <v>54</v>
      </c>
    </row>
    <row r="138" spans="1:62" ht="199.9" customHeight="1" thickTop="1" thickBot="1" x14ac:dyDescent="1.3">
      <c r="A138" s="1072"/>
      <c r="B138" s="502" t="s">
        <v>488</v>
      </c>
      <c r="C138" s="1052" t="s">
        <v>128</v>
      </c>
      <c r="D138" s="1052"/>
      <c r="E138" s="631">
        <v>38</v>
      </c>
      <c r="F138" s="631">
        <v>38</v>
      </c>
      <c r="G138" s="631">
        <v>38</v>
      </c>
      <c r="H138" s="631">
        <v>38</v>
      </c>
      <c r="I138" s="631">
        <v>38</v>
      </c>
      <c r="J138" s="631">
        <v>38</v>
      </c>
      <c r="K138" s="631">
        <v>38</v>
      </c>
      <c r="L138" s="631">
        <v>38</v>
      </c>
      <c r="M138" s="631">
        <v>38</v>
      </c>
      <c r="N138" s="631">
        <v>38</v>
      </c>
      <c r="O138" s="631">
        <v>38</v>
      </c>
      <c r="P138" s="631">
        <v>38</v>
      </c>
      <c r="Q138" s="631">
        <v>38</v>
      </c>
      <c r="R138" s="631">
        <v>38</v>
      </c>
      <c r="S138" s="631">
        <v>38</v>
      </c>
      <c r="T138" s="631">
        <v>38</v>
      </c>
      <c r="U138" s="631">
        <v>38</v>
      </c>
      <c r="V138" s="631">
        <v>38</v>
      </c>
      <c r="W138" s="631">
        <v>38</v>
      </c>
      <c r="X138" s="631">
        <v>38</v>
      </c>
      <c r="Y138" s="631">
        <v>38</v>
      </c>
      <c r="Z138" s="631">
        <v>38</v>
      </c>
      <c r="AA138" s="631">
        <v>38</v>
      </c>
      <c r="AB138" s="631">
        <v>38</v>
      </c>
      <c r="AC138" s="631">
        <v>38</v>
      </c>
      <c r="AD138" s="631">
        <v>38</v>
      </c>
      <c r="AE138" s="631">
        <v>38</v>
      </c>
      <c r="AF138" s="631">
        <v>38</v>
      </c>
      <c r="AG138" s="631">
        <v>38</v>
      </c>
      <c r="AH138" s="631">
        <v>38</v>
      </c>
      <c r="AI138" s="512">
        <v>38</v>
      </c>
      <c r="AJ138" s="631">
        <v>38</v>
      </c>
      <c r="AK138" s="631">
        <v>38</v>
      </c>
      <c r="AL138" s="631">
        <v>38</v>
      </c>
      <c r="AM138" s="631">
        <v>38</v>
      </c>
      <c r="AN138" s="631">
        <v>38</v>
      </c>
      <c r="AO138" s="631">
        <v>38</v>
      </c>
      <c r="AP138" s="631">
        <v>38</v>
      </c>
      <c r="AQ138" s="631">
        <v>38</v>
      </c>
      <c r="AR138" s="631">
        <v>38</v>
      </c>
      <c r="AS138" s="631">
        <v>38</v>
      </c>
      <c r="AT138" s="631">
        <v>38</v>
      </c>
      <c r="AU138" s="631">
        <v>38</v>
      </c>
      <c r="AV138" s="631">
        <v>38</v>
      </c>
      <c r="AW138" s="631">
        <v>38</v>
      </c>
      <c r="AX138" s="631">
        <v>38</v>
      </c>
      <c r="AY138" s="631">
        <v>38</v>
      </c>
      <c r="AZ138" s="631">
        <v>38</v>
      </c>
      <c r="BA138" s="631">
        <v>38</v>
      </c>
      <c r="BB138" s="631">
        <v>38</v>
      </c>
      <c r="BC138" s="631">
        <v>38</v>
      </c>
      <c r="BD138" s="631">
        <v>38</v>
      </c>
      <c r="BE138" s="631">
        <v>38</v>
      </c>
      <c r="BF138" s="631">
        <v>38</v>
      </c>
      <c r="BG138" s="495">
        <f t="shared" si="19"/>
        <v>2052</v>
      </c>
      <c r="BH138" s="1077"/>
      <c r="BI138" s="496">
        <f t="shared" si="18"/>
        <v>54</v>
      </c>
    </row>
    <row r="139" spans="1:62" s="511" customFormat="1" ht="153" thickTop="1" thickBot="1" x14ac:dyDescent="1.3">
      <c r="A139" s="526" t="s">
        <v>412</v>
      </c>
      <c r="B139" s="499" t="s">
        <v>499</v>
      </c>
      <c r="C139" s="1053" t="s">
        <v>127</v>
      </c>
      <c r="D139" s="1053"/>
      <c r="E139" s="508">
        <v>1100</v>
      </c>
      <c r="F139" s="508">
        <v>1100</v>
      </c>
      <c r="G139" s="508">
        <v>1100</v>
      </c>
      <c r="H139" s="508">
        <v>1100</v>
      </c>
      <c r="I139" s="508">
        <v>1100</v>
      </c>
      <c r="J139" s="508">
        <v>1100</v>
      </c>
      <c r="K139" s="508">
        <v>1100</v>
      </c>
      <c r="L139" s="508">
        <v>1100</v>
      </c>
      <c r="M139" s="508">
        <v>1100</v>
      </c>
      <c r="N139" s="508">
        <v>1100</v>
      </c>
      <c r="O139" s="508">
        <v>1100</v>
      </c>
      <c r="P139" s="508">
        <v>1100</v>
      </c>
      <c r="Q139" s="508">
        <v>1100</v>
      </c>
      <c r="R139" s="508">
        <v>1100</v>
      </c>
      <c r="S139" s="508">
        <v>1100</v>
      </c>
      <c r="T139" s="508">
        <v>1100</v>
      </c>
      <c r="U139" s="508">
        <v>1100</v>
      </c>
      <c r="V139" s="508">
        <v>1100</v>
      </c>
      <c r="W139" s="508">
        <v>1100</v>
      </c>
      <c r="X139" s="508">
        <v>1100</v>
      </c>
      <c r="Y139" s="508">
        <v>1100</v>
      </c>
      <c r="Z139" s="508">
        <v>1100</v>
      </c>
      <c r="AA139" s="508">
        <v>1100</v>
      </c>
      <c r="AB139" s="508">
        <v>1100</v>
      </c>
      <c r="AC139" s="508">
        <v>1100</v>
      </c>
      <c r="AD139" s="508">
        <v>1100</v>
      </c>
      <c r="AE139" s="508">
        <v>1100</v>
      </c>
      <c r="AF139" s="508">
        <v>1100</v>
      </c>
      <c r="AG139" s="508">
        <v>1100</v>
      </c>
      <c r="AH139" s="508">
        <v>1100</v>
      </c>
      <c r="AI139" s="508">
        <v>1100</v>
      </c>
      <c r="AJ139" s="508">
        <v>1100</v>
      </c>
      <c r="AK139" s="508">
        <v>1100</v>
      </c>
      <c r="AL139" s="508">
        <v>1100</v>
      </c>
      <c r="AM139" s="508">
        <v>1100</v>
      </c>
      <c r="AN139" s="508">
        <v>1100</v>
      </c>
      <c r="AO139" s="508">
        <v>1100</v>
      </c>
      <c r="AP139" s="508">
        <v>1100</v>
      </c>
      <c r="AQ139" s="508">
        <v>1100</v>
      </c>
      <c r="AR139" s="508">
        <v>1100</v>
      </c>
      <c r="AS139" s="508">
        <v>1100</v>
      </c>
      <c r="AT139" s="508">
        <v>1100</v>
      </c>
      <c r="AU139" s="508">
        <v>1100</v>
      </c>
      <c r="AV139" s="508">
        <v>1100</v>
      </c>
      <c r="AW139" s="508">
        <v>1100</v>
      </c>
      <c r="AX139" s="508">
        <v>1100</v>
      </c>
      <c r="AY139" s="508">
        <v>1100</v>
      </c>
      <c r="AZ139" s="508">
        <v>1100</v>
      </c>
      <c r="BA139" s="508">
        <v>1100</v>
      </c>
      <c r="BB139" s="508">
        <v>1100</v>
      </c>
      <c r="BC139" s="508">
        <v>1100</v>
      </c>
      <c r="BD139" s="508">
        <v>1100</v>
      </c>
      <c r="BE139" s="508">
        <v>1100</v>
      </c>
      <c r="BF139" s="508">
        <v>1100</v>
      </c>
      <c r="BG139" s="490">
        <f>SUM(E139:BF139)</f>
        <v>59400</v>
      </c>
      <c r="BH139" s="1077">
        <f>SUM(BG140:BG145)</f>
        <v>59292</v>
      </c>
      <c r="BI139" s="491">
        <f t="shared" si="18"/>
        <v>54</v>
      </c>
    </row>
    <row r="140" spans="1:62" ht="199.9" customHeight="1" thickTop="1" thickBot="1" x14ac:dyDescent="1.3">
      <c r="A140" s="1072" t="s">
        <v>510</v>
      </c>
      <c r="B140" s="502" t="s">
        <v>483</v>
      </c>
      <c r="C140" s="1052" t="s">
        <v>128</v>
      </c>
      <c r="D140" s="1052"/>
      <c r="E140" s="512">
        <v>183</v>
      </c>
      <c r="F140" s="512">
        <v>183</v>
      </c>
      <c r="G140" s="512">
        <v>183</v>
      </c>
      <c r="H140" s="512">
        <v>183</v>
      </c>
      <c r="I140" s="512">
        <v>183</v>
      </c>
      <c r="J140" s="512">
        <v>183</v>
      </c>
      <c r="K140" s="512">
        <v>183</v>
      </c>
      <c r="L140" s="512">
        <v>183</v>
      </c>
      <c r="M140" s="557">
        <v>183</v>
      </c>
      <c r="N140" s="512">
        <v>183</v>
      </c>
      <c r="O140" s="512">
        <v>183</v>
      </c>
      <c r="P140" s="512">
        <v>183</v>
      </c>
      <c r="Q140" s="512">
        <v>183</v>
      </c>
      <c r="R140" s="512">
        <v>183</v>
      </c>
      <c r="S140" s="512">
        <v>183</v>
      </c>
      <c r="T140" s="512">
        <v>183</v>
      </c>
      <c r="U140" s="512">
        <v>183</v>
      </c>
      <c r="V140" s="512">
        <v>183</v>
      </c>
      <c r="W140" s="557">
        <v>183</v>
      </c>
      <c r="X140" s="512">
        <v>183</v>
      </c>
      <c r="Y140" s="512">
        <v>183</v>
      </c>
      <c r="Z140" s="512">
        <v>183</v>
      </c>
      <c r="AA140" s="512">
        <v>183</v>
      </c>
      <c r="AB140" s="512">
        <v>183</v>
      </c>
      <c r="AC140" s="512">
        <v>183</v>
      </c>
      <c r="AD140" s="512">
        <v>183</v>
      </c>
      <c r="AE140" s="512">
        <v>183</v>
      </c>
      <c r="AF140" s="512">
        <v>183</v>
      </c>
      <c r="AG140" s="565">
        <v>183</v>
      </c>
      <c r="AH140" s="565">
        <v>183</v>
      </c>
      <c r="AI140" s="512">
        <v>183</v>
      </c>
      <c r="AJ140" s="512">
        <v>183</v>
      </c>
      <c r="AK140" s="512">
        <v>183</v>
      </c>
      <c r="AL140" s="512">
        <v>183</v>
      </c>
      <c r="AM140" s="512">
        <v>183</v>
      </c>
      <c r="AN140" s="512">
        <v>183</v>
      </c>
      <c r="AO140" s="512">
        <v>183</v>
      </c>
      <c r="AP140" s="512">
        <v>183</v>
      </c>
      <c r="AQ140" s="512">
        <v>183</v>
      </c>
      <c r="AR140" s="512">
        <v>183</v>
      </c>
      <c r="AS140" s="512">
        <v>183</v>
      </c>
      <c r="AT140" s="512">
        <v>183</v>
      </c>
      <c r="AU140" s="512">
        <v>183</v>
      </c>
      <c r="AV140" s="512">
        <v>183</v>
      </c>
      <c r="AW140" s="512">
        <v>183</v>
      </c>
      <c r="AX140" s="512">
        <v>183</v>
      </c>
      <c r="AY140" s="512">
        <v>183</v>
      </c>
      <c r="AZ140" s="512">
        <v>183</v>
      </c>
      <c r="BA140" s="512">
        <v>183</v>
      </c>
      <c r="BB140" s="512">
        <v>183</v>
      </c>
      <c r="BC140" s="512">
        <v>183</v>
      </c>
      <c r="BD140" s="512">
        <v>183</v>
      </c>
      <c r="BE140" s="512">
        <v>183</v>
      </c>
      <c r="BF140" s="512">
        <v>183</v>
      </c>
      <c r="BG140" s="495">
        <f>SUM(E140:BF140)</f>
        <v>9882</v>
      </c>
      <c r="BH140" s="1077"/>
      <c r="BI140" s="496">
        <f t="shared" si="18"/>
        <v>54</v>
      </c>
    </row>
    <row r="141" spans="1:62" ht="199.9" customHeight="1" thickTop="1" thickBot="1" x14ac:dyDescent="1.3">
      <c r="A141" s="1072"/>
      <c r="B141" s="502" t="s">
        <v>484</v>
      </c>
      <c r="C141" s="1052" t="s">
        <v>128</v>
      </c>
      <c r="D141" s="1052"/>
      <c r="E141" s="512">
        <v>183</v>
      </c>
      <c r="F141" s="512">
        <v>183</v>
      </c>
      <c r="G141" s="512">
        <v>183</v>
      </c>
      <c r="H141" s="512">
        <v>183</v>
      </c>
      <c r="I141" s="512">
        <v>183</v>
      </c>
      <c r="J141" s="512">
        <v>183</v>
      </c>
      <c r="K141" s="512">
        <v>183</v>
      </c>
      <c r="L141" s="512">
        <v>183</v>
      </c>
      <c r="M141" s="557">
        <v>183</v>
      </c>
      <c r="N141" s="512">
        <v>183</v>
      </c>
      <c r="O141" s="512">
        <v>183</v>
      </c>
      <c r="P141" s="512">
        <v>183</v>
      </c>
      <c r="Q141" s="512">
        <v>183</v>
      </c>
      <c r="R141" s="512">
        <v>183</v>
      </c>
      <c r="S141" s="512">
        <v>183</v>
      </c>
      <c r="T141" s="512">
        <v>183</v>
      </c>
      <c r="U141" s="512">
        <v>183</v>
      </c>
      <c r="V141" s="512">
        <v>183</v>
      </c>
      <c r="W141" s="557">
        <v>183</v>
      </c>
      <c r="X141" s="512">
        <v>183</v>
      </c>
      <c r="Y141" s="512">
        <v>183</v>
      </c>
      <c r="Z141" s="512">
        <v>183</v>
      </c>
      <c r="AA141" s="512">
        <v>183</v>
      </c>
      <c r="AB141" s="512">
        <v>183</v>
      </c>
      <c r="AC141" s="512">
        <v>183</v>
      </c>
      <c r="AD141" s="512">
        <v>183</v>
      </c>
      <c r="AE141" s="512">
        <v>183</v>
      </c>
      <c r="AF141" s="512">
        <v>183</v>
      </c>
      <c r="AG141" s="565">
        <v>183</v>
      </c>
      <c r="AH141" s="565">
        <v>183</v>
      </c>
      <c r="AI141" s="512">
        <v>183</v>
      </c>
      <c r="AJ141" s="512">
        <v>183</v>
      </c>
      <c r="AK141" s="512">
        <v>183</v>
      </c>
      <c r="AL141" s="512">
        <v>183</v>
      </c>
      <c r="AM141" s="512">
        <v>183</v>
      </c>
      <c r="AN141" s="512">
        <v>183</v>
      </c>
      <c r="AO141" s="512">
        <v>183</v>
      </c>
      <c r="AP141" s="512">
        <v>183</v>
      </c>
      <c r="AQ141" s="512">
        <v>183</v>
      </c>
      <c r="AR141" s="512">
        <v>183</v>
      </c>
      <c r="AS141" s="512">
        <v>183</v>
      </c>
      <c r="AT141" s="512">
        <v>183</v>
      </c>
      <c r="AU141" s="512">
        <v>183</v>
      </c>
      <c r="AV141" s="512">
        <v>183</v>
      </c>
      <c r="AW141" s="512">
        <v>183</v>
      </c>
      <c r="AX141" s="512">
        <v>183</v>
      </c>
      <c r="AY141" s="512">
        <v>183</v>
      </c>
      <c r="AZ141" s="512">
        <v>183</v>
      </c>
      <c r="BA141" s="512">
        <v>183</v>
      </c>
      <c r="BB141" s="512">
        <v>183</v>
      </c>
      <c r="BC141" s="512">
        <v>183</v>
      </c>
      <c r="BD141" s="512">
        <v>183</v>
      </c>
      <c r="BE141" s="512">
        <v>183</v>
      </c>
      <c r="BF141" s="512">
        <v>183</v>
      </c>
      <c r="BG141" s="495">
        <f t="shared" si="19"/>
        <v>9882</v>
      </c>
      <c r="BH141" s="1077"/>
      <c r="BI141" s="496">
        <f t="shared" si="18"/>
        <v>54</v>
      </c>
    </row>
    <row r="142" spans="1:62" ht="199.9" customHeight="1" thickTop="1" thickBot="1" x14ac:dyDescent="1.3">
      <c r="A142" s="1072"/>
      <c r="B142" s="502" t="s">
        <v>485</v>
      </c>
      <c r="C142" s="1052" t="s">
        <v>128</v>
      </c>
      <c r="D142" s="1052"/>
      <c r="E142" s="512">
        <v>183</v>
      </c>
      <c r="F142" s="512">
        <v>183</v>
      </c>
      <c r="G142" s="512">
        <v>183</v>
      </c>
      <c r="H142" s="512">
        <v>183</v>
      </c>
      <c r="I142" s="512">
        <v>183</v>
      </c>
      <c r="J142" s="512">
        <v>183</v>
      </c>
      <c r="K142" s="512">
        <v>183</v>
      </c>
      <c r="L142" s="512">
        <v>183</v>
      </c>
      <c r="M142" s="557">
        <v>183</v>
      </c>
      <c r="N142" s="512">
        <v>183</v>
      </c>
      <c r="O142" s="512">
        <v>183</v>
      </c>
      <c r="P142" s="512">
        <v>183</v>
      </c>
      <c r="Q142" s="512">
        <v>183</v>
      </c>
      <c r="R142" s="512">
        <v>183</v>
      </c>
      <c r="S142" s="512">
        <v>183</v>
      </c>
      <c r="T142" s="512">
        <v>183</v>
      </c>
      <c r="U142" s="512">
        <v>183</v>
      </c>
      <c r="V142" s="512">
        <v>183</v>
      </c>
      <c r="W142" s="557">
        <v>183</v>
      </c>
      <c r="X142" s="512">
        <v>183</v>
      </c>
      <c r="Y142" s="512">
        <v>183</v>
      </c>
      <c r="Z142" s="512">
        <v>183</v>
      </c>
      <c r="AA142" s="512">
        <v>183</v>
      </c>
      <c r="AB142" s="512">
        <v>183</v>
      </c>
      <c r="AC142" s="512">
        <v>183</v>
      </c>
      <c r="AD142" s="512">
        <v>183</v>
      </c>
      <c r="AE142" s="512">
        <v>183</v>
      </c>
      <c r="AF142" s="512">
        <v>183</v>
      </c>
      <c r="AG142" s="565">
        <v>183</v>
      </c>
      <c r="AH142" s="565">
        <v>183</v>
      </c>
      <c r="AI142" s="512">
        <v>183</v>
      </c>
      <c r="AJ142" s="512">
        <v>183</v>
      </c>
      <c r="AK142" s="512">
        <v>183</v>
      </c>
      <c r="AL142" s="512">
        <v>183</v>
      </c>
      <c r="AM142" s="512">
        <v>183</v>
      </c>
      <c r="AN142" s="512">
        <v>183</v>
      </c>
      <c r="AO142" s="512">
        <v>183</v>
      </c>
      <c r="AP142" s="512">
        <v>183</v>
      </c>
      <c r="AQ142" s="512">
        <v>183</v>
      </c>
      <c r="AR142" s="512">
        <v>183</v>
      </c>
      <c r="AS142" s="512">
        <v>183</v>
      </c>
      <c r="AT142" s="512">
        <v>183</v>
      </c>
      <c r="AU142" s="512">
        <v>183</v>
      </c>
      <c r="AV142" s="512">
        <v>183</v>
      </c>
      <c r="AW142" s="512">
        <v>183</v>
      </c>
      <c r="AX142" s="512">
        <v>183</v>
      </c>
      <c r="AY142" s="512">
        <v>183</v>
      </c>
      <c r="AZ142" s="512">
        <v>183</v>
      </c>
      <c r="BA142" s="512">
        <v>183</v>
      </c>
      <c r="BB142" s="512">
        <v>183</v>
      </c>
      <c r="BC142" s="512">
        <v>183</v>
      </c>
      <c r="BD142" s="512">
        <v>183</v>
      </c>
      <c r="BE142" s="512">
        <v>183</v>
      </c>
      <c r="BF142" s="512">
        <v>183</v>
      </c>
      <c r="BG142" s="495">
        <f t="shared" si="19"/>
        <v>9882</v>
      </c>
      <c r="BH142" s="1077"/>
      <c r="BI142" s="496">
        <f t="shared" si="18"/>
        <v>54</v>
      </c>
      <c r="BJ142" s="513">
        <f>BH139/SUM(BE140:BE145)</f>
        <v>54</v>
      </c>
    </row>
    <row r="143" spans="1:62" ht="199.9" customHeight="1" thickTop="1" thickBot="1" x14ac:dyDescent="1.3">
      <c r="A143" s="1072"/>
      <c r="B143" s="502" t="s">
        <v>486</v>
      </c>
      <c r="C143" s="1052" t="s">
        <v>128</v>
      </c>
      <c r="D143" s="1052"/>
      <c r="E143" s="512">
        <v>183</v>
      </c>
      <c r="F143" s="512">
        <v>183</v>
      </c>
      <c r="G143" s="512">
        <v>183</v>
      </c>
      <c r="H143" s="512">
        <v>183</v>
      </c>
      <c r="I143" s="512">
        <v>183</v>
      </c>
      <c r="J143" s="512">
        <v>183</v>
      </c>
      <c r="K143" s="512">
        <v>183</v>
      </c>
      <c r="L143" s="512">
        <v>183</v>
      </c>
      <c r="M143" s="557">
        <v>183</v>
      </c>
      <c r="N143" s="512">
        <v>183</v>
      </c>
      <c r="O143" s="512">
        <v>183</v>
      </c>
      <c r="P143" s="512">
        <v>183</v>
      </c>
      <c r="Q143" s="512">
        <v>183</v>
      </c>
      <c r="R143" s="512">
        <v>183</v>
      </c>
      <c r="S143" s="512">
        <v>183</v>
      </c>
      <c r="T143" s="512">
        <v>183</v>
      </c>
      <c r="U143" s="512">
        <v>183</v>
      </c>
      <c r="V143" s="512">
        <v>183</v>
      </c>
      <c r="W143" s="557">
        <v>183</v>
      </c>
      <c r="X143" s="512">
        <v>183</v>
      </c>
      <c r="Y143" s="512">
        <v>183</v>
      </c>
      <c r="Z143" s="512">
        <v>183</v>
      </c>
      <c r="AA143" s="512">
        <v>183</v>
      </c>
      <c r="AB143" s="512">
        <v>183</v>
      </c>
      <c r="AC143" s="512">
        <v>183</v>
      </c>
      <c r="AD143" s="512">
        <v>183</v>
      </c>
      <c r="AE143" s="512">
        <v>183</v>
      </c>
      <c r="AF143" s="512">
        <v>183</v>
      </c>
      <c r="AG143" s="565">
        <v>183</v>
      </c>
      <c r="AH143" s="565">
        <v>183</v>
      </c>
      <c r="AI143" s="512">
        <v>183</v>
      </c>
      <c r="AJ143" s="512">
        <v>183</v>
      </c>
      <c r="AK143" s="512">
        <v>183</v>
      </c>
      <c r="AL143" s="512">
        <v>183</v>
      </c>
      <c r="AM143" s="512">
        <v>183</v>
      </c>
      <c r="AN143" s="512">
        <v>183</v>
      </c>
      <c r="AO143" s="512">
        <v>183</v>
      </c>
      <c r="AP143" s="512">
        <v>183</v>
      </c>
      <c r="AQ143" s="512">
        <v>183</v>
      </c>
      <c r="AR143" s="512">
        <v>183</v>
      </c>
      <c r="AS143" s="512">
        <v>183</v>
      </c>
      <c r="AT143" s="512">
        <v>183</v>
      </c>
      <c r="AU143" s="512">
        <v>183</v>
      </c>
      <c r="AV143" s="512">
        <v>183</v>
      </c>
      <c r="AW143" s="512">
        <v>183</v>
      </c>
      <c r="AX143" s="512">
        <v>183</v>
      </c>
      <c r="AY143" s="512">
        <v>183</v>
      </c>
      <c r="AZ143" s="512">
        <v>183</v>
      </c>
      <c r="BA143" s="512">
        <v>183</v>
      </c>
      <c r="BB143" s="512">
        <v>183</v>
      </c>
      <c r="BC143" s="512">
        <v>183</v>
      </c>
      <c r="BD143" s="512">
        <v>183</v>
      </c>
      <c r="BE143" s="512">
        <v>183</v>
      </c>
      <c r="BF143" s="512">
        <v>183</v>
      </c>
      <c r="BG143" s="495">
        <f t="shared" si="19"/>
        <v>9882</v>
      </c>
      <c r="BH143" s="1077"/>
      <c r="BI143" s="496">
        <f t="shared" si="18"/>
        <v>54</v>
      </c>
    </row>
    <row r="144" spans="1:62" ht="199.9" customHeight="1" thickTop="1" thickBot="1" x14ac:dyDescent="1.3">
      <c r="A144" s="1072"/>
      <c r="B144" s="502" t="s">
        <v>487</v>
      </c>
      <c r="C144" s="1052" t="s">
        <v>128</v>
      </c>
      <c r="D144" s="1052"/>
      <c r="E144" s="512">
        <v>183</v>
      </c>
      <c r="F144" s="512">
        <v>183</v>
      </c>
      <c r="G144" s="512">
        <v>183</v>
      </c>
      <c r="H144" s="512">
        <v>183</v>
      </c>
      <c r="I144" s="512">
        <v>183</v>
      </c>
      <c r="J144" s="512">
        <v>183</v>
      </c>
      <c r="K144" s="512">
        <v>183</v>
      </c>
      <c r="L144" s="512">
        <v>183</v>
      </c>
      <c r="M144" s="557">
        <v>183</v>
      </c>
      <c r="N144" s="512">
        <v>183</v>
      </c>
      <c r="O144" s="512">
        <v>183</v>
      </c>
      <c r="P144" s="512">
        <v>183</v>
      </c>
      <c r="Q144" s="512">
        <v>183</v>
      </c>
      <c r="R144" s="512">
        <v>183</v>
      </c>
      <c r="S144" s="512">
        <v>183</v>
      </c>
      <c r="T144" s="512">
        <v>183</v>
      </c>
      <c r="U144" s="512">
        <v>183</v>
      </c>
      <c r="V144" s="512">
        <v>183</v>
      </c>
      <c r="W144" s="557">
        <v>183</v>
      </c>
      <c r="X144" s="512">
        <v>183</v>
      </c>
      <c r="Y144" s="512">
        <v>183</v>
      </c>
      <c r="Z144" s="512">
        <v>183</v>
      </c>
      <c r="AA144" s="512">
        <v>183</v>
      </c>
      <c r="AB144" s="512">
        <v>183</v>
      </c>
      <c r="AC144" s="512">
        <v>183</v>
      </c>
      <c r="AD144" s="512">
        <v>183</v>
      </c>
      <c r="AE144" s="512">
        <v>183</v>
      </c>
      <c r="AF144" s="512">
        <v>183</v>
      </c>
      <c r="AG144" s="565">
        <v>183</v>
      </c>
      <c r="AH144" s="565">
        <v>183</v>
      </c>
      <c r="AI144" s="512">
        <v>183</v>
      </c>
      <c r="AJ144" s="512">
        <v>183</v>
      </c>
      <c r="AK144" s="512">
        <v>183</v>
      </c>
      <c r="AL144" s="512">
        <v>183</v>
      </c>
      <c r="AM144" s="512">
        <v>183</v>
      </c>
      <c r="AN144" s="512">
        <v>183</v>
      </c>
      <c r="AO144" s="512">
        <v>183</v>
      </c>
      <c r="AP144" s="512">
        <v>183</v>
      </c>
      <c r="AQ144" s="512">
        <v>183</v>
      </c>
      <c r="AR144" s="512">
        <v>183</v>
      </c>
      <c r="AS144" s="512">
        <v>183</v>
      </c>
      <c r="AT144" s="512">
        <v>183</v>
      </c>
      <c r="AU144" s="512">
        <v>183</v>
      </c>
      <c r="AV144" s="512">
        <v>183</v>
      </c>
      <c r="AW144" s="512">
        <v>183</v>
      </c>
      <c r="AX144" s="512">
        <v>183</v>
      </c>
      <c r="AY144" s="512">
        <v>183</v>
      </c>
      <c r="AZ144" s="512">
        <v>183</v>
      </c>
      <c r="BA144" s="512">
        <v>183</v>
      </c>
      <c r="BB144" s="512">
        <v>183</v>
      </c>
      <c r="BC144" s="512">
        <v>183</v>
      </c>
      <c r="BD144" s="512">
        <v>183</v>
      </c>
      <c r="BE144" s="512">
        <v>183</v>
      </c>
      <c r="BF144" s="512">
        <v>183</v>
      </c>
      <c r="BG144" s="495">
        <f t="shared" si="19"/>
        <v>9882</v>
      </c>
      <c r="BH144" s="1077"/>
      <c r="BI144" s="496">
        <f t="shared" si="18"/>
        <v>54</v>
      </c>
    </row>
    <row r="145" spans="1:61" ht="199.9" customHeight="1" thickTop="1" thickBot="1" x14ac:dyDescent="1.3">
      <c r="A145" s="1072"/>
      <c r="B145" s="502" t="s">
        <v>488</v>
      </c>
      <c r="C145" s="1052" t="s">
        <v>128</v>
      </c>
      <c r="D145" s="1052"/>
      <c r="E145" s="512">
        <v>183</v>
      </c>
      <c r="F145" s="512">
        <v>183</v>
      </c>
      <c r="G145" s="512">
        <v>183</v>
      </c>
      <c r="H145" s="512">
        <v>183</v>
      </c>
      <c r="I145" s="512">
        <v>183</v>
      </c>
      <c r="J145" s="512">
        <v>183</v>
      </c>
      <c r="K145" s="512">
        <v>183</v>
      </c>
      <c r="L145" s="512">
        <v>183</v>
      </c>
      <c r="M145" s="557">
        <v>183</v>
      </c>
      <c r="N145" s="512">
        <v>183</v>
      </c>
      <c r="O145" s="512">
        <v>183</v>
      </c>
      <c r="P145" s="512">
        <v>183</v>
      </c>
      <c r="Q145" s="512">
        <v>183</v>
      </c>
      <c r="R145" s="512">
        <v>183</v>
      </c>
      <c r="S145" s="512">
        <v>183</v>
      </c>
      <c r="T145" s="512">
        <v>183</v>
      </c>
      <c r="U145" s="512">
        <v>183</v>
      </c>
      <c r="V145" s="512">
        <v>183</v>
      </c>
      <c r="W145" s="557">
        <v>183</v>
      </c>
      <c r="X145" s="512">
        <v>183</v>
      </c>
      <c r="Y145" s="512">
        <v>183</v>
      </c>
      <c r="Z145" s="512">
        <v>183</v>
      </c>
      <c r="AA145" s="512">
        <v>183</v>
      </c>
      <c r="AB145" s="512">
        <v>183</v>
      </c>
      <c r="AC145" s="512">
        <v>183</v>
      </c>
      <c r="AD145" s="512">
        <v>183</v>
      </c>
      <c r="AE145" s="512">
        <v>183</v>
      </c>
      <c r="AF145" s="512">
        <v>183</v>
      </c>
      <c r="AG145" s="565">
        <v>183</v>
      </c>
      <c r="AH145" s="565">
        <v>183</v>
      </c>
      <c r="AI145" s="512">
        <v>183</v>
      </c>
      <c r="AJ145" s="512">
        <v>183</v>
      </c>
      <c r="AK145" s="512">
        <v>183</v>
      </c>
      <c r="AL145" s="512">
        <v>183</v>
      </c>
      <c r="AM145" s="512">
        <v>183</v>
      </c>
      <c r="AN145" s="512">
        <v>183</v>
      </c>
      <c r="AO145" s="512">
        <v>183</v>
      </c>
      <c r="AP145" s="512">
        <v>183</v>
      </c>
      <c r="AQ145" s="512">
        <v>183</v>
      </c>
      <c r="AR145" s="512">
        <v>183</v>
      </c>
      <c r="AS145" s="512">
        <v>183</v>
      </c>
      <c r="AT145" s="512">
        <v>183</v>
      </c>
      <c r="AU145" s="512">
        <v>183</v>
      </c>
      <c r="AV145" s="512">
        <v>183</v>
      </c>
      <c r="AW145" s="512">
        <v>183</v>
      </c>
      <c r="AX145" s="512">
        <v>183</v>
      </c>
      <c r="AY145" s="512">
        <v>183</v>
      </c>
      <c r="AZ145" s="512">
        <v>183</v>
      </c>
      <c r="BA145" s="512">
        <v>183</v>
      </c>
      <c r="BB145" s="512">
        <v>183</v>
      </c>
      <c r="BC145" s="512">
        <v>183</v>
      </c>
      <c r="BD145" s="512">
        <v>183</v>
      </c>
      <c r="BE145" s="512">
        <v>183</v>
      </c>
      <c r="BF145" s="512">
        <v>183</v>
      </c>
      <c r="BG145" s="495">
        <f t="shared" si="19"/>
        <v>9882</v>
      </c>
      <c r="BH145" s="1077"/>
      <c r="BI145" s="496">
        <f t="shared" si="18"/>
        <v>54</v>
      </c>
    </row>
    <row r="146" spans="1:61" ht="307.89999999999998" customHeight="1" thickTop="1" thickBot="1" x14ac:dyDescent="1.3">
      <c r="A146" s="540"/>
      <c r="B146" s="1048" t="s">
        <v>162</v>
      </c>
      <c r="C146" s="1048"/>
      <c r="D146" s="1048"/>
      <c r="E146" s="1048"/>
      <c r="F146" s="543"/>
      <c r="G146" s="543"/>
      <c r="H146" s="543"/>
      <c r="I146" s="543"/>
      <c r="J146" s="543"/>
      <c r="K146" s="543"/>
      <c r="L146" s="543"/>
      <c r="M146" s="543"/>
      <c r="N146" s="543"/>
      <c r="O146" s="543"/>
      <c r="P146" s="543"/>
      <c r="Q146" s="543"/>
      <c r="R146" s="543"/>
      <c r="S146" s="1059" t="s">
        <v>150</v>
      </c>
      <c r="T146" s="1059"/>
      <c r="U146" s="543"/>
      <c r="V146" s="543"/>
      <c r="W146" s="543"/>
      <c r="X146" s="543"/>
      <c r="Y146" s="543"/>
      <c r="Z146" s="543"/>
      <c r="AA146" s="543"/>
      <c r="AB146" s="543"/>
      <c r="AC146" s="543"/>
      <c r="AD146" s="543"/>
      <c r="AE146" s="543"/>
      <c r="AF146" s="543"/>
      <c r="AG146" s="543"/>
      <c r="AH146" s="543"/>
      <c r="AI146" s="543"/>
      <c r="AJ146" s="543"/>
      <c r="AK146" s="1059" t="s">
        <v>162</v>
      </c>
      <c r="AL146" s="1059"/>
      <c r="AM146" s="543"/>
      <c r="AN146" s="543"/>
      <c r="AO146" s="543"/>
      <c r="AP146" s="543"/>
      <c r="AQ146" s="543"/>
      <c r="AR146" s="543"/>
      <c r="AS146" s="543"/>
      <c r="AT146" s="543"/>
      <c r="AU146" s="543"/>
      <c r="AV146" s="543"/>
      <c r="AW146" s="543"/>
      <c r="AX146" s="543"/>
      <c r="AY146" s="543"/>
      <c r="AZ146" s="543"/>
      <c r="BA146" s="543"/>
      <c r="BB146" s="543"/>
      <c r="BC146" s="543"/>
      <c r="BD146" s="543"/>
      <c r="BE146" s="543"/>
      <c r="BF146" s="1059" t="s">
        <v>150</v>
      </c>
      <c r="BG146" s="1059"/>
      <c r="BH146" s="544"/>
      <c r="BI146" s="530"/>
    </row>
    <row r="147" spans="1:61" ht="235.15" customHeight="1" thickTop="1" thickBot="1" x14ac:dyDescent="1.3">
      <c r="A147" s="1078" t="s">
        <v>125</v>
      </c>
      <c r="B147" s="1079"/>
      <c r="C147" s="1079"/>
      <c r="D147" s="1079"/>
      <c r="E147" s="484">
        <v>300</v>
      </c>
      <c r="F147" s="484">
        <v>301</v>
      </c>
      <c r="G147" s="484">
        <v>302</v>
      </c>
      <c r="H147" s="484">
        <v>303</v>
      </c>
      <c r="I147" s="484">
        <v>304</v>
      </c>
      <c r="J147" s="484">
        <v>305</v>
      </c>
      <c r="K147" s="484">
        <v>306</v>
      </c>
      <c r="L147" s="484">
        <v>307</v>
      </c>
      <c r="M147" s="484">
        <v>308</v>
      </c>
      <c r="N147" s="484">
        <v>309</v>
      </c>
      <c r="O147" s="484">
        <v>310</v>
      </c>
      <c r="P147" s="484">
        <v>311</v>
      </c>
      <c r="Q147" s="484">
        <v>312</v>
      </c>
      <c r="R147" s="484">
        <v>313</v>
      </c>
      <c r="S147" s="484">
        <v>314</v>
      </c>
      <c r="T147" s="484">
        <v>315</v>
      </c>
      <c r="U147" s="484">
        <v>316</v>
      </c>
      <c r="V147" s="484">
        <v>317</v>
      </c>
      <c r="W147" s="484">
        <v>318</v>
      </c>
      <c r="X147" s="484">
        <v>319</v>
      </c>
      <c r="Y147" s="484">
        <v>320</v>
      </c>
      <c r="Z147" s="484">
        <v>321</v>
      </c>
      <c r="AA147" s="484">
        <v>322</v>
      </c>
      <c r="AB147" s="484">
        <v>323</v>
      </c>
      <c r="AC147" s="484">
        <v>324</v>
      </c>
      <c r="AD147" s="484">
        <v>325</v>
      </c>
      <c r="AE147" s="484">
        <v>326</v>
      </c>
      <c r="AF147" s="484">
        <v>327</v>
      </c>
      <c r="AG147" s="484">
        <v>328</v>
      </c>
      <c r="AH147" s="484">
        <v>329</v>
      </c>
      <c r="AI147" s="484">
        <v>330</v>
      </c>
      <c r="AJ147" s="484">
        <v>331</v>
      </c>
      <c r="AK147" s="484">
        <v>332</v>
      </c>
      <c r="AL147" s="484">
        <v>333</v>
      </c>
      <c r="AM147" s="484">
        <v>334</v>
      </c>
      <c r="AN147" s="484">
        <v>335</v>
      </c>
      <c r="AO147" s="484">
        <v>336</v>
      </c>
      <c r="AP147" s="484">
        <v>337</v>
      </c>
      <c r="AQ147" s="484">
        <v>338</v>
      </c>
      <c r="AR147" s="484">
        <v>339</v>
      </c>
      <c r="AS147" s="484">
        <v>340</v>
      </c>
      <c r="AT147" s="484">
        <v>341</v>
      </c>
      <c r="AU147" s="484">
        <v>342</v>
      </c>
      <c r="AV147" s="484">
        <v>343</v>
      </c>
      <c r="AW147" s="484">
        <v>344</v>
      </c>
      <c r="AX147" s="484">
        <v>345</v>
      </c>
      <c r="AY147" s="484">
        <v>346</v>
      </c>
      <c r="AZ147" s="484">
        <v>347</v>
      </c>
      <c r="BA147" s="484">
        <v>348</v>
      </c>
      <c r="BB147" s="484">
        <v>349</v>
      </c>
      <c r="BC147" s="484">
        <v>350</v>
      </c>
      <c r="BD147" s="484">
        <v>351</v>
      </c>
      <c r="BE147" s="484">
        <v>352</v>
      </c>
      <c r="BF147" s="484">
        <v>353</v>
      </c>
      <c r="BG147" s="528"/>
      <c r="BH147" s="528"/>
      <c r="BI147" s="496">
        <f t="shared" si="18"/>
        <v>0</v>
      </c>
    </row>
    <row r="148" spans="1:61" s="511" customFormat="1" ht="199.9" customHeight="1" thickTop="1" thickBot="1" x14ac:dyDescent="1.3">
      <c r="A148" s="1063" t="s">
        <v>757</v>
      </c>
      <c r="B148" s="499" t="s">
        <v>420</v>
      </c>
      <c r="C148" s="1053" t="s">
        <v>127</v>
      </c>
      <c r="D148" s="1053"/>
      <c r="E148" s="508">
        <v>5195</v>
      </c>
      <c r="F148" s="508">
        <v>5195</v>
      </c>
      <c r="G148" s="508">
        <v>5195</v>
      </c>
      <c r="H148" s="508">
        <v>5195</v>
      </c>
      <c r="I148" s="508">
        <v>5195</v>
      </c>
      <c r="J148" s="508">
        <v>5195</v>
      </c>
      <c r="K148" s="508">
        <v>5195</v>
      </c>
      <c r="L148" s="508">
        <v>5195</v>
      </c>
      <c r="M148" s="508">
        <v>5195</v>
      </c>
      <c r="N148" s="508">
        <v>5195</v>
      </c>
      <c r="O148" s="508">
        <v>5195</v>
      </c>
      <c r="P148" s="508">
        <v>5195</v>
      </c>
      <c r="Q148" s="508">
        <v>5195</v>
      </c>
      <c r="R148" s="508">
        <v>5195</v>
      </c>
      <c r="S148" s="508">
        <v>5195</v>
      </c>
      <c r="T148" s="508">
        <v>5195</v>
      </c>
      <c r="U148" s="508">
        <v>5195</v>
      </c>
      <c r="V148" s="508">
        <v>5195</v>
      </c>
      <c r="W148" s="508">
        <v>5195</v>
      </c>
      <c r="X148" s="508">
        <v>5195</v>
      </c>
      <c r="Y148" s="508">
        <v>5195</v>
      </c>
      <c r="Z148" s="508">
        <v>5195</v>
      </c>
      <c r="AA148" s="508">
        <v>5195</v>
      </c>
      <c r="AB148" s="508">
        <v>5195</v>
      </c>
      <c r="AC148" s="508">
        <v>5195</v>
      </c>
      <c r="AD148" s="508">
        <v>5195</v>
      </c>
      <c r="AE148" s="508">
        <v>5195</v>
      </c>
      <c r="AF148" s="508">
        <v>5195</v>
      </c>
      <c r="AG148" s="508">
        <v>5195</v>
      </c>
      <c r="AH148" s="508">
        <v>5195</v>
      </c>
      <c r="AI148" s="508">
        <v>5195</v>
      </c>
      <c r="AJ148" s="508">
        <v>5195</v>
      </c>
      <c r="AK148" s="508">
        <v>5195</v>
      </c>
      <c r="AL148" s="508">
        <v>5195</v>
      </c>
      <c r="AM148" s="508">
        <v>5195</v>
      </c>
      <c r="AN148" s="508">
        <v>5195</v>
      </c>
      <c r="AO148" s="508">
        <v>5195</v>
      </c>
      <c r="AP148" s="508">
        <v>5195</v>
      </c>
      <c r="AQ148" s="508">
        <v>5195</v>
      </c>
      <c r="AR148" s="508">
        <v>5195</v>
      </c>
      <c r="AS148" s="508">
        <v>5195</v>
      </c>
      <c r="AT148" s="508">
        <v>5195</v>
      </c>
      <c r="AU148" s="508">
        <v>5195</v>
      </c>
      <c r="AV148" s="508">
        <v>5195</v>
      </c>
      <c r="AW148" s="508">
        <v>5195</v>
      </c>
      <c r="AX148" s="508">
        <v>5195</v>
      </c>
      <c r="AY148" s="508">
        <v>5195</v>
      </c>
      <c r="AZ148" s="508">
        <v>5195</v>
      </c>
      <c r="BA148" s="508">
        <v>5195</v>
      </c>
      <c r="BB148" s="508">
        <v>5195</v>
      </c>
      <c r="BC148" s="508">
        <v>5195</v>
      </c>
      <c r="BD148" s="508">
        <v>5195</v>
      </c>
      <c r="BE148" s="508">
        <v>5195</v>
      </c>
      <c r="BF148" s="508">
        <v>5195</v>
      </c>
      <c r="BG148" s="490">
        <f t="shared" ref="BG148:BG154" si="20">SUM(E148:BF148)</f>
        <v>280530</v>
      </c>
      <c r="BH148" s="1056">
        <f>SUM(BG149:BG154)</f>
        <v>10490.103999999999</v>
      </c>
      <c r="BI148" s="491">
        <f>BG148/BF148</f>
        <v>54</v>
      </c>
    </row>
    <row r="149" spans="1:61" ht="199.9" customHeight="1" thickTop="1" thickBot="1" x14ac:dyDescent="1.3">
      <c r="A149" s="1063"/>
      <c r="B149" s="502" t="s">
        <v>341</v>
      </c>
      <c r="C149" s="1052" t="s">
        <v>128</v>
      </c>
      <c r="D149" s="1052"/>
      <c r="E149" s="512"/>
      <c r="F149" s="512"/>
      <c r="G149" s="512"/>
      <c r="H149" s="512"/>
      <c r="I149" s="557"/>
      <c r="J149" s="557"/>
      <c r="K149" s="557"/>
      <c r="L149" s="557"/>
      <c r="M149" s="565"/>
      <c r="N149" s="571"/>
      <c r="O149" s="571"/>
      <c r="P149" s="571"/>
      <c r="Q149" s="571"/>
      <c r="R149" s="571"/>
      <c r="S149" s="571">
        <v>866.98199999999997</v>
      </c>
      <c r="T149" s="571">
        <v>866.98199999999997</v>
      </c>
      <c r="U149" s="571"/>
      <c r="V149" s="571"/>
      <c r="W149" s="571"/>
      <c r="X149" s="571"/>
      <c r="Y149" s="571"/>
      <c r="Z149" s="571"/>
      <c r="AA149" s="512"/>
      <c r="AB149" s="512"/>
      <c r="AC149" s="512"/>
      <c r="AD149" s="512"/>
      <c r="AE149" s="512"/>
      <c r="AF149" s="512"/>
      <c r="AG149" s="512"/>
      <c r="AH149" s="512"/>
      <c r="AI149" s="512"/>
      <c r="AJ149" s="512"/>
      <c r="AK149" s="512"/>
      <c r="AL149" s="512"/>
      <c r="AM149" s="512"/>
      <c r="AN149" s="512"/>
      <c r="AO149" s="512"/>
      <c r="AP149" s="512"/>
      <c r="AQ149" s="512"/>
      <c r="AR149" s="512"/>
      <c r="AS149" s="512"/>
      <c r="AT149" s="512"/>
      <c r="AU149" s="512"/>
      <c r="AV149" s="512"/>
      <c r="AW149" s="512"/>
      <c r="AX149" s="512"/>
      <c r="AY149" s="512"/>
      <c r="AZ149" s="512"/>
      <c r="BA149" s="512"/>
      <c r="BB149" s="512"/>
      <c r="BC149" s="512"/>
      <c r="BD149" s="512"/>
      <c r="BE149" s="512"/>
      <c r="BF149" s="512"/>
      <c r="BG149" s="495">
        <f t="shared" si="20"/>
        <v>1733.9639999999999</v>
      </c>
      <c r="BH149" s="1056"/>
      <c r="BI149" s="496">
        <f>BG149/BF156</f>
        <v>2</v>
      </c>
    </row>
    <row r="150" spans="1:61" ht="199.9" customHeight="1" thickTop="1" thickBot="1" x14ac:dyDescent="1.3">
      <c r="A150" s="1063"/>
      <c r="B150" s="502" t="s">
        <v>342</v>
      </c>
      <c r="C150" s="1052" t="s">
        <v>128</v>
      </c>
      <c r="D150" s="1052"/>
      <c r="E150" s="512"/>
      <c r="F150" s="512"/>
      <c r="G150" s="512"/>
      <c r="H150" s="512"/>
      <c r="I150" s="557"/>
      <c r="J150" s="557"/>
      <c r="K150" s="557"/>
      <c r="L150" s="557"/>
      <c r="M150" s="565"/>
      <c r="N150" s="571"/>
      <c r="O150" s="571"/>
      <c r="P150" s="571"/>
      <c r="Q150" s="571"/>
      <c r="R150" s="571"/>
      <c r="S150" s="571">
        <v>880.18739999999991</v>
      </c>
      <c r="T150" s="571">
        <v>880.18739999999991</v>
      </c>
      <c r="U150" s="571"/>
      <c r="V150" s="571"/>
      <c r="W150" s="571"/>
      <c r="X150" s="571"/>
      <c r="Y150" s="571"/>
      <c r="Z150" s="571"/>
      <c r="AA150" s="512"/>
      <c r="AB150" s="512"/>
      <c r="AC150" s="512"/>
      <c r="AD150" s="512"/>
      <c r="AE150" s="512"/>
      <c r="AF150" s="512"/>
      <c r="AG150" s="512"/>
      <c r="AH150" s="512"/>
      <c r="AI150" s="512"/>
      <c r="AJ150" s="512"/>
      <c r="AK150" s="512"/>
      <c r="AL150" s="512"/>
      <c r="AM150" s="512"/>
      <c r="AN150" s="512"/>
      <c r="AO150" s="512"/>
      <c r="AP150" s="512"/>
      <c r="AQ150" s="512"/>
      <c r="AR150" s="512"/>
      <c r="AS150" s="512"/>
      <c r="AT150" s="512"/>
      <c r="AU150" s="512"/>
      <c r="AV150" s="512"/>
      <c r="AW150" s="512"/>
      <c r="AX150" s="512"/>
      <c r="AY150" s="512"/>
      <c r="AZ150" s="512"/>
      <c r="BA150" s="512"/>
      <c r="BB150" s="512"/>
      <c r="BC150" s="512"/>
      <c r="BD150" s="512"/>
      <c r="BE150" s="512"/>
      <c r="BF150" s="512"/>
      <c r="BG150" s="495">
        <f t="shared" si="20"/>
        <v>1760.3747999999998</v>
      </c>
      <c r="BH150" s="1056"/>
      <c r="BI150" s="496">
        <f t="shared" ref="BI150:BI154" si="21">BG150/BF157</f>
        <v>2</v>
      </c>
    </row>
    <row r="151" spans="1:61" ht="199.9" customHeight="1" thickTop="1" thickBot="1" x14ac:dyDescent="1.3">
      <c r="A151" s="1063"/>
      <c r="B151" s="502" t="s">
        <v>343</v>
      </c>
      <c r="C151" s="1052" t="s">
        <v>128</v>
      </c>
      <c r="D151" s="1052"/>
      <c r="E151" s="512"/>
      <c r="F151" s="512"/>
      <c r="G151" s="512"/>
      <c r="H151" s="512"/>
      <c r="I151" s="557"/>
      <c r="J151" s="557"/>
      <c r="K151" s="557"/>
      <c r="L151" s="557"/>
      <c r="M151" s="565"/>
      <c r="N151" s="571"/>
      <c r="O151" s="571"/>
      <c r="P151" s="571"/>
      <c r="Q151" s="571"/>
      <c r="R151" s="571"/>
      <c r="S151" s="571">
        <v>880.18739999999991</v>
      </c>
      <c r="T151" s="571">
        <v>880.18739999999991</v>
      </c>
      <c r="U151" s="571"/>
      <c r="V151" s="571"/>
      <c r="W151" s="571"/>
      <c r="X151" s="571"/>
      <c r="Y151" s="571"/>
      <c r="Z151" s="571"/>
      <c r="AA151" s="512"/>
      <c r="AB151" s="512"/>
      <c r="AC151" s="512"/>
      <c r="AD151" s="512"/>
      <c r="AE151" s="512"/>
      <c r="AF151" s="512"/>
      <c r="AG151" s="512"/>
      <c r="AH151" s="512"/>
      <c r="AI151" s="512"/>
      <c r="AJ151" s="512"/>
      <c r="AK151" s="512"/>
      <c r="AL151" s="512"/>
      <c r="AM151" s="512"/>
      <c r="AN151" s="512"/>
      <c r="AO151" s="512"/>
      <c r="AP151" s="512"/>
      <c r="AQ151" s="512"/>
      <c r="AR151" s="512"/>
      <c r="AS151" s="512"/>
      <c r="AT151" s="512"/>
      <c r="AU151" s="512"/>
      <c r="AV151" s="512"/>
      <c r="AW151" s="512"/>
      <c r="AX151" s="512"/>
      <c r="AY151" s="512"/>
      <c r="AZ151" s="512"/>
      <c r="BA151" s="512"/>
      <c r="BB151" s="512"/>
      <c r="BC151" s="512"/>
      <c r="BD151" s="512"/>
      <c r="BE151" s="512"/>
      <c r="BF151" s="512"/>
      <c r="BG151" s="495">
        <f t="shared" si="20"/>
        <v>1760.3747999999998</v>
      </c>
      <c r="BH151" s="1056"/>
      <c r="BI151" s="496">
        <f t="shared" si="21"/>
        <v>2</v>
      </c>
    </row>
    <row r="152" spans="1:61" ht="199.9" customHeight="1" thickTop="1" thickBot="1" x14ac:dyDescent="1.3">
      <c r="A152" s="1063"/>
      <c r="B152" s="502" t="s">
        <v>344</v>
      </c>
      <c r="C152" s="1052" t="s">
        <v>128</v>
      </c>
      <c r="D152" s="1052"/>
      <c r="E152" s="512"/>
      <c r="F152" s="512"/>
      <c r="G152" s="512"/>
      <c r="H152" s="512"/>
      <c r="I152" s="557"/>
      <c r="J152" s="557"/>
      <c r="K152" s="557"/>
      <c r="L152" s="557"/>
      <c r="M152" s="565"/>
      <c r="N152" s="571"/>
      <c r="O152" s="571"/>
      <c r="P152" s="571"/>
      <c r="Q152" s="571"/>
      <c r="R152" s="571"/>
      <c r="S152" s="571">
        <v>880.42739999999992</v>
      </c>
      <c r="T152" s="571">
        <v>880.42739999999992</v>
      </c>
      <c r="U152" s="571"/>
      <c r="V152" s="571"/>
      <c r="W152" s="571"/>
      <c r="X152" s="571"/>
      <c r="Y152" s="571"/>
      <c r="Z152" s="571"/>
      <c r="AA152" s="512"/>
      <c r="AB152" s="512"/>
      <c r="AC152" s="512"/>
      <c r="AD152" s="512"/>
      <c r="AE152" s="512"/>
      <c r="AF152" s="512"/>
      <c r="AG152" s="512"/>
      <c r="AH152" s="518"/>
      <c r="AI152" s="512"/>
      <c r="AJ152" s="512"/>
      <c r="AK152" s="512"/>
      <c r="AL152" s="512"/>
      <c r="AM152" s="512"/>
      <c r="AN152" s="512"/>
      <c r="AO152" s="512"/>
      <c r="AP152" s="512"/>
      <c r="AQ152" s="512"/>
      <c r="AR152" s="512"/>
      <c r="AS152" s="512"/>
      <c r="AT152" s="512"/>
      <c r="AU152" s="512"/>
      <c r="AV152" s="512"/>
      <c r="AW152" s="512"/>
      <c r="AX152" s="512"/>
      <c r="AY152" s="512"/>
      <c r="AZ152" s="512"/>
      <c r="BA152" s="512"/>
      <c r="BB152" s="512"/>
      <c r="BC152" s="512"/>
      <c r="BD152" s="512"/>
      <c r="BE152" s="512"/>
      <c r="BF152" s="512"/>
      <c r="BG152" s="495">
        <f t="shared" si="20"/>
        <v>1760.8547999999998</v>
      </c>
      <c r="BH152" s="1056"/>
      <c r="BI152" s="496">
        <f t="shared" si="21"/>
        <v>2</v>
      </c>
    </row>
    <row r="153" spans="1:61" ht="193.9" customHeight="1" thickTop="1" thickBot="1" x14ac:dyDescent="1.3">
      <c r="A153" s="1063"/>
      <c r="B153" s="502" t="s">
        <v>345</v>
      </c>
      <c r="C153" s="1052" t="s">
        <v>128</v>
      </c>
      <c r="D153" s="1052"/>
      <c r="E153" s="512"/>
      <c r="F153" s="512"/>
      <c r="G153" s="512"/>
      <c r="H153" s="512"/>
      <c r="I153" s="557"/>
      <c r="J153" s="557"/>
      <c r="K153" s="557"/>
      <c r="L153" s="557"/>
      <c r="M153" s="565"/>
      <c r="N153" s="571"/>
      <c r="O153" s="571"/>
      <c r="P153" s="571"/>
      <c r="Q153" s="571"/>
      <c r="R153" s="571"/>
      <c r="S153" s="571">
        <v>880.42739999999992</v>
      </c>
      <c r="T153" s="571">
        <v>880.42739999999992</v>
      </c>
      <c r="U153" s="571"/>
      <c r="V153" s="571"/>
      <c r="W153" s="571"/>
      <c r="X153" s="571"/>
      <c r="Y153" s="571"/>
      <c r="Z153" s="571"/>
      <c r="AA153" s="512"/>
      <c r="AB153" s="512"/>
      <c r="AC153" s="512"/>
      <c r="AD153" s="512"/>
      <c r="AE153" s="512"/>
      <c r="AF153" s="512"/>
      <c r="AG153" s="512"/>
      <c r="AH153" s="512"/>
      <c r="AI153" s="512"/>
      <c r="AJ153" s="512"/>
      <c r="AK153" s="512"/>
      <c r="AL153" s="512"/>
      <c r="AM153" s="512"/>
      <c r="AN153" s="512"/>
      <c r="AO153" s="512"/>
      <c r="AP153" s="512"/>
      <c r="AQ153" s="512"/>
      <c r="AR153" s="512"/>
      <c r="AS153" s="512"/>
      <c r="AT153" s="512"/>
      <c r="AU153" s="512"/>
      <c r="AV153" s="512"/>
      <c r="AW153" s="512"/>
      <c r="AX153" s="512"/>
      <c r="AY153" s="512"/>
      <c r="AZ153" s="512"/>
      <c r="BA153" s="512"/>
      <c r="BB153" s="512"/>
      <c r="BC153" s="512"/>
      <c r="BD153" s="512"/>
      <c r="BE153" s="512"/>
      <c r="BF153" s="512"/>
      <c r="BG153" s="495">
        <f t="shared" si="20"/>
        <v>1760.8547999999998</v>
      </c>
      <c r="BH153" s="1056"/>
      <c r="BI153" s="496">
        <f t="shared" si="21"/>
        <v>2</v>
      </c>
    </row>
    <row r="154" spans="1:61" ht="283.89999999999998" customHeight="1" thickTop="1" thickBot="1" x14ac:dyDescent="1.3">
      <c r="A154" s="1063"/>
      <c r="B154" s="502" t="s">
        <v>346</v>
      </c>
      <c r="C154" s="1052" t="s">
        <v>128</v>
      </c>
      <c r="D154" s="1052"/>
      <c r="E154" s="512"/>
      <c r="F154" s="512"/>
      <c r="G154" s="512"/>
      <c r="H154" s="512"/>
      <c r="I154" s="557"/>
      <c r="J154" s="557"/>
      <c r="K154" s="557"/>
      <c r="L154" s="557"/>
      <c r="M154" s="565"/>
      <c r="N154" s="571"/>
      <c r="O154" s="571"/>
      <c r="P154" s="571"/>
      <c r="Q154" s="571"/>
      <c r="R154" s="571"/>
      <c r="S154" s="571">
        <v>856.84039999999982</v>
      </c>
      <c r="T154" s="571">
        <v>856.84039999999982</v>
      </c>
      <c r="U154" s="571"/>
      <c r="V154" s="571"/>
      <c r="W154" s="571"/>
      <c r="X154" s="571"/>
      <c r="Y154" s="571"/>
      <c r="Z154" s="571"/>
      <c r="AA154" s="512"/>
      <c r="AB154" s="512"/>
      <c r="AC154" s="512"/>
      <c r="AD154" s="512"/>
      <c r="AE154" s="512"/>
      <c r="AF154" s="512"/>
      <c r="AG154" s="512"/>
      <c r="AH154" s="518"/>
      <c r="AI154" s="512"/>
      <c r="AJ154" s="512"/>
      <c r="AK154" s="512"/>
      <c r="AL154" s="512"/>
      <c r="AM154" s="512"/>
      <c r="AN154" s="512"/>
      <c r="AO154" s="512"/>
      <c r="AP154" s="512"/>
      <c r="AQ154" s="512"/>
      <c r="AR154" s="512"/>
      <c r="AS154" s="512"/>
      <c r="AT154" s="512"/>
      <c r="AU154" s="512"/>
      <c r="AV154" s="512"/>
      <c r="AW154" s="512"/>
      <c r="AX154" s="512"/>
      <c r="AY154" s="512"/>
      <c r="AZ154" s="512"/>
      <c r="BA154" s="512"/>
      <c r="BB154" s="512"/>
      <c r="BC154" s="512"/>
      <c r="BD154" s="512"/>
      <c r="BE154" s="512"/>
      <c r="BF154" s="512"/>
      <c r="BG154" s="495">
        <f t="shared" si="20"/>
        <v>1713.6807999999996</v>
      </c>
      <c r="BH154" s="1056"/>
      <c r="BI154" s="496">
        <f t="shared" si="21"/>
        <v>2</v>
      </c>
    </row>
    <row r="155" spans="1:61" s="511" customFormat="1" ht="199.9" customHeight="1" thickTop="1" thickBot="1" x14ac:dyDescent="1.3">
      <c r="A155" s="1063" t="s">
        <v>758</v>
      </c>
      <c r="B155" s="499" t="s">
        <v>420</v>
      </c>
      <c r="C155" s="1053" t="s">
        <v>127</v>
      </c>
      <c r="D155" s="1053"/>
      <c r="E155" s="508">
        <v>5195</v>
      </c>
      <c r="F155" s="508">
        <v>5195</v>
      </c>
      <c r="G155" s="508">
        <v>5195</v>
      </c>
      <c r="H155" s="508">
        <v>5195</v>
      </c>
      <c r="I155" s="508">
        <v>5195</v>
      </c>
      <c r="J155" s="508">
        <v>5195</v>
      </c>
      <c r="K155" s="508">
        <v>5195</v>
      </c>
      <c r="L155" s="508">
        <v>5195</v>
      </c>
      <c r="M155" s="508">
        <v>5195</v>
      </c>
      <c r="N155" s="508">
        <v>5195</v>
      </c>
      <c r="O155" s="508">
        <v>5195</v>
      </c>
      <c r="P155" s="508">
        <v>5195</v>
      </c>
      <c r="Q155" s="508">
        <v>5195</v>
      </c>
      <c r="R155" s="508">
        <v>5195</v>
      </c>
      <c r="S155" s="508">
        <v>5195</v>
      </c>
      <c r="T155" s="508">
        <v>5195</v>
      </c>
      <c r="U155" s="508">
        <v>5195</v>
      </c>
      <c r="V155" s="508">
        <v>5195</v>
      </c>
      <c r="W155" s="508">
        <v>5195</v>
      </c>
      <c r="X155" s="508">
        <v>5195</v>
      </c>
      <c r="Y155" s="508">
        <v>5195</v>
      </c>
      <c r="Z155" s="508">
        <v>5195</v>
      </c>
      <c r="AA155" s="508">
        <v>5195</v>
      </c>
      <c r="AB155" s="508">
        <v>5195</v>
      </c>
      <c r="AC155" s="508">
        <v>5195</v>
      </c>
      <c r="AD155" s="508">
        <v>5195</v>
      </c>
      <c r="AE155" s="508">
        <v>5195</v>
      </c>
      <c r="AF155" s="508">
        <v>5195</v>
      </c>
      <c r="AG155" s="508">
        <v>5195</v>
      </c>
      <c r="AH155" s="508">
        <v>5195</v>
      </c>
      <c r="AI155" s="508">
        <v>5195</v>
      </c>
      <c r="AJ155" s="508">
        <v>5195</v>
      </c>
      <c r="AK155" s="508">
        <v>5195</v>
      </c>
      <c r="AL155" s="508">
        <v>5195</v>
      </c>
      <c r="AM155" s="508">
        <v>5195</v>
      </c>
      <c r="AN155" s="508">
        <v>5195</v>
      </c>
      <c r="AO155" s="508">
        <v>5195</v>
      </c>
      <c r="AP155" s="508">
        <v>5195</v>
      </c>
      <c r="AQ155" s="508">
        <v>5195</v>
      </c>
      <c r="AR155" s="508">
        <v>5195</v>
      </c>
      <c r="AS155" s="508">
        <v>5195</v>
      </c>
      <c r="AT155" s="508">
        <v>5195</v>
      </c>
      <c r="AU155" s="508">
        <v>5195</v>
      </c>
      <c r="AV155" s="508">
        <v>5195</v>
      </c>
      <c r="AW155" s="508">
        <v>5195</v>
      </c>
      <c r="AX155" s="508">
        <v>5195</v>
      </c>
      <c r="AY155" s="508">
        <v>5195</v>
      </c>
      <c r="AZ155" s="508">
        <v>5195</v>
      </c>
      <c r="BA155" s="508">
        <v>5195</v>
      </c>
      <c r="BB155" s="508">
        <v>5195</v>
      </c>
      <c r="BC155" s="508">
        <v>5195</v>
      </c>
      <c r="BD155" s="508">
        <v>5195</v>
      </c>
      <c r="BE155" s="508">
        <v>5195</v>
      </c>
      <c r="BF155" s="508">
        <v>5195</v>
      </c>
      <c r="BG155" s="490">
        <f t="shared" ref="BG155:BG160" si="22">SUM(E155:BF155)</f>
        <v>280530</v>
      </c>
      <c r="BH155" s="1056">
        <f>SUM(BG156:BG161)</f>
        <v>272742.70400000014</v>
      </c>
      <c r="BI155" s="491">
        <f t="shared" ref="BI155:BI161" si="23">BG155/BF155</f>
        <v>54</v>
      </c>
    </row>
    <row r="156" spans="1:61" ht="199.9" customHeight="1" thickTop="1" thickBot="1" x14ac:dyDescent="1.3">
      <c r="A156" s="1063"/>
      <c r="B156" s="502" t="s">
        <v>341</v>
      </c>
      <c r="C156" s="1052" t="s">
        <v>128</v>
      </c>
      <c r="D156" s="1052"/>
      <c r="E156" s="571">
        <v>866.98199999999997</v>
      </c>
      <c r="F156" s="571">
        <v>866.98199999999997</v>
      </c>
      <c r="G156" s="571">
        <v>866.98199999999997</v>
      </c>
      <c r="H156" s="571">
        <v>866.98199999999997</v>
      </c>
      <c r="I156" s="571">
        <v>866.98199999999997</v>
      </c>
      <c r="J156" s="571">
        <v>866.98199999999997</v>
      </c>
      <c r="K156" s="571">
        <v>866.98199999999997</v>
      </c>
      <c r="L156" s="565">
        <v>866.98199999999997</v>
      </c>
      <c r="M156" s="631">
        <v>866.98199999999997</v>
      </c>
      <c r="N156" s="631">
        <v>866.98199999999997</v>
      </c>
      <c r="O156" s="631">
        <v>866.98199999999997</v>
      </c>
      <c r="P156" s="734">
        <v>866.98199999999997</v>
      </c>
      <c r="Q156" s="734">
        <v>866.98199999999997</v>
      </c>
      <c r="R156" s="734">
        <v>866.98199999999997</v>
      </c>
      <c r="S156" s="631"/>
      <c r="T156" s="631"/>
      <c r="U156" s="755">
        <v>866.98199999999997</v>
      </c>
      <c r="V156" s="755">
        <v>866.98199999999997</v>
      </c>
      <c r="W156" s="755">
        <v>866.98199999999997</v>
      </c>
      <c r="X156" s="755">
        <v>866.98199999999997</v>
      </c>
      <c r="Y156" s="755">
        <v>866.98199999999997</v>
      </c>
      <c r="Z156" s="755">
        <v>866.98199999999997</v>
      </c>
      <c r="AA156" s="755">
        <v>866.98199999999997</v>
      </c>
      <c r="AB156" s="755">
        <v>866.98199999999997</v>
      </c>
      <c r="AC156" s="755">
        <v>866.98199999999997</v>
      </c>
      <c r="AD156" s="755">
        <v>866.98199999999997</v>
      </c>
      <c r="AE156" s="755">
        <v>866.98199999999997</v>
      </c>
      <c r="AF156" s="755">
        <v>866.98199999999997</v>
      </c>
      <c r="AG156" s="734">
        <v>866.98199999999997</v>
      </c>
      <c r="AH156" s="734">
        <v>866.98199999999997</v>
      </c>
      <c r="AI156" s="693">
        <v>866.98199999999997</v>
      </c>
      <c r="AJ156" s="571">
        <v>866.98199999999997</v>
      </c>
      <c r="AK156" s="571">
        <v>866.98199999999997</v>
      </c>
      <c r="AL156" s="571">
        <v>866.98199999999997</v>
      </c>
      <c r="AM156" s="571">
        <v>866.98199999999997</v>
      </c>
      <c r="AN156" s="571">
        <v>866.98199999999997</v>
      </c>
      <c r="AO156" s="571">
        <v>866.98199999999997</v>
      </c>
      <c r="AP156" s="571">
        <v>866.98199999999997</v>
      </c>
      <c r="AQ156" s="571">
        <v>866.98199999999997</v>
      </c>
      <c r="AR156" s="571">
        <v>866.98199999999997</v>
      </c>
      <c r="AS156" s="571">
        <v>866.98199999999997</v>
      </c>
      <c r="AT156" s="571">
        <v>866.98199999999997</v>
      </c>
      <c r="AU156" s="571">
        <v>866.98199999999997</v>
      </c>
      <c r="AV156" s="571">
        <v>866.98199999999997</v>
      </c>
      <c r="AW156" s="571">
        <v>866.98199999999997</v>
      </c>
      <c r="AX156" s="571">
        <v>866.98199999999997</v>
      </c>
      <c r="AY156" s="571">
        <v>866.98199999999997</v>
      </c>
      <c r="AZ156" s="571">
        <v>866.98199999999997</v>
      </c>
      <c r="BA156" s="571">
        <v>866.98199999999997</v>
      </c>
      <c r="BB156" s="571">
        <v>866.98199999999997</v>
      </c>
      <c r="BC156" s="571">
        <v>866.98199999999997</v>
      </c>
      <c r="BD156" s="571">
        <v>866.98199999999997</v>
      </c>
      <c r="BE156" s="571">
        <v>866.98199999999997</v>
      </c>
      <c r="BF156" s="512">
        <v>866.98199999999997</v>
      </c>
      <c r="BG156" s="495">
        <f>SUM(E156:BF156)</f>
        <v>45083.064000000042</v>
      </c>
      <c r="BH156" s="1056"/>
      <c r="BI156" s="496">
        <f>BG156/BF156</f>
        <v>52.00000000000005</v>
      </c>
    </row>
    <row r="157" spans="1:61" ht="199.9" customHeight="1" thickTop="1" thickBot="1" x14ac:dyDescent="1.3">
      <c r="A157" s="1063"/>
      <c r="B157" s="502" t="s">
        <v>342</v>
      </c>
      <c r="C157" s="1052" t="s">
        <v>128</v>
      </c>
      <c r="D157" s="1052"/>
      <c r="E157" s="571">
        <v>880.18739999999991</v>
      </c>
      <c r="F157" s="571">
        <v>880.18739999999991</v>
      </c>
      <c r="G157" s="571">
        <v>880.18739999999991</v>
      </c>
      <c r="H157" s="571">
        <v>880.18739999999991</v>
      </c>
      <c r="I157" s="571">
        <v>880.18739999999991</v>
      </c>
      <c r="J157" s="571">
        <v>880.18739999999991</v>
      </c>
      <c r="K157" s="571">
        <v>880.18739999999991</v>
      </c>
      <c r="L157" s="565">
        <v>880.18739999999991</v>
      </c>
      <c r="M157" s="631">
        <v>880.18739999999991</v>
      </c>
      <c r="N157" s="631">
        <v>880.18739999999991</v>
      </c>
      <c r="O157" s="631">
        <v>880.18739999999991</v>
      </c>
      <c r="P157" s="734">
        <v>880.18739999999991</v>
      </c>
      <c r="Q157" s="734">
        <v>880.18739999999991</v>
      </c>
      <c r="R157" s="734">
        <v>880.18739999999991</v>
      </c>
      <c r="S157" s="631"/>
      <c r="T157" s="631"/>
      <c r="U157" s="755">
        <v>880.18739999999991</v>
      </c>
      <c r="V157" s="755">
        <v>880.18739999999991</v>
      </c>
      <c r="W157" s="755">
        <v>880.18739999999991</v>
      </c>
      <c r="X157" s="755">
        <v>880.18739999999991</v>
      </c>
      <c r="Y157" s="755">
        <v>880.18739999999991</v>
      </c>
      <c r="Z157" s="755">
        <v>880.18739999999991</v>
      </c>
      <c r="AA157" s="755">
        <v>880.18739999999991</v>
      </c>
      <c r="AB157" s="755">
        <v>880.18739999999991</v>
      </c>
      <c r="AC157" s="755">
        <v>880.18739999999991</v>
      </c>
      <c r="AD157" s="755">
        <v>880.18739999999991</v>
      </c>
      <c r="AE157" s="755">
        <v>880.18739999999991</v>
      </c>
      <c r="AF157" s="755">
        <v>880.18739999999991</v>
      </c>
      <c r="AG157" s="734">
        <v>880.18739999999991</v>
      </c>
      <c r="AH157" s="734">
        <v>880.18739999999991</v>
      </c>
      <c r="AI157" s="693">
        <v>880.18739999999991</v>
      </c>
      <c r="AJ157" s="571">
        <v>880.18739999999991</v>
      </c>
      <c r="AK157" s="571">
        <v>880.18739999999991</v>
      </c>
      <c r="AL157" s="571">
        <v>880.18739999999991</v>
      </c>
      <c r="AM157" s="571">
        <v>880.18739999999991</v>
      </c>
      <c r="AN157" s="571">
        <v>880.18739999999991</v>
      </c>
      <c r="AO157" s="571">
        <v>880.18739999999991</v>
      </c>
      <c r="AP157" s="571">
        <v>880.18739999999991</v>
      </c>
      <c r="AQ157" s="571">
        <v>880.18739999999991</v>
      </c>
      <c r="AR157" s="571">
        <v>880.18739999999991</v>
      </c>
      <c r="AS157" s="571">
        <v>880.18739999999991</v>
      </c>
      <c r="AT157" s="571">
        <v>880.18739999999991</v>
      </c>
      <c r="AU157" s="571">
        <v>880.18739999999991</v>
      </c>
      <c r="AV157" s="571">
        <v>880.18739999999991</v>
      </c>
      <c r="AW157" s="571">
        <v>880.18739999999991</v>
      </c>
      <c r="AX157" s="571">
        <v>880.18739999999991</v>
      </c>
      <c r="AY157" s="571">
        <v>880.18739999999991</v>
      </c>
      <c r="AZ157" s="571">
        <v>880.18739999999991</v>
      </c>
      <c r="BA157" s="571">
        <v>880.18739999999991</v>
      </c>
      <c r="BB157" s="571">
        <v>880.18739999999991</v>
      </c>
      <c r="BC157" s="571">
        <v>880.18739999999991</v>
      </c>
      <c r="BD157" s="571">
        <v>880.18739999999991</v>
      </c>
      <c r="BE157" s="571">
        <v>880.18739999999991</v>
      </c>
      <c r="BF157" s="512">
        <v>880.18739999999991</v>
      </c>
      <c r="BG157" s="495">
        <f t="shared" si="22"/>
        <v>45769.744800000022</v>
      </c>
      <c r="BH157" s="1056"/>
      <c r="BI157" s="496">
        <f t="shared" si="23"/>
        <v>52.000000000000028</v>
      </c>
    </row>
    <row r="158" spans="1:61" ht="199.9" customHeight="1" thickTop="1" thickBot="1" x14ac:dyDescent="1.3">
      <c r="A158" s="1063"/>
      <c r="B158" s="502" t="s">
        <v>343</v>
      </c>
      <c r="C158" s="1052" t="s">
        <v>128</v>
      </c>
      <c r="D158" s="1052"/>
      <c r="E158" s="571">
        <v>880.18739999999991</v>
      </c>
      <c r="F158" s="571">
        <v>880.18739999999991</v>
      </c>
      <c r="G158" s="571">
        <v>880.18739999999991</v>
      </c>
      <c r="H158" s="571">
        <v>880.18739999999991</v>
      </c>
      <c r="I158" s="571">
        <v>880.18739999999991</v>
      </c>
      <c r="J158" s="571">
        <v>880.18739999999991</v>
      </c>
      <c r="K158" s="571">
        <v>880.18739999999991</v>
      </c>
      <c r="L158" s="565">
        <v>880.18739999999991</v>
      </c>
      <c r="M158" s="631">
        <v>880.18739999999991</v>
      </c>
      <c r="N158" s="631">
        <v>880.18739999999991</v>
      </c>
      <c r="O158" s="631">
        <v>880.18739999999991</v>
      </c>
      <c r="P158" s="734">
        <v>880.18739999999991</v>
      </c>
      <c r="Q158" s="734">
        <v>880.18739999999991</v>
      </c>
      <c r="R158" s="734">
        <v>880.18739999999991</v>
      </c>
      <c r="S158" s="631"/>
      <c r="T158" s="631"/>
      <c r="U158" s="755">
        <v>880.18739999999991</v>
      </c>
      <c r="V158" s="755">
        <v>880.18739999999991</v>
      </c>
      <c r="W158" s="755">
        <v>880.18739999999991</v>
      </c>
      <c r="X158" s="755">
        <v>880.18739999999991</v>
      </c>
      <c r="Y158" s="755">
        <v>880.18739999999991</v>
      </c>
      <c r="Z158" s="755">
        <v>880.18739999999991</v>
      </c>
      <c r="AA158" s="755">
        <v>880.18739999999991</v>
      </c>
      <c r="AB158" s="755">
        <v>880.18739999999991</v>
      </c>
      <c r="AC158" s="755">
        <v>880.18739999999991</v>
      </c>
      <c r="AD158" s="755">
        <v>880.18739999999991</v>
      </c>
      <c r="AE158" s="755">
        <v>880.18739999999991</v>
      </c>
      <c r="AF158" s="755">
        <v>880.18739999999991</v>
      </c>
      <c r="AG158" s="734">
        <v>880.18739999999991</v>
      </c>
      <c r="AH158" s="734">
        <v>880.18739999999991</v>
      </c>
      <c r="AI158" s="693">
        <v>880.18739999999991</v>
      </c>
      <c r="AJ158" s="571">
        <v>880.18739999999991</v>
      </c>
      <c r="AK158" s="571">
        <v>880.18739999999991</v>
      </c>
      <c r="AL158" s="571">
        <v>880.18739999999991</v>
      </c>
      <c r="AM158" s="571">
        <v>880.18739999999991</v>
      </c>
      <c r="AN158" s="571">
        <v>880.18739999999991</v>
      </c>
      <c r="AO158" s="571">
        <v>880.18739999999991</v>
      </c>
      <c r="AP158" s="571">
        <v>880.18739999999991</v>
      </c>
      <c r="AQ158" s="571">
        <v>880.18739999999991</v>
      </c>
      <c r="AR158" s="571">
        <v>880.18739999999991</v>
      </c>
      <c r="AS158" s="571">
        <v>880.18739999999991</v>
      </c>
      <c r="AT158" s="571">
        <v>880.18739999999991</v>
      </c>
      <c r="AU158" s="571">
        <v>880.18739999999991</v>
      </c>
      <c r="AV158" s="571">
        <v>880.18739999999991</v>
      </c>
      <c r="AW158" s="571">
        <v>880.18739999999991</v>
      </c>
      <c r="AX158" s="571">
        <v>880.18739999999991</v>
      </c>
      <c r="AY158" s="571">
        <v>880.18739999999991</v>
      </c>
      <c r="AZ158" s="571">
        <v>880.18739999999991</v>
      </c>
      <c r="BA158" s="571">
        <v>880.18739999999991</v>
      </c>
      <c r="BB158" s="571">
        <v>880.18739999999991</v>
      </c>
      <c r="BC158" s="571">
        <v>880.18739999999991</v>
      </c>
      <c r="BD158" s="571">
        <v>880.18739999999991</v>
      </c>
      <c r="BE158" s="571">
        <v>880.18739999999991</v>
      </c>
      <c r="BF158" s="512">
        <v>880.18739999999991</v>
      </c>
      <c r="BG158" s="495">
        <f t="shared" si="22"/>
        <v>45769.744800000022</v>
      </c>
      <c r="BH158" s="1056"/>
      <c r="BI158" s="496">
        <f>BG158/BF158</f>
        <v>52.000000000000028</v>
      </c>
    </row>
    <row r="159" spans="1:61" ht="199.9" customHeight="1" thickTop="1" thickBot="1" x14ac:dyDescent="1.3">
      <c r="A159" s="1063"/>
      <c r="B159" s="502" t="s">
        <v>344</v>
      </c>
      <c r="C159" s="1052" t="s">
        <v>128</v>
      </c>
      <c r="D159" s="1052"/>
      <c r="E159" s="571">
        <v>880.42739999999992</v>
      </c>
      <c r="F159" s="571">
        <v>880.42739999999992</v>
      </c>
      <c r="G159" s="571">
        <v>880.42739999999992</v>
      </c>
      <c r="H159" s="571">
        <v>880.42739999999992</v>
      </c>
      <c r="I159" s="571">
        <v>880.42739999999992</v>
      </c>
      <c r="J159" s="571">
        <v>880.42739999999992</v>
      </c>
      <c r="K159" s="571">
        <v>880.42739999999992</v>
      </c>
      <c r="L159" s="565">
        <v>880.42739999999992</v>
      </c>
      <c r="M159" s="631">
        <v>880.42739999999992</v>
      </c>
      <c r="N159" s="631">
        <v>880.42739999999992</v>
      </c>
      <c r="O159" s="631">
        <v>880.42739999999992</v>
      </c>
      <c r="P159" s="734">
        <v>880.42739999999992</v>
      </c>
      <c r="Q159" s="734">
        <v>880.42739999999992</v>
      </c>
      <c r="R159" s="734">
        <v>880.42739999999992</v>
      </c>
      <c r="S159" s="631"/>
      <c r="T159" s="631"/>
      <c r="U159" s="755">
        <v>880.42739999999992</v>
      </c>
      <c r="V159" s="755">
        <v>880.42739999999992</v>
      </c>
      <c r="W159" s="755">
        <v>880.42739999999992</v>
      </c>
      <c r="X159" s="755">
        <v>880.42739999999992</v>
      </c>
      <c r="Y159" s="755">
        <v>880.42739999999992</v>
      </c>
      <c r="Z159" s="755">
        <v>880.42739999999992</v>
      </c>
      <c r="AA159" s="755">
        <v>880.42739999999992</v>
      </c>
      <c r="AB159" s="755">
        <v>880.42739999999992</v>
      </c>
      <c r="AC159" s="755">
        <v>880.42739999999992</v>
      </c>
      <c r="AD159" s="755">
        <v>880.42739999999992</v>
      </c>
      <c r="AE159" s="755">
        <v>880.42739999999992</v>
      </c>
      <c r="AF159" s="755">
        <v>880.42739999999992</v>
      </c>
      <c r="AG159" s="734">
        <v>880.42739999999992</v>
      </c>
      <c r="AH159" s="734">
        <v>880.42739999999992</v>
      </c>
      <c r="AI159" s="693">
        <v>880.42739999999992</v>
      </c>
      <c r="AJ159" s="571">
        <v>880.42739999999992</v>
      </c>
      <c r="AK159" s="571">
        <v>880.42739999999992</v>
      </c>
      <c r="AL159" s="571">
        <v>880.42739999999992</v>
      </c>
      <c r="AM159" s="571">
        <v>880.42739999999992</v>
      </c>
      <c r="AN159" s="571">
        <v>880.42739999999992</v>
      </c>
      <c r="AO159" s="571">
        <v>880.42739999999992</v>
      </c>
      <c r="AP159" s="571">
        <v>880.42739999999992</v>
      </c>
      <c r="AQ159" s="571">
        <v>880.42739999999992</v>
      </c>
      <c r="AR159" s="571">
        <v>880.42739999999992</v>
      </c>
      <c r="AS159" s="571">
        <v>880.42739999999992</v>
      </c>
      <c r="AT159" s="571">
        <v>880.42739999999992</v>
      </c>
      <c r="AU159" s="571">
        <v>880.42739999999992</v>
      </c>
      <c r="AV159" s="571">
        <v>880.42739999999992</v>
      </c>
      <c r="AW159" s="571">
        <v>880.42739999999992</v>
      </c>
      <c r="AX159" s="571">
        <v>880.42739999999992</v>
      </c>
      <c r="AY159" s="571">
        <v>880.42739999999992</v>
      </c>
      <c r="AZ159" s="571">
        <v>880.42739999999992</v>
      </c>
      <c r="BA159" s="571">
        <v>880.42739999999992</v>
      </c>
      <c r="BB159" s="571">
        <v>880.42739999999992</v>
      </c>
      <c r="BC159" s="571">
        <v>880.42739999999992</v>
      </c>
      <c r="BD159" s="571">
        <v>880.42739999999992</v>
      </c>
      <c r="BE159" s="571">
        <v>880.42739999999992</v>
      </c>
      <c r="BF159" s="512">
        <v>880.42739999999992</v>
      </c>
      <c r="BG159" s="495">
        <f t="shared" si="22"/>
        <v>45782.224800000018</v>
      </c>
      <c r="BH159" s="1056"/>
      <c r="BI159" s="496">
        <f t="shared" si="23"/>
        <v>52.000000000000028</v>
      </c>
    </row>
    <row r="160" spans="1:61" ht="193.9" customHeight="1" thickTop="1" thickBot="1" x14ac:dyDescent="1.3">
      <c r="A160" s="1063"/>
      <c r="B160" s="502" t="s">
        <v>345</v>
      </c>
      <c r="C160" s="1052" t="s">
        <v>128</v>
      </c>
      <c r="D160" s="1052"/>
      <c r="E160" s="571">
        <v>880.42739999999992</v>
      </c>
      <c r="F160" s="571">
        <v>880.42739999999992</v>
      </c>
      <c r="G160" s="571">
        <v>880.42739999999992</v>
      </c>
      <c r="H160" s="571">
        <v>880.42739999999992</v>
      </c>
      <c r="I160" s="571">
        <v>880.42739999999992</v>
      </c>
      <c r="J160" s="571">
        <v>880.42739999999992</v>
      </c>
      <c r="K160" s="571">
        <v>880.42739999999992</v>
      </c>
      <c r="L160" s="565">
        <v>880.42739999999992</v>
      </c>
      <c r="M160" s="631">
        <v>880.42739999999992</v>
      </c>
      <c r="N160" s="631">
        <v>880.42739999999992</v>
      </c>
      <c r="O160" s="631">
        <v>880.42739999999992</v>
      </c>
      <c r="P160" s="734">
        <v>880.42739999999992</v>
      </c>
      <c r="Q160" s="734">
        <v>880.42739999999992</v>
      </c>
      <c r="R160" s="734">
        <v>880.42739999999992</v>
      </c>
      <c r="S160" s="631"/>
      <c r="T160" s="631"/>
      <c r="U160" s="755">
        <v>880.42739999999992</v>
      </c>
      <c r="V160" s="755">
        <v>880.42739999999992</v>
      </c>
      <c r="W160" s="755">
        <v>880.42739999999992</v>
      </c>
      <c r="X160" s="755">
        <v>880.42739999999992</v>
      </c>
      <c r="Y160" s="755">
        <v>880.42739999999992</v>
      </c>
      <c r="Z160" s="755">
        <v>880.42739999999992</v>
      </c>
      <c r="AA160" s="755">
        <v>880.42739999999992</v>
      </c>
      <c r="AB160" s="755">
        <v>880.42739999999992</v>
      </c>
      <c r="AC160" s="755">
        <v>880.42739999999992</v>
      </c>
      <c r="AD160" s="755">
        <v>880.42739999999992</v>
      </c>
      <c r="AE160" s="755">
        <v>880.42739999999992</v>
      </c>
      <c r="AF160" s="755">
        <v>880.42739999999992</v>
      </c>
      <c r="AG160" s="734">
        <v>880.42739999999992</v>
      </c>
      <c r="AH160" s="734">
        <v>880.42739999999992</v>
      </c>
      <c r="AI160" s="693">
        <v>880.42739999999992</v>
      </c>
      <c r="AJ160" s="571">
        <v>880.42739999999992</v>
      </c>
      <c r="AK160" s="571">
        <v>880.42739999999992</v>
      </c>
      <c r="AL160" s="571">
        <v>880.42739999999992</v>
      </c>
      <c r="AM160" s="571">
        <v>880.42739999999992</v>
      </c>
      <c r="AN160" s="571">
        <v>880.42739999999992</v>
      </c>
      <c r="AO160" s="571">
        <v>880.42739999999992</v>
      </c>
      <c r="AP160" s="571">
        <v>880.42739999999992</v>
      </c>
      <c r="AQ160" s="571">
        <v>880.42739999999992</v>
      </c>
      <c r="AR160" s="571">
        <v>880.42739999999992</v>
      </c>
      <c r="AS160" s="571">
        <v>880.42739999999992</v>
      </c>
      <c r="AT160" s="571">
        <v>880.42739999999992</v>
      </c>
      <c r="AU160" s="571">
        <v>880.42739999999992</v>
      </c>
      <c r="AV160" s="571">
        <v>880.42739999999992</v>
      </c>
      <c r="AW160" s="571">
        <v>880.42739999999992</v>
      </c>
      <c r="AX160" s="571">
        <v>880.42739999999992</v>
      </c>
      <c r="AY160" s="571">
        <v>880.42739999999992</v>
      </c>
      <c r="AZ160" s="571">
        <v>880.42739999999992</v>
      </c>
      <c r="BA160" s="571">
        <v>880.42739999999992</v>
      </c>
      <c r="BB160" s="571">
        <v>880.42739999999992</v>
      </c>
      <c r="BC160" s="571">
        <v>880.42739999999992</v>
      </c>
      <c r="BD160" s="571">
        <v>880.42739999999992</v>
      </c>
      <c r="BE160" s="571">
        <v>880.42739999999992</v>
      </c>
      <c r="BF160" s="512">
        <v>880.42739999999992</v>
      </c>
      <c r="BG160" s="495">
        <f t="shared" si="22"/>
        <v>45782.224800000018</v>
      </c>
      <c r="BH160" s="1056"/>
      <c r="BI160" s="496">
        <f t="shared" si="23"/>
        <v>52.000000000000028</v>
      </c>
    </row>
    <row r="161" spans="1:61" ht="283.89999999999998" customHeight="1" thickTop="1" thickBot="1" x14ac:dyDescent="1.3">
      <c r="A161" s="1063"/>
      <c r="B161" s="502" t="s">
        <v>346</v>
      </c>
      <c r="C161" s="1052" t="s">
        <v>128</v>
      </c>
      <c r="D161" s="1052"/>
      <c r="E161" s="571">
        <v>856.84039999999982</v>
      </c>
      <c r="F161" s="571">
        <v>856.84039999999982</v>
      </c>
      <c r="G161" s="571">
        <v>856.84039999999982</v>
      </c>
      <c r="H161" s="571">
        <v>856.84039999999982</v>
      </c>
      <c r="I161" s="571">
        <v>856.84039999999982</v>
      </c>
      <c r="J161" s="571">
        <v>856.84039999999982</v>
      </c>
      <c r="K161" s="571">
        <v>856.84039999999982</v>
      </c>
      <c r="L161" s="565">
        <v>856.84039999999982</v>
      </c>
      <c r="M161" s="631">
        <v>856.84039999999982</v>
      </c>
      <c r="N161" s="631">
        <v>856.84039999999982</v>
      </c>
      <c r="O161" s="631">
        <v>856.84039999999982</v>
      </c>
      <c r="P161" s="734">
        <v>856.84039999999982</v>
      </c>
      <c r="Q161" s="734">
        <v>856.84039999999982</v>
      </c>
      <c r="R161" s="734">
        <v>856.84039999999982</v>
      </c>
      <c r="S161" s="631"/>
      <c r="T161" s="631"/>
      <c r="U161" s="755">
        <v>856.84039999999982</v>
      </c>
      <c r="V161" s="755">
        <v>856.84039999999982</v>
      </c>
      <c r="W161" s="755">
        <v>856.84039999999982</v>
      </c>
      <c r="X161" s="755">
        <v>856.84039999999982</v>
      </c>
      <c r="Y161" s="755">
        <v>856.84039999999982</v>
      </c>
      <c r="Z161" s="755">
        <v>856.84039999999982</v>
      </c>
      <c r="AA161" s="755">
        <v>856.84039999999982</v>
      </c>
      <c r="AB161" s="755">
        <v>856.84039999999982</v>
      </c>
      <c r="AC161" s="755">
        <v>856.84039999999982</v>
      </c>
      <c r="AD161" s="755">
        <v>856.84039999999982</v>
      </c>
      <c r="AE161" s="755">
        <v>856.84039999999982</v>
      </c>
      <c r="AF161" s="755">
        <v>856.84039999999982</v>
      </c>
      <c r="AG161" s="734">
        <v>856.84039999999982</v>
      </c>
      <c r="AH161" s="734">
        <v>856.84039999999982</v>
      </c>
      <c r="AI161" s="693">
        <v>856.84039999999982</v>
      </c>
      <c r="AJ161" s="571">
        <v>856.84039999999982</v>
      </c>
      <c r="AK161" s="571">
        <v>856.84039999999982</v>
      </c>
      <c r="AL161" s="571">
        <v>856.84039999999982</v>
      </c>
      <c r="AM161" s="571">
        <v>856.84039999999982</v>
      </c>
      <c r="AN161" s="571">
        <v>856.84039999999982</v>
      </c>
      <c r="AO161" s="571">
        <v>856.84039999999982</v>
      </c>
      <c r="AP161" s="571">
        <v>856.84039999999982</v>
      </c>
      <c r="AQ161" s="571">
        <v>856.84039999999982</v>
      </c>
      <c r="AR161" s="571">
        <v>856.84039999999982</v>
      </c>
      <c r="AS161" s="571">
        <v>856.84039999999982</v>
      </c>
      <c r="AT161" s="571">
        <v>856.84039999999982</v>
      </c>
      <c r="AU161" s="571">
        <v>856.84039999999982</v>
      </c>
      <c r="AV161" s="571">
        <v>856.84039999999982</v>
      </c>
      <c r="AW161" s="571">
        <v>856.84039999999982</v>
      </c>
      <c r="AX161" s="571">
        <v>856.84039999999982</v>
      </c>
      <c r="AY161" s="571">
        <v>856.84039999999982</v>
      </c>
      <c r="AZ161" s="571">
        <v>856.84039999999982</v>
      </c>
      <c r="BA161" s="571">
        <v>856.84039999999982</v>
      </c>
      <c r="BB161" s="571">
        <v>856.84039999999982</v>
      </c>
      <c r="BC161" s="571">
        <v>856.84039999999982</v>
      </c>
      <c r="BD161" s="571">
        <v>856.84039999999982</v>
      </c>
      <c r="BE161" s="571">
        <v>856.84039999999982</v>
      </c>
      <c r="BF161" s="512">
        <v>856.84039999999982</v>
      </c>
      <c r="BG161" s="495">
        <f>SUM(E161:BF161)</f>
        <v>44555.700800000021</v>
      </c>
      <c r="BH161" s="1056"/>
      <c r="BI161" s="496">
        <f t="shared" si="23"/>
        <v>52.000000000000036</v>
      </c>
    </row>
    <row r="162" spans="1:61" s="511" customFormat="1" ht="199.9" customHeight="1" thickTop="1" thickBot="1" x14ac:dyDescent="1.3">
      <c r="A162" s="1063" t="s">
        <v>759</v>
      </c>
      <c r="B162" s="499" t="s">
        <v>421</v>
      </c>
      <c r="C162" s="1053" t="s">
        <v>127</v>
      </c>
      <c r="D162" s="1053"/>
      <c r="E162" s="508">
        <v>245</v>
      </c>
      <c r="F162" s="508">
        <v>245</v>
      </c>
      <c r="G162" s="508">
        <v>245</v>
      </c>
      <c r="H162" s="508">
        <v>245</v>
      </c>
      <c r="I162" s="508">
        <v>245</v>
      </c>
      <c r="J162" s="508">
        <v>245</v>
      </c>
      <c r="K162" s="508">
        <v>245</v>
      </c>
      <c r="L162" s="508">
        <v>245</v>
      </c>
      <c r="M162" s="508">
        <v>245</v>
      </c>
      <c r="N162" s="508">
        <v>245</v>
      </c>
      <c r="O162" s="508">
        <v>245</v>
      </c>
      <c r="P162" s="508">
        <v>245</v>
      </c>
      <c r="Q162" s="508">
        <v>245</v>
      </c>
      <c r="R162" s="508">
        <v>245</v>
      </c>
      <c r="S162" s="508">
        <v>245</v>
      </c>
      <c r="T162" s="508">
        <v>245</v>
      </c>
      <c r="U162" s="508">
        <v>245</v>
      </c>
      <c r="V162" s="508">
        <v>245</v>
      </c>
      <c r="W162" s="508">
        <v>245</v>
      </c>
      <c r="X162" s="508">
        <v>245</v>
      </c>
      <c r="Y162" s="508">
        <v>245</v>
      </c>
      <c r="Z162" s="508">
        <v>245</v>
      </c>
      <c r="AA162" s="508">
        <v>245</v>
      </c>
      <c r="AB162" s="508">
        <v>245</v>
      </c>
      <c r="AC162" s="508">
        <v>245</v>
      </c>
      <c r="AD162" s="508">
        <v>245</v>
      </c>
      <c r="AE162" s="508">
        <v>245</v>
      </c>
      <c r="AF162" s="508">
        <v>245</v>
      </c>
      <c r="AG162" s="508">
        <v>245</v>
      </c>
      <c r="AH162" s="508">
        <v>245</v>
      </c>
      <c r="AI162" s="508">
        <v>245</v>
      </c>
      <c r="AJ162" s="508">
        <v>245</v>
      </c>
      <c r="AK162" s="508">
        <v>245</v>
      </c>
      <c r="AL162" s="508">
        <v>245</v>
      </c>
      <c r="AM162" s="508">
        <v>245</v>
      </c>
      <c r="AN162" s="508">
        <v>245</v>
      </c>
      <c r="AO162" s="508">
        <v>245</v>
      </c>
      <c r="AP162" s="508">
        <v>245</v>
      </c>
      <c r="AQ162" s="508">
        <v>245</v>
      </c>
      <c r="AR162" s="508">
        <v>245</v>
      </c>
      <c r="AS162" s="508">
        <v>245</v>
      </c>
      <c r="AT162" s="508">
        <v>245</v>
      </c>
      <c r="AU162" s="508">
        <v>245</v>
      </c>
      <c r="AV162" s="508">
        <v>245</v>
      </c>
      <c r="AW162" s="508">
        <v>245</v>
      </c>
      <c r="AX162" s="508">
        <v>245</v>
      </c>
      <c r="AY162" s="508">
        <v>245</v>
      </c>
      <c r="AZ162" s="508">
        <v>245</v>
      </c>
      <c r="BA162" s="508">
        <v>245</v>
      </c>
      <c r="BB162" s="508">
        <v>245</v>
      </c>
      <c r="BC162" s="508">
        <v>245</v>
      </c>
      <c r="BD162" s="508">
        <v>245</v>
      </c>
      <c r="BE162" s="508">
        <v>245</v>
      </c>
      <c r="BF162" s="508">
        <v>245</v>
      </c>
      <c r="BG162" s="490">
        <f>SUM(E162:BF162)</f>
        <v>13230</v>
      </c>
      <c r="BH162" s="510" t="s">
        <v>161</v>
      </c>
      <c r="BI162" s="491">
        <f t="shared" si="18"/>
        <v>54</v>
      </c>
    </row>
    <row r="163" spans="1:61" ht="199.9" customHeight="1" thickTop="1" thickBot="1" x14ac:dyDescent="1.3">
      <c r="A163" s="1063"/>
      <c r="B163" s="502" t="s">
        <v>341</v>
      </c>
      <c r="C163" s="1052" t="s">
        <v>128</v>
      </c>
      <c r="D163" s="1052"/>
      <c r="E163" s="565"/>
      <c r="F163" s="565"/>
      <c r="G163" s="565"/>
      <c r="H163" s="565"/>
      <c r="I163" s="512"/>
      <c r="J163" s="512"/>
      <c r="K163" s="512"/>
      <c r="L163" s="512"/>
      <c r="M163" s="565"/>
      <c r="N163" s="512"/>
      <c r="O163" s="565"/>
      <c r="P163" s="565"/>
      <c r="Q163" s="565"/>
      <c r="R163" s="565"/>
      <c r="S163" s="565">
        <v>40.799999999999997</v>
      </c>
      <c r="T163" s="565">
        <v>40.799999999999997</v>
      </c>
      <c r="U163" s="565"/>
      <c r="V163" s="565"/>
      <c r="W163" s="565"/>
      <c r="X163" s="565"/>
      <c r="Y163" s="565"/>
      <c r="Z163" s="565"/>
      <c r="AA163" s="512"/>
      <c r="AB163" s="512"/>
      <c r="AC163" s="512"/>
      <c r="AD163" s="512"/>
      <c r="AE163" s="512"/>
      <c r="AF163" s="512"/>
      <c r="AG163" s="512"/>
      <c r="AH163" s="512"/>
      <c r="AI163" s="512"/>
      <c r="AJ163" s="512"/>
      <c r="AK163" s="512"/>
      <c r="AL163" s="512"/>
      <c r="AM163" s="512"/>
      <c r="AN163" s="512"/>
      <c r="AO163" s="512"/>
      <c r="AP163" s="512"/>
      <c r="AQ163" s="512"/>
      <c r="AR163" s="512"/>
      <c r="AS163" s="512"/>
      <c r="AT163" s="512"/>
      <c r="AU163" s="512"/>
      <c r="AV163" s="512"/>
      <c r="AW163" s="512"/>
      <c r="AX163" s="512"/>
      <c r="AY163" s="512"/>
      <c r="AZ163" s="512"/>
      <c r="BA163" s="512"/>
      <c r="BB163" s="512"/>
      <c r="BC163" s="512"/>
      <c r="BD163" s="512"/>
      <c r="BE163" s="512"/>
      <c r="BF163" s="512"/>
      <c r="BG163" s="495">
        <f>SUM(E163:BF163)</f>
        <v>81.599999999999994</v>
      </c>
      <c r="BH163" s="1056">
        <f>SUM(BG163:BG168)</f>
        <v>490.80000000000007</v>
      </c>
      <c r="BI163" s="496">
        <f>BG163/BF170</f>
        <v>2</v>
      </c>
    </row>
    <row r="164" spans="1:61" ht="199.9" customHeight="1" thickTop="1" thickBot="1" x14ac:dyDescent="1.3">
      <c r="A164" s="1063"/>
      <c r="B164" s="502" t="s">
        <v>342</v>
      </c>
      <c r="C164" s="1052" t="s">
        <v>128</v>
      </c>
      <c r="D164" s="1052"/>
      <c r="E164" s="565"/>
      <c r="F164" s="565"/>
      <c r="G164" s="565"/>
      <c r="H164" s="565"/>
      <c r="I164" s="512"/>
      <c r="J164" s="512"/>
      <c r="K164" s="512"/>
      <c r="L164" s="512"/>
      <c r="M164" s="565"/>
      <c r="N164" s="512"/>
      <c r="O164" s="565"/>
      <c r="P164" s="565"/>
      <c r="Q164" s="565"/>
      <c r="R164" s="565"/>
      <c r="S164" s="565">
        <v>40.92</v>
      </c>
      <c r="T164" s="565">
        <v>40.92</v>
      </c>
      <c r="U164" s="565"/>
      <c r="V164" s="565"/>
      <c r="W164" s="565"/>
      <c r="X164" s="565"/>
      <c r="Y164" s="565"/>
      <c r="Z164" s="565"/>
      <c r="AA164" s="512"/>
      <c r="AB164" s="512"/>
      <c r="AC164" s="512"/>
      <c r="AD164" s="512"/>
      <c r="AE164" s="512"/>
      <c r="AF164" s="512"/>
      <c r="AG164" s="512"/>
      <c r="AH164" s="512"/>
      <c r="AI164" s="512"/>
      <c r="AJ164" s="512"/>
      <c r="AK164" s="512"/>
      <c r="AL164" s="512"/>
      <c r="AM164" s="512"/>
      <c r="AN164" s="512"/>
      <c r="AO164" s="512"/>
      <c r="AP164" s="512"/>
      <c r="AQ164" s="512"/>
      <c r="AR164" s="512"/>
      <c r="AS164" s="512"/>
      <c r="AT164" s="512"/>
      <c r="AU164" s="512"/>
      <c r="AV164" s="512"/>
      <c r="AW164" s="512"/>
      <c r="AX164" s="512"/>
      <c r="AY164" s="512"/>
      <c r="AZ164" s="512"/>
      <c r="BA164" s="512"/>
      <c r="BB164" s="512"/>
      <c r="BC164" s="512"/>
      <c r="BD164" s="512"/>
      <c r="BE164" s="512"/>
      <c r="BF164" s="512"/>
      <c r="BG164" s="495">
        <f>SUM(E164:BF164)</f>
        <v>81.84</v>
      </c>
      <c r="BH164" s="1056"/>
      <c r="BI164" s="496">
        <f t="shared" ref="BI164:BI168" si="24">BG164/BF171</f>
        <v>2</v>
      </c>
    </row>
    <row r="165" spans="1:61" ht="199.9" customHeight="1" thickTop="1" thickBot="1" x14ac:dyDescent="1.3">
      <c r="A165" s="1063"/>
      <c r="B165" s="502" t="s">
        <v>343</v>
      </c>
      <c r="C165" s="1052" t="s">
        <v>128</v>
      </c>
      <c r="D165" s="1052"/>
      <c r="E165" s="565"/>
      <c r="F165" s="565"/>
      <c r="G165" s="565"/>
      <c r="H165" s="565"/>
      <c r="I165" s="512"/>
      <c r="J165" s="512"/>
      <c r="K165" s="512"/>
      <c r="L165" s="512"/>
      <c r="M165" s="565"/>
      <c r="N165" s="512"/>
      <c r="O165" s="565"/>
      <c r="P165" s="565"/>
      <c r="Q165" s="565"/>
      <c r="R165" s="565"/>
      <c r="S165" s="565">
        <v>40.92</v>
      </c>
      <c r="T165" s="565">
        <v>40.92</v>
      </c>
      <c r="U165" s="565"/>
      <c r="V165" s="565"/>
      <c r="W165" s="565"/>
      <c r="X165" s="565"/>
      <c r="Y165" s="565"/>
      <c r="Z165" s="565"/>
      <c r="AA165" s="512"/>
      <c r="AB165" s="512"/>
      <c r="AC165" s="512"/>
      <c r="AD165" s="512"/>
      <c r="AE165" s="512"/>
      <c r="AF165" s="512"/>
      <c r="AG165" s="512"/>
      <c r="AH165" s="512"/>
      <c r="AI165" s="512"/>
      <c r="AJ165" s="512"/>
      <c r="AK165" s="512"/>
      <c r="AL165" s="512"/>
      <c r="AM165" s="512"/>
      <c r="AN165" s="512"/>
      <c r="AO165" s="512"/>
      <c r="AP165" s="512"/>
      <c r="AQ165" s="512"/>
      <c r="AR165" s="512"/>
      <c r="AS165" s="512"/>
      <c r="AT165" s="512"/>
      <c r="AU165" s="512"/>
      <c r="AV165" s="512"/>
      <c r="AW165" s="512"/>
      <c r="AX165" s="512"/>
      <c r="AY165" s="512"/>
      <c r="AZ165" s="512"/>
      <c r="BA165" s="512"/>
      <c r="BB165" s="512"/>
      <c r="BC165" s="512"/>
      <c r="BD165" s="512"/>
      <c r="BE165" s="512"/>
      <c r="BF165" s="512"/>
      <c r="BG165" s="495">
        <f>SUM(E165:BF165)</f>
        <v>81.84</v>
      </c>
      <c r="BH165" s="1056"/>
      <c r="BI165" s="496">
        <f t="shared" si="24"/>
        <v>2</v>
      </c>
    </row>
    <row r="166" spans="1:61" ht="199.9" customHeight="1" thickTop="1" thickBot="1" x14ac:dyDescent="1.3">
      <c r="A166" s="1063"/>
      <c r="B166" s="502" t="s">
        <v>344</v>
      </c>
      <c r="C166" s="1052" t="s">
        <v>128</v>
      </c>
      <c r="D166" s="1052"/>
      <c r="E166" s="565"/>
      <c r="F166" s="565"/>
      <c r="G166" s="565"/>
      <c r="H166" s="565"/>
      <c r="I166" s="512"/>
      <c r="J166" s="512"/>
      <c r="K166" s="512"/>
      <c r="L166" s="512"/>
      <c r="M166" s="518"/>
      <c r="N166" s="518"/>
      <c r="O166" s="518"/>
      <c r="P166" s="518"/>
      <c r="Q166" s="518"/>
      <c r="R166" s="518"/>
      <c r="S166" s="518">
        <v>40.92</v>
      </c>
      <c r="T166" s="518">
        <v>40.92</v>
      </c>
      <c r="U166" s="518"/>
      <c r="V166" s="518"/>
      <c r="W166" s="518"/>
      <c r="X166" s="518"/>
      <c r="Y166" s="518"/>
      <c r="Z166" s="518"/>
      <c r="AA166" s="512"/>
      <c r="AB166" s="512"/>
      <c r="AC166" s="512"/>
      <c r="AD166" s="512"/>
      <c r="AE166" s="512"/>
      <c r="AF166" s="512"/>
      <c r="AG166" s="512"/>
      <c r="AH166" s="518"/>
      <c r="AI166" s="512"/>
      <c r="AJ166" s="512"/>
      <c r="AK166" s="512"/>
      <c r="AL166" s="512"/>
      <c r="AM166" s="512"/>
      <c r="AN166" s="512"/>
      <c r="AO166" s="512"/>
      <c r="AP166" s="512"/>
      <c r="AQ166" s="512"/>
      <c r="AR166" s="512"/>
      <c r="AS166" s="512"/>
      <c r="AT166" s="512"/>
      <c r="AU166" s="512"/>
      <c r="AV166" s="512"/>
      <c r="AW166" s="512"/>
      <c r="AX166" s="512"/>
      <c r="AY166" s="512"/>
      <c r="AZ166" s="512"/>
      <c r="BA166" s="512"/>
      <c r="BB166" s="512"/>
      <c r="BC166" s="512"/>
      <c r="BD166" s="512"/>
      <c r="BE166" s="512"/>
      <c r="BF166" s="512"/>
      <c r="BG166" s="495">
        <f t="shared" ref="BG166:BG168" si="25">SUM(E166:BF166)</f>
        <v>81.84</v>
      </c>
      <c r="BH166" s="1056"/>
      <c r="BI166" s="496">
        <f t="shared" si="24"/>
        <v>2</v>
      </c>
    </row>
    <row r="167" spans="1:61" ht="199.9" customHeight="1" thickTop="1" thickBot="1" x14ac:dyDescent="1.3">
      <c r="A167" s="1063"/>
      <c r="B167" s="502" t="s">
        <v>345</v>
      </c>
      <c r="C167" s="1052" t="s">
        <v>128</v>
      </c>
      <c r="D167" s="1052"/>
      <c r="E167" s="565"/>
      <c r="F167" s="565"/>
      <c r="G167" s="565"/>
      <c r="H167" s="565"/>
      <c r="I167" s="512"/>
      <c r="J167" s="512"/>
      <c r="K167" s="512"/>
      <c r="L167" s="512"/>
      <c r="M167" s="565"/>
      <c r="N167" s="512"/>
      <c r="O167" s="565"/>
      <c r="P167" s="565"/>
      <c r="Q167" s="565"/>
      <c r="R167" s="565"/>
      <c r="S167" s="565">
        <v>40.92</v>
      </c>
      <c r="T167" s="565">
        <v>40.92</v>
      </c>
      <c r="U167" s="565"/>
      <c r="V167" s="565"/>
      <c r="W167" s="565"/>
      <c r="X167" s="565"/>
      <c r="Y167" s="565"/>
      <c r="Z167" s="565"/>
      <c r="AA167" s="512"/>
      <c r="AB167" s="512"/>
      <c r="AC167" s="512"/>
      <c r="AD167" s="512"/>
      <c r="AE167" s="512"/>
      <c r="AF167" s="512"/>
      <c r="AG167" s="512"/>
      <c r="AH167" s="512"/>
      <c r="AI167" s="512"/>
      <c r="AJ167" s="512"/>
      <c r="AK167" s="512"/>
      <c r="AL167" s="512"/>
      <c r="AM167" s="512"/>
      <c r="AN167" s="512"/>
      <c r="AO167" s="512"/>
      <c r="AP167" s="512"/>
      <c r="AQ167" s="512"/>
      <c r="AR167" s="512"/>
      <c r="AS167" s="512"/>
      <c r="AT167" s="512"/>
      <c r="AU167" s="512"/>
      <c r="AV167" s="512"/>
      <c r="AW167" s="512"/>
      <c r="AX167" s="512"/>
      <c r="AY167" s="512"/>
      <c r="AZ167" s="512"/>
      <c r="BA167" s="512"/>
      <c r="BB167" s="512"/>
      <c r="BC167" s="512"/>
      <c r="BD167" s="512"/>
      <c r="BE167" s="512"/>
      <c r="BF167" s="512"/>
      <c r="BG167" s="495">
        <f t="shared" si="25"/>
        <v>81.84</v>
      </c>
      <c r="BH167" s="1056"/>
      <c r="BI167" s="496">
        <f t="shared" si="24"/>
        <v>2</v>
      </c>
    </row>
    <row r="168" spans="1:61" ht="199.9" customHeight="1" thickTop="1" thickBot="1" x14ac:dyDescent="1.3">
      <c r="A168" s="1063"/>
      <c r="B168" s="502" t="s">
        <v>346</v>
      </c>
      <c r="C168" s="1052" t="s">
        <v>128</v>
      </c>
      <c r="D168" s="1052"/>
      <c r="E168" s="565"/>
      <c r="F168" s="565"/>
      <c r="G168" s="565"/>
      <c r="H168" s="565"/>
      <c r="I168" s="512"/>
      <c r="J168" s="512"/>
      <c r="K168" s="512"/>
      <c r="L168" s="512"/>
      <c r="M168" s="518"/>
      <c r="N168" s="518"/>
      <c r="O168" s="518"/>
      <c r="P168" s="518"/>
      <c r="Q168" s="518"/>
      <c r="R168" s="518"/>
      <c r="S168" s="518">
        <v>40.92</v>
      </c>
      <c r="T168" s="518">
        <v>40.92</v>
      </c>
      <c r="U168" s="518"/>
      <c r="V168" s="518"/>
      <c r="W168" s="518"/>
      <c r="X168" s="518"/>
      <c r="Y168" s="518"/>
      <c r="Z168" s="518"/>
      <c r="AA168" s="512"/>
      <c r="AB168" s="512"/>
      <c r="AC168" s="512"/>
      <c r="AD168" s="512"/>
      <c r="AE168" s="512"/>
      <c r="AF168" s="512"/>
      <c r="AG168" s="512"/>
      <c r="AH168" s="518"/>
      <c r="AI168" s="512"/>
      <c r="AJ168" s="512"/>
      <c r="AK168" s="512"/>
      <c r="AL168" s="512"/>
      <c r="AM168" s="512"/>
      <c r="AN168" s="512"/>
      <c r="AO168" s="512"/>
      <c r="AP168" s="512"/>
      <c r="AQ168" s="512"/>
      <c r="AR168" s="512"/>
      <c r="AS168" s="512"/>
      <c r="AT168" s="512"/>
      <c r="AU168" s="512"/>
      <c r="AV168" s="512"/>
      <c r="AW168" s="512"/>
      <c r="AX168" s="512"/>
      <c r="AY168" s="512"/>
      <c r="AZ168" s="512"/>
      <c r="BA168" s="512"/>
      <c r="BB168" s="512"/>
      <c r="BC168" s="512"/>
      <c r="BD168" s="512"/>
      <c r="BE168" s="512"/>
      <c r="BF168" s="512"/>
      <c r="BG168" s="495">
        <f t="shared" si="25"/>
        <v>81.84</v>
      </c>
      <c r="BH168" s="1056"/>
      <c r="BI168" s="496">
        <f t="shared" si="24"/>
        <v>2</v>
      </c>
    </row>
    <row r="169" spans="1:61" s="511" customFormat="1" ht="199.9" customHeight="1" thickTop="1" thickBot="1" x14ac:dyDescent="1.3">
      <c r="A169" s="1063" t="s">
        <v>760</v>
      </c>
      <c r="B169" s="499" t="s">
        <v>421</v>
      </c>
      <c r="C169" s="1053" t="s">
        <v>127</v>
      </c>
      <c r="D169" s="1053"/>
      <c r="E169" s="508">
        <v>245</v>
      </c>
      <c r="F169" s="508">
        <v>245</v>
      </c>
      <c r="G169" s="508">
        <v>245</v>
      </c>
      <c r="H169" s="508">
        <v>245</v>
      </c>
      <c r="I169" s="508">
        <v>245</v>
      </c>
      <c r="J169" s="508">
        <v>245</v>
      </c>
      <c r="K169" s="508">
        <v>245</v>
      </c>
      <c r="L169" s="508">
        <v>245</v>
      </c>
      <c r="M169" s="508">
        <v>245</v>
      </c>
      <c r="N169" s="508">
        <v>245</v>
      </c>
      <c r="O169" s="508">
        <v>245</v>
      </c>
      <c r="P169" s="508">
        <v>245</v>
      </c>
      <c r="Q169" s="508">
        <v>245</v>
      </c>
      <c r="R169" s="508">
        <v>245</v>
      </c>
      <c r="S169" s="508">
        <v>245</v>
      </c>
      <c r="T169" s="508">
        <v>245</v>
      </c>
      <c r="U169" s="508">
        <v>245</v>
      </c>
      <c r="V169" s="508">
        <v>245</v>
      </c>
      <c r="W169" s="508">
        <v>245</v>
      </c>
      <c r="X169" s="508">
        <v>245</v>
      </c>
      <c r="Y169" s="508">
        <v>245</v>
      </c>
      <c r="Z169" s="508">
        <v>245</v>
      </c>
      <c r="AA169" s="508">
        <v>245</v>
      </c>
      <c r="AB169" s="508">
        <v>245</v>
      </c>
      <c r="AC169" s="508">
        <v>245</v>
      </c>
      <c r="AD169" s="508">
        <v>245</v>
      </c>
      <c r="AE169" s="508">
        <v>245</v>
      </c>
      <c r="AF169" s="508">
        <v>245</v>
      </c>
      <c r="AG169" s="508">
        <v>245</v>
      </c>
      <c r="AH169" s="508">
        <v>245</v>
      </c>
      <c r="AI169" s="508">
        <v>245</v>
      </c>
      <c r="AJ169" s="508">
        <v>245</v>
      </c>
      <c r="AK169" s="508">
        <v>245</v>
      </c>
      <c r="AL169" s="508">
        <v>245</v>
      </c>
      <c r="AM169" s="508">
        <v>245</v>
      </c>
      <c r="AN169" s="508">
        <v>245</v>
      </c>
      <c r="AO169" s="508">
        <v>245</v>
      </c>
      <c r="AP169" s="508">
        <v>245</v>
      </c>
      <c r="AQ169" s="508">
        <v>245</v>
      </c>
      <c r="AR169" s="508">
        <v>245</v>
      </c>
      <c r="AS169" s="508">
        <v>245</v>
      </c>
      <c r="AT169" s="508">
        <v>245</v>
      </c>
      <c r="AU169" s="508">
        <v>245</v>
      </c>
      <c r="AV169" s="508">
        <v>245</v>
      </c>
      <c r="AW169" s="508">
        <v>245</v>
      </c>
      <c r="AX169" s="508">
        <v>245</v>
      </c>
      <c r="AY169" s="508">
        <v>245</v>
      </c>
      <c r="AZ169" s="508">
        <v>245</v>
      </c>
      <c r="BA169" s="508">
        <v>245</v>
      </c>
      <c r="BB169" s="508">
        <v>245</v>
      </c>
      <c r="BC169" s="508">
        <v>245</v>
      </c>
      <c r="BD169" s="508">
        <v>245</v>
      </c>
      <c r="BE169" s="508">
        <v>245</v>
      </c>
      <c r="BF169" s="508">
        <v>245</v>
      </c>
      <c r="BG169" s="490">
        <f>SUM(E169:BF169)</f>
        <v>13230</v>
      </c>
      <c r="BH169" s="510" t="s">
        <v>161</v>
      </c>
      <c r="BI169" s="491">
        <f t="shared" ref="BI169:BI175" si="26">BG169/BF169</f>
        <v>54</v>
      </c>
    </row>
    <row r="170" spans="1:61" ht="199.9" customHeight="1" thickTop="1" thickBot="1" x14ac:dyDescent="1.3">
      <c r="A170" s="1063"/>
      <c r="B170" s="502" t="s">
        <v>341</v>
      </c>
      <c r="C170" s="1052" t="s">
        <v>128</v>
      </c>
      <c r="D170" s="1052"/>
      <c r="E170" s="512">
        <v>40.799999999999997</v>
      </c>
      <c r="F170" s="512">
        <v>40.799999999999997</v>
      </c>
      <c r="G170" s="512">
        <v>40.799999999999997</v>
      </c>
      <c r="H170" s="512">
        <v>40.799999999999997</v>
      </c>
      <c r="I170" s="565">
        <v>40.799999999999997</v>
      </c>
      <c r="J170" s="565">
        <v>40.799999999999997</v>
      </c>
      <c r="K170" s="565">
        <v>40.799999999999997</v>
      </c>
      <c r="L170" s="565">
        <v>40.799999999999997</v>
      </c>
      <c r="M170" s="631">
        <v>40.799999999999997</v>
      </c>
      <c r="N170" s="631">
        <v>40.799999999999997</v>
      </c>
      <c r="O170" s="631">
        <v>40.799999999999997</v>
      </c>
      <c r="P170" s="734">
        <v>40.799999999999997</v>
      </c>
      <c r="Q170" s="734">
        <v>40.799999999999997</v>
      </c>
      <c r="R170" s="734">
        <v>40.799999999999997</v>
      </c>
      <c r="S170" s="631"/>
      <c r="T170" s="631"/>
      <c r="U170" s="755">
        <v>40.799999999999997</v>
      </c>
      <c r="V170" s="755">
        <v>40.799999999999997</v>
      </c>
      <c r="W170" s="755">
        <v>40.799999999999997</v>
      </c>
      <c r="X170" s="755">
        <v>40.799999999999997</v>
      </c>
      <c r="Y170" s="755">
        <v>40.799999999999997</v>
      </c>
      <c r="Z170" s="755">
        <v>40.799999999999997</v>
      </c>
      <c r="AA170" s="755">
        <v>40.799999999999997</v>
      </c>
      <c r="AB170" s="755">
        <v>40.799999999999997</v>
      </c>
      <c r="AC170" s="755">
        <v>40.799999999999997</v>
      </c>
      <c r="AD170" s="755">
        <v>40.799999999999997</v>
      </c>
      <c r="AE170" s="755">
        <v>40.799999999999997</v>
      </c>
      <c r="AF170" s="755">
        <v>40.799999999999997</v>
      </c>
      <c r="AG170" s="734">
        <v>40.799999999999997</v>
      </c>
      <c r="AH170" s="734">
        <v>40.799999999999997</v>
      </c>
      <c r="AI170" s="565">
        <v>40.799999999999997</v>
      </c>
      <c r="AJ170" s="565">
        <v>40.799999999999997</v>
      </c>
      <c r="AK170" s="565">
        <v>40.799999999999997</v>
      </c>
      <c r="AL170" s="557">
        <v>40.799999999999997</v>
      </c>
      <c r="AM170" s="557">
        <v>40.799999999999997</v>
      </c>
      <c r="AN170" s="557">
        <v>40.799999999999997</v>
      </c>
      <c r="AO170" s="557">
        <v>40.799999999999997</v>
      </c>
      <c r="AP170" s="557">
        <v>40.799999999999997</v>
      </c>
      <c r="AQ170" s="557">
        <v>40.799999999999997</v>
      </c>
      <c r="AR170" s="557">
        <v>40.799999999999997</v>
      </c>
      <c r="AS170" s="557">
        <v>40.799999999999997</v>
      </c>
      <c r="AT170" s="557">
        <v>40.799999999999997</v>
      </c>
      <c r="AU170" s="557">
        <v>40.799999999999997</v>
      </c>
      <c r="AV170" s="557">
        <v>40.799999999999997</v>
      </c>
      <c r="AW170" s="557">
        <v>40.799999999999997</v>
      </c>
      <c r="AX170" s="557">
        <v>40.799999999999997</v>
      </c>
      <c r="AY170" s="557">
        <v>40.799999999999997</v>
      </c>
      <c r="AZ170" s="557">
        <v>40.799999999999997</v>
      </c>
      <c r="BA170" s="557">
        <v>40.799999999999997</v>
      </c>
      <c r="BB170" s="557">
        <v>40.799999999999997</v>
      </c>
      <c r="BC170" s="557">
        <v>40.799999999999997</v>
      </c>
      <c r="BD170" s="557">
        <v>40.799999999999997</v>
      </c>
      <c r="BE170" s="557">
        <v>40.799999999999997</v>
      </c>
      <c r="BF170" s="557">
        <v>40.799999999999997</v>
      </c>
      <c r="BG170" s="495">
        <f t="shared" ref="BG170:BG175" si="27">SUM(E170:BF170)</f>
        <v>2121.5999999999985</v>
      </c>
      <c r="BH170" s="1056">
        <f>SUM(BG170:BG175)</f>
        <v>12760.800000000008</v>
      </c>
      <c r="BI170" s="496">
        <f>BG170/BF170</f>
        <v>51.999999999999964</v>
      </c>
    </row>
    <row r="171" spans="1:61" ht="199.9" customHeight="1" thickTop="1" thickBot="1" x14ac:dyDescent="1.3">
      <c r="A171" s="1063"/>
      <c r="B171" s="502" t="s">
        <v>342</v>
      </c>
      <c r="C171" s="1052" t="s">
        <v>128</v>
      </c>
      <c r="D171" s="1052"/>
      <c r="E171" s="512">
        <v>40.92</v>
      </c>
      <c r="F171" s="512">
        <v>40.92</v>
      </c>
      <c r="G171" s="512">
        <v>40.92</v>
      </c>
      <c r="H171" s="512">
        <v>40.92</v>
      </c>
      <c r="I171" s="565">
        <v>40.92</v>
      </c>
      <c r="J171" s="565">
        <v>40.92</v>
      </c>
      <c r="K171" s="565">
        <v>40.92</v>
      </c>
      <c r="L171" s="565">
        <v>40.92</v>
      </c>
      <c r="M171" s="631">
        <v>40.92</v>
      </c>
      <c r="N171" s="631">
        <v>40.92</v>
      </c>
      <c r="O171" s="631">
        <v>40.92</v>
      </c>
      <c r="P171" s="734">
        <v>40.92</v>
      </c>
      <c r="Q171" s="734">
        <v>40.92</v>
      </c>
      <c r="R171" s="734">
        <v>40.92</v>
      </c>
      <c r="S171" s="631"/>
      <c r="T171" s="631"/>
      <c r="U171" s="755">
        <v>40.92</v>
      </c>
      <c r="V171" s="755">
        <v>40.92</v>
      </c>
      <c r="W171" s="755">
        <v>40.92</v>
      </c>
      <c r="X171" s="755">
        <v>40.92</v>
      </c>
      <c r="Y171" s="755">
        <v>40.92</v>
      </c>
      <c r="Z171" s="755">
        <v>40.92</v>
      </c>
      <c r="AA171" s="755">
        <v>40.92</v>
      </c>
      <c r="AB171" s="755">
        <v>40.92</v>
      </c>
      <c r="AC171" s="755">
        <v>40.92</v>
      </c>
      <c r="AD171" s="755">
        <v>40.92</v>
      </c>
      <c r="AE171" s="755">
        <v>40.92</v>
      </c>
      <c r="AF171" s="755">
        <v>40.92</v>
      </c>
      <c r="AG171" s="734">
        <v>40.92</v>
      </c>
      <c r="AH171" s="734">
        <v>40.92</v>
      </c>
      <c r="AI171" s="565">
        <v>40.92</v>
      </c>
      <c r="AJ171" s="565">
        <v>40.92</v>
      </c>
      <c r="AK171" s="565">
        <v>40.92</v>
      </c>
      <c r="AL171" s="557">
        <v>40.92</v>
      </c>
      <c r="AM171" s="557">
        <v>40.92</v>
      </c>
      <c r="AN171" s="557">
        <v>40.92</v>
      </c>
      <c r="AO171" s="557">
        <v>40.92</v>
      </c>
      <c r="AP171" s="557">
        <v>40.92</v>
      </c>
      <c r="AQ171" s="557">
        <v>40.92</v>
      </c>
      <c r="AR171" s="557">
        <v>40.92</v>
      </c>
      <c r="AS171" s="557">
        <v>40.92</v>
      </c>
      <c r="AT171" s="557">
        <v>40.92</v>
      </c>
      <c r="AU171" s="557">
        <v>40.92</v>
      </c>
      <c r="AV171" s="557">
        <v>40.92</v>
      </c>
      <c r="AW171" s="557">
        <v>40.92</v>
      </c>
      <c r="AX171" s="557">
        <v>40.92</v>
      </c>
      <c r="AY171" s="557">
        <v>40.92</v>
      </c>
      <c r="AZ171" s="557">
        <v>40.92</v>
      </c>
      <c r="BA171" s="557">
        <v>40.92</v>
      </c>
      <c r="BB171" s="557">
        <v>40.92</v>
      </c>
      <c r="BC171" s="557">
        <v>40.92</v>
      </c>
      <c r="BD171" s="557">
        <v>40.92</v>
      </c>
      <c r="BE171" s="557">
        <v>40.92</v>
      </c>
      <c r="BF171" s="557">
        <v>40.92</v>
      </c>
      <c r="BG171" s="495">
        <f>SUM(E171:BF171)</f>
        <v>2127.8400000000015</v>
      </c>
      <c r="BH171" s="1056"/>
      <c r="BI171" s="496">
        <f t="shared" si="26"/>
        <v>52.000000000000036</v>
      </c>
    </row>
    <row r="172" spans="1:61" ht="199.9" customHeight="1" thickTop="1" thickBot="1" x14ac:dyDescent="1.3">
      <c r="A172" s="1063"/>
      <c r="B172" s="502" t="s">
        <v>343</v>
      </c>
      <c r="C172" s="1052" t="s">
        <v>128</v>
      </c>
      <c r="D172" s="1052"/>
      <c r="E172" s="512">
        <v>40.92</v>
      </c>
      <c r="F172" s="512">
        <v>40.92</v>
      </c>
      <c r="G172" s="512">
        <v>40.92</v>
      </c>
      <c r="H172" s="512">
        <v>40.92</v>
      </c>
      <c r="I172" s="565">
        <v>40.92</v>
      </c>
      <c r="J172" s="565">
        <v>40.92</v>
      </c>
      <c r="K172" s="565">
        <v>40.92</v>
      </c>
      <c r="L172" s="565">
        <v>40.92</v>
      </c>
      <c r="M172" s="631">
        <v>40.92</v>
      </c>
      <c r="N172" s="631">
        <v>40.92</v>
      </c>
      <c r="O172" s="631">
        <v>40.92</v>
      </c>
      <c r="P172" s="734">
        <v>40.92</v>
      </c>
      <c r="Q172" s="734">
        <v>40.92</v>
      </c>
      <c r="R172" s="734">
        <v>40.92</v>
      </c>
      <c r="S172" s="631"/>
      <c r="T172" s="631"/>
      <c r="U172" s="755">
        <v>40.92</v>
      </c>
      <c r="V172" s="755">
        <v>40.92</v>
      </c>
      <c r="W172" s="755">
        <v>40.92</v>
      </c>
      <c r="X172" s="755">
        <v>40.92</v>
      </c>
      <c r="Y172" s="755">
        <v>40.92</v>
      </c>
      <c r="Z172" s="755">
        <v>40.92</v>
      </c>
      <c r="AA172" s="755">
        <v>40.92</v>
      </c>
      <c r="AB172" s="755">
        <v>40.92</v>
      </c>
      <c r="AC172" s="755">
        <v>40.92</v>
      </c>
      <c r="AD172" s="755">
        <v>40.92</v>
      </c>
      <c r="AE172" s="755">
        <v>40.92</v>
      </c>
      <c r="AF172" s="755">
        <v>40.92</v>
      </c>
      <c r="AG172" s="734">
        <v>40.92</v>
      </c>
      <c r="AH172" s="734">
        <v>40.92</v>
      </c>
      <c r="AI172" s="565">
        <v>40.92</v>
      </c>
      <c r="AJ172" s="565">
        <v>40.92</v>
      </c>
      <c r="AK172" s="565">
        <v>40.92</v>
      </c>
      <c r="AL172" s="557">
        <v>40.92</v>
      </c>
      <c r="AM172" s="557">
        <v>40.92</v>
      </c>
      <c r="AN172" s="557">
        <v>40.92</v>
      </c>
      <c r="AO172" s="557">
        <v>40.92</v>
      </c>
      <c r="AP172" s="557">
        <v>40.92</v>
      </c>
      <c r="AQ172" s="557">
        <v>40.92</v>
      </c>
      <c r="AR172" s="557">
        <v>40.92</v>
      </c>
      <c r="AS172" s="557">
        <v>40.92</v>
      </c>
      <c r="AT172" s="557">
        <v>40.92</v>
      </c>
      <c r="AU172" s="557">
        <v>40.92</v>
      </c>
      <c r="AV172" s="557">
        <v>40.92</v>
      </c>
      <c r="AW172" s="557">
        <v>40.92</v>
      </c>
      <c r="AX172" s="557">
        <v>40.92</v>
      </c>
      <c r="AY172" s="557">
        <v>40.92</v>
      </c>
      <c r="AZ172" s="557">
        <v>40.92</v>
      </c>
      <c r="BA172" s="557">
        <v>40.92</v>
      </c>
      <c r="BB172" s="557">
        <v>40.92</v>
      </c>
      <c r="BC172" s="557">
        <v>40.92</v>
      </c>
      <c r="BD172" s="557">
        <v>40.92</v>
      </c>
      <c r="BE172" s="557">
        <v>40.92</v>
      </c>
      <c r="BF172" s="557">
        <v>40.92</v>
      </c>
      <c r="BG172" s="495">
        <f t="shared" si="27"/>
        <v>2127.8400000000015</v>
      </c>
      <c r="BH172" s="1056"/>
      <c r="BI172" s="496">
        <f t="shared" si="26"/>
        <v>52.000000000000036</v>
      </c>
    </row>
    <row r="173" spans="1:61" ht="199.9" customHeight="1" thickTop="1" thickBot="1" x14ac:dyDescent="1.3">
      <c r="A173" s="1063"/>
      <c r="B173" s="502" t="s">
        <v>344</v>
      </c>
      <c r="C173" s="1052" t="s">
        <v>128</v>
      </c>
      <c r="D173" s="1052"/>
      <c r="E173" s="512">
        <v>40.92</v>
      </c>
      <c r="F173" s="512">
        <v>40.92</v>
      </c>
      <c r="G173" s="512">
        <v>40.92</v>
      </c>
      <c r="H173" s="512">
        <v>40.92</v>
      </c>
      <c r="I173" s="565">
        <v>40.92</v>
      </c>
      <c r="J173" s="565">
        <v>40.92</v>
      </c>
      <c r="K173" s="565">
        <v>40.92</v>
      </c>
      <c r="L173" s="565">
        <v>40.92</v>
      </c>
      <c r="M173" s="631">
        <v>40.92</v>
      </c>
      <c r="N173" s="631">
        <v>40.92</v>
      </c>
      <c r="O173" s="631">
        <v>40.92</v>
      </c>
      <c r="P173" s="734">
        <v>40.92</v>
      </c>
      <c r="Q173" s="734">
        <v>40.92</v>
      </c>
      <c r="R173" s="734">
        <v>40.92</v>
      </c>
      <c r="S173" s="631"/>
      <c r="T173" s="631"/>
      <c r="U173" s="755">
        <v>40.92</v>
      </c>
      <c r="V173" s="755">
        <v>40.92</v>
      </c>
      <c r="W173" s="755">
        <v>40.92</v>
      </c>
      <c r="X173" s="755">
        <v>40.92</v>
      </c>
      <c r="Y173" s="755">
        <v>40.92</v>
      </c>
      <c r="Z173" s="755">
        <v>40.92</v>
      </c>
      <c r="AA173" s="755">
        <v>40.92</v>
      </c>
      <c r="AB173" s="755">
        <v>40.92</v>
      </c>
      <c r="AC173" s="755">
        <v>40.92</v>
      </c>
      <c r="AD173" s="755">
        <v>40.92</v>
      </c>
      <c r="AE173" s="755">
        <v>40.92</v>
      </c>
      <c r="AF173" s="755">
        <v>40.92</v>
      </c>
      <c r="AG173" s="734">
        <v>40.92</v>
      </c>
      <c r="AH173" s="734">
        <v>40.92</v>
      </c>
      <c r="AI173" s="565">
        <v>40.92</v>
      </c>
      <c r="AJ173" s="565">
        <v>40.92</v>
      </c>
      <c r="AK173" s="565">
        <v>40.92</v>
      </c>
      <c r="AL173" s="557">
        <v>40.92</v>
      </c>
      <c r="AM173" s="557">
        <v>40.92</v>
      </c>
      <c r="AN173" s="557">
        <v>40.92</v>
      </c>
      <c r="AO173" s="557">
        <v>40.92</v>
      </c>
      <c r="AP173" s="557">
        <v>40.92</v>
      </c>
      <c r="AQ173" s="557">
        <v>40.92</v>
      </c>
      <c r="AR173" s="557">
        <v>40.92</v>
      </c>
      <c r="AS173" s="557">
        <v>40.92</v>
      </c>
      <c r="AT173" s="557">
        <v>40.92</v>
      </c>
      <c r="AU173" s="557">
        <v>40.92</v>
      </c>
      <c r="AV173" s="557">
        <v>40.92</v>
      </c>
      <c r="AW173" s="557">
        <v>40.92</v>
      </c>
      <c r="AX173" s="557">
        <v>40.92</v>
      </c>
      <c r="AY173" s="557">
        <v>40.92</v>
      </c>
      <c r="AZ173" s="557">
        <v>40.92</v>
      </c>
      <c r="BA173" s="557">
        <v>40.92</v>
      </c>
      <c r="BB173" s="557">
        <v>40.92</v>
      </c>
      <c r="BC173" s="557">
        <v>40.92</v>
      </c>
      <c r="BD173" s="557">
        <v>40.92</v>
      </c>
      <c r="BE173" s="557">
        <v>40.92</v>
      </c>
      <c r="BF173" s="557">
        <v>40.92</v>
      </c>
      <c r="BG173" s="495">
        <f t="shared" si="27"/>
        <v>2127.8400000000015</v>
      </c>
      <c r="BH173" s="1056"/>
      <c r="BI173" s="496">
        <f t="shared" si="26"/>
        <v>52.000000000000036</v>
      </c>
    </row>
    <row r="174" spans="1:61" ht="199.9" customHeight="1" thickTop="1" thickBot="1" x14ac:dyDescent="1.3">
      <c r="A174" s="1063"/>
      <c r="B174" s="502" t="s">
        <v>345</v>
      </c>
      <c r="C174" s="1052" t="s">
        <v>128</v>
      </c>
      <c r="D174" s="1052"/>
      <c r="E174" s="512">
        <v>40.92</v>
      </c>
      <c r="F174" s="512">
        <v>40.92</v>
      </c>
      <c r="G174" s="512">
        <v>40.92</v>
      </c>
      <c r="H174" s="512">
        <v>40.92</v>
      </c>
      <c r="I174" s="565">
        <v>40.92</v>
      </c>
      <c r="J174" s="565">
        <v>40.92</v>
      </c>
      <c r="K174" s="565">
        <v>40.92</v>
      </c>
      <c r="L174" s="565">
        <v>40.92</v>
      </c>
      <c r="M174" s="631">
        <v>40.92</v>
      </c>
      <c r="N174" s="631">
        <v>40.92</v>
      </c>
      <c r="O174" s="631">
        <v>40.92</v>
      </c>
      <c r="P174" s="734">
        <v>40.92</v>
      </c>
      <c r="Q174" s="734">
        <v>40.92</v>
      </c>
      <c r="R174" s="734">
        <v>40.92</v>
      </c>
      <c r="S174" s="631"/>
      <c r="T174" s="631"/>
      <c r="U174" s="755">
        <v>40.92</v>
      </c>
      <c r="V174" s="755">
        <v>40.92</v>
      </c>
      <c r="W174" s="755">
        <v>40.92</v>
      </c>
      <c r="X174" s="755">
        <v>40.92</v>
      </c>
      <c r="Y174" s="755">
        <v>40.92</v>
      </c>
      <c r="Z174" s="755">
        <v>40.92</v>
      </c>
      <c r="AA174" s="755">
        <v>40.92</v>
      </c>
      <c r="AB174" s="755">
        <v>40.92</v>
      </c>
      <c r="AC174" s="755">
        <v>40.92</v>
      </c>
      <c r="AD174" s="755">
        <v>40.92</v>
      </c>
      <c r="AE174" s="755">
        <v>40.92</v>
      </c>
      <c r="AF174" s="755">
        <v>40.92</v>
      </c>
      <c r="AG174" s="734">
        <v>40.92</v>
      </c>
      <c r="AH174" s="734">
        <v>40.92</v>
      </c>
      <c r="AI174" s="565">
        <v>40.92</v>
      </c>
      <c r="AJ174" s="565">
        <v>40.92</v>
      </c>
      <c r="AK174" s="565">
        <v>40.92</v>
      </c>
      <c r="AL174" s="557">
        <v>40.92</v>
      </c>
      <c r="AM174" s="557">
        <v>40.92</v>
      </c>
      <c r="AN174" s="557">
        <v>40.92</v>
      </c>
      <c r="AO174" s="557">
        <v>40.92</v>
      </c>
      <c r="AP174" s="557">
        <v>40.92</v>
      </c>
      <c r="AQ174" s="557">
        <v>40.92</v>
      </c>
      <c r="AR174" s="557">
        <v>40.92</v>
      </c>
      <c r="AS174" s="557">
        <v>40.92</v>
      </c>
      <c r="AT174" s="557">
        <v>40.92</v>
      </c>
      <c r="AU174" s="557">
        <v>40.92</v>
      </c>
      <c r="AV174" s="557">
        <v>40.92</v>
      </c>
      <c r="AW174" s="557">
        <v>40.92</v>
      </c>
      <c r="AX174" s="557">
        <v>40.92</v>
      </c>
      <c r="AY174" s="557">
        <v>40.92</v>
      </c>
      <c r="AZ174" s="557">
        <v>40.92</v>
      </c>
      <c r="BA174" s="557">
        <v>40.92</v>
      </c>
      <c r="BB174" s="557">
        <v>40.92</v>
      </c>
      <c r="BC174" s="557">
        <v>40.92</v>
      </c>
      <c r="BD174" s="557">
        <v>40.92</v>
      </c>
      <c r="BE174" s="557">
        <v>40.92</v>
      </c>
      <c r="BF174" s="557">
        <v>40.92</v>
      </c>
      <c r="BG174" s="495">
        <f t="shared" si="27"/>
        <v>2127.8400000000015</v>
      </c>
      <c r="BH174" s="1056"/>
      <c r="BI174" s="496">
        <f t="shared" si="26"/>
        <v>52.000000000000036</v>
      </c>
    </row>
    <row r="175" spans="1:61" ht="199.9" customHeight="1" thickTop="1" thickBot="1" x14ac:dyDescent="1.3">
      <c r="A175" s="1063"/>
      <c r="B175" s="502" t="s">
        <v>346</v>
      </c>
      <c r="C175" s="1052" t="s">
        <v>128</v>
      </c>
      <c r="D175" s="1052"/>
      <c r="E175" s="512">
        <v>40.92</v>
      </c>
      <c r="F175" s="512">
        <v>40.92</v>
      </c>
      <c r="G175" s="512">
        <v>40.92</v>
      </c>
      <c r="H175" s="512">
        <v>40.92</v>
      </c>
      <c r="I175" s="565">
        <v>40.92</v>
      </c>
      <c r="J175" s="565">
        <v>40.92</v>
      </c>
      <c r="K175" s="565">
        <v>40.92</v>
      </c>
      <c r="L175" s="565">
        <v>40.92</v>
      </c>
      <c r="M175" s="631">
        <v>40.92</v>
      </c>
      <c r="N175" s="631">
        <v>40.92</v>
      </c>
      <c r="O175" s="631">
        <v>40.92</v>
      </c>
      <c r="P175" s="734">
        <v>40.92</v>
      </c>
      <c r="Q175" s="734">
        <v>40.92</v>
      </c>
      <c r="R175" s="734">
        <v>40.92</v>
      </c>
      <c r="S175" s="631"/>
      <c r="T175" s="631"/>
      <c r="U175" s="755">
        <v>40.92</v>
      </c>
      <c r="V175" s="755">
        <v>40.92</v>
      </c>
      <c r="W175" s="755">
        <v>40.92</v>
      </c>
      <c r="X175" s="755">
        <v>40.92</v>
      </c>
      <c r="Y175" s="755">
        <v>40.92</v>
      </c>
      <c r="Z175" s="755">
        <v>40.92</v>
      </c>
      <c r="AA175" s="755">
        <v>40.92</v>
      </c>
      <c r="AB175" s="755">
        <v>40.92</v>
      </c>
      <c r="AC175" s="755">
        <v>40.92</v>
      </c>
      <c r="AD175" s="755">
        <v>40.92</v>
      </c>
      <c r="AE175" s="755">
        <v>40.92</v>
      </c>
      <c r="AF175" s="755">
        <v>40.92</v>
      </c>
      <c r="AG175" s="734">
        <v>40.92</v>
      </c>
      <c r="AH175" s="734">
        <v>40.92</v>
      </c>
      <c r="AI175" s="565">
        <v>40.92</v>
      </c>
      <c r="AJ175" s="565">
        <v>40.92</v>
      </c>
      <c r="AK175" s="565">
        <v>40.92</v>
      </c>
      <c r="AL175" s="557">
        <v>40.92</v>
      </c>
      <c r="AM175" s="557">
        <v>40.92</v>
      </c>
      <c r="AN175" s="557">
        <v>40.92</v>
      </c>
      <c r="AO175" s="557">
        <v>40.92</v>
      </c>
      <c r="AP175" s="557">
        <v>40.92</v>
      </c>
      <c r="AQ175" s="557">
        <v>40.92</v>
      </c>
      <c r="AR175" s="557">
        <v>40.92</v>
      </c>
      <c r="AS175" s="557">
        <v>40.92</v>
      </c>
      <c r="AT175" s="557">
        <v>40.92</v>
      </c>
      <c r="AU175" s="557">
        <v>40.92</v>
      </c>
      <c r="AV175" s="557">
        <v>40.92</v>
      </c>
      <c r="AW175" s="557">
        <v>40.92</v>
      </c>
      <c r="AX175" s="557">
        <v>40.92</v>
      </c>
      <c r="AY175" s="557">
        <v>40.92</v>
      </c>
      <c r="AZ175" s="557">
        <v>40.92</v>
      </c>
      <c r="BA175" s="557">
        <v>40.92</v>
      </c>
      <c r="BB175" s="557">
        <v>40.92</v>
      </c>
      <c r="BC175" s="557">
        <v>40.92</v>
      </c>
      <c r="BD175" s="557">
        <v>40.92</v>
      </c>
      <c r="BE175" s="557">
        <v>40.92</v>
      </c>
      <c r="BF175" s="557">
        <v>40.92</v>
      </c>
      <c r="BG175" s="495">
        <f t="shared" si="27"/>
        <v>2127.8400000000015</v>
      </c>
      <c r="BH175" s="1056"/>
      <c r="BI175" s="496">
        <f t="shared" si="26"/>
        <v>52.000000000000036</v>
      </c>
    </row>
    <row r="176" spans="1:61" ht="307.89999999999998" customHeight="1" thickTop="1" thickBot="1" x14ac:dyDescent="1.3">
      <c r="A176" s="540"/>
      <c r="B176" s="1048" t="s">
        <v>162</v>
      </c>
      <c r="C176" s="1048"/>
      <c r="D176" s="1048"/>
      <c r="E176" s="1048"/>
      <c r="F176" s="543"/>
      <c r="G176" s="543"/>
      <c r="H176" s="543"/>
      <c r="I176" s="543"/>
      <c r="J176" s="543"/>
      <c r="K176" s="543"/>
      <c r="L176" s="543"/>
      <c r="M176" s="543"/>
      <c r="N176" s="543"/>
      <c r="O176" s="543"/>
      <c r="P176" s="543"/>
      <c r="Q176" s="543"/>
      <c r="R176" s="543"/>
      <c r="S176" s="1059" t="s">
        <v>150</v>
      </c>
      <c r="T176" s="1059"/>
      <c r="U176" s="543"/>
      <c r="V176" s="543"/>
      <c r="W176" s="543"/>
      <c r="X176" s="543"/>
      <c r="Y176" s="543"/>
      <c r="Z176" s="543"/>
      <c r="AA176" s="543"/>
      <c r="AB176" s="543"/>
      <c r="AC176" s="543"/>
      <c r="AD176" s="543"/>
      <c r="AE176" s="543"/>
      <c r="AF176" s="543"/>
      <c r="AG176" s="543"/>
      <c r="AH176" s="543"/>
      <c r="AI176" s="543"/>
      <c r="AJ176" s="543"/>
      <c r="AK176" s="1059" t="s">
        <v>162</v>
      </c>
      <c r="AL176" s="1059"/>
      <c r="AM176" s="543"/>
      <c r="AN176" s="543"/>
      <c r="AO176" s="543"/>
      <c r="AP176" s="543"/>
      <c r="AQ176" s="543"/>
      <c r="AR176" s="543"/>
      <c r="AS176" s="543"/>
      <c r="AT176" s="543"/>
      <c r="AU176" s="543"/>
      <c r="AV176" s="543"/>
      <c r="AW176" s="543"/>
      <c r="AX176" s="543"/>
      <c r="AY176" s="543"/>
      <c r="AZ176" s="543"/>
      <c r="BA176" s="543"/>
      <c r="BB176" s="543"/>
      <c r="BC176" s="543"/>
      <c r="BD176" s="543"/>
      <c r="BE176" s="543"/>
      <c r="BF176" s="1059" t="s">
        <v>150</v>
      </c>
      <c r="BG176" s="1059"/>
      <c r="BH176" s="544"/>
      <c r="BI176" s="530"/>
    </row>
    <row r="177" spans="1:61" ht="199.9" customHeight="1" thickTop="1" thickBot="1" x14ac:dyDescent="1.3">
      <c r="A177" s="1057" t="s">
        <v>125</v>
      </c>
      <c r="B177" s="1058"/>
      <c r="C177" s="1058"/>
      <c r="D177" s="1058"/>
      <c r="E177" s="512">
        <v>300</v>
      </c>
      <c r="F177" s="512">
        <v>301</v>
      </c>
      <c r="G177" s="512">
        <v>302</v>
      </c>
      <c r="H177" s="512">
        <v>303</v>
      </c>
      <c r="I177" s="512">
        <v>304</v>
      </c>
      <c r="J177" s="512">
        <v>305</v>
      </c>
      <c r="K177" s="512">
        <v>306</v>
      </c>
      <c r="L177" s="512">
        <v>307</v>
      </c>
      <c r="M177" s="512">
        <v>308</v>
      </c>
      <c r="N177" s="512">
        <v>309</v>
      </c>
      <c r="O177" s="512">
        <v>310</v>
      </c>
      <c r="P177" s="512">
        <v>311</v>
      </c>
      <c r="Q177" s="512">
        <v>312</v>
      </c>
      <c r="R177" s="512">
        <v>313</v>
      </c>
      <c r="S177" s="512">
        <v>314</v>
      </c>
      <c r="T177" s="512">
        <v>315</v>
      </c>
      <c r="U177" s="512">
        <v>316</v>
      </c>
      <c r="V177" s="512">
        <v>317</v>
      </c>
      <c r="W177" s="512">
        <v>318</v>
      </c>
      <c r="X177" s="512">
        <v>319</v>
      </c>
      <c r="Y177" s="512">
        <v>320</v>
      </c>
      <c r="Z177" s="512">
        <v>321</v>
      </c>
      <c r="AA177" s="512">
        <v>322</v>
      </c>
      <c r="AB177" s="512">
        <v>323</v>
      </c>
      <c r="AC177" s="512">
        <v>324</v>
      </c>
      <c r="AD177" s="512">
        <v>325</v>
      </c>
      <c r="AE177" s="512">
        <v>326</v>
      </c>
      <c r="AF177" s="512">
        <v>327</v>
      </c>
      <c r="AG177" s="512">
        <v>328</v>
      </c>
      <c r="AH177" s="512">
        <v>329</v>
      </c>
      <c r="AI177" s="512">
        <v>330</v>
      </c>
      <c r="AJ177" s="512">
        <v>331</v>
      </c>
      <c r="AK177" s="512">
        <v>332</v>
      </c>
      <c r="AL177" s="512">
        <v>333</v>
      </c>
      <c r="AM177" s="512">
        <v>334</v>
      </c>
      <c r="AN177" s="512">
        <v>335</v>
      </c>
      <c r="AO177" s="512">
        <v>336</v>
      </c>
      <c r="AP177" s="512">
        <v>337</v>
      </c>
      <c r="AQ177" s="512">
        <v>338</v>
      </c>
      <c r="AR177" s="512">
        <v>339</v>
      </c>
      <c r="AS177" s="512">
        <v>340</v>
      </c>
      <c r="AT177" s="512">
        <v>341</v>
      </c>
      <c r="AU177" s="512">
        <v>342</v>
      </c>
      <c r="AV177" s="512">
        <v>343</v>
      </c>
      <c r="AW177" s="512">
        <v>344</v>
      </c>
      <c r="AX177" s="512">
        <v>345</v>
      </c>
      <c r="AY177" s="512">
        <v>346</v>
      </c>
      <c r="AZ177" s="512">
        <v>347</v>
      </c>
      <c r="BA177" s="512">
        <v>348</v>
      </c>
      <c r="BB177" s="512">
        <v>349</v>
      </c>
      <c r="BC177" s="512">
        <v>350</v>
      </c>
      <c r="BD177" s="512">
        <v>351</v>
      </c>
      <c r="BE177" s="512">
        <v>352</v>
      </c>
      <c r="BF177" s="512">
        <v>353</v>
      </c>
      <c r="BG177" s="485" t="s">
        <v>160</v>
      </c>
      <c r="BH177" s="486" t="s">
        <v>161</v>
      </c>
      <c r="BI177" s="496"/>
    </row>
    <row r="178" spans="1:61" s="511" customFormat="1" ht="199.9" customHeight="1" thickTop="1" thickBot="1" x14ac:dyDescent="1.3">
      <c r="A178" s="1066" t="s">
        <v>696</v>
      </c>
      <c r="B178" s="1067" t="s">
        <v>697</v>
      </c>
      <c r="C178" s="1053" t="s">
        <v>127</v>
      </c>
      <c r="D178" s="1053"/>
      <c r="E178" s="508">
        <v>1</v>
      </c>
      <c r="F178" s="508">
        <v>1</v>
      </c>
      <c r="G178" s="508">
        <v>1</v>
      </c>
      <c r="H178" s="508">
        <v>1</v>
      </c>
      <c r="I178" s="508">
        <v>1</v>
      </c>
      <c r="J178" s="508">
        <v>1</v>
      </c>
      <c r="K178" s="508">
        <v>1</v>
      </c>
      <c r="L178" s="508">
        <v>1</v>
      </c>
      <c r="M178" s="508">
        <v>1</v>
      </c>
      <c r="N178" s="508">
        <v>1</v>
      </c>
      <c r="O178" s="508">
        <v>1</v>
      </c>
      <c r="P178" s="508">
        <v>1</v>
      </c>
      <c r="Q178" s="508">
        <v>1</v>
      </c>
      <c r="R178" s="508">
        <v>1</v>
      </c>
      <c r="S178" s="508">
        <v>1</v>
      </c>
      <c r="T178" s="508">
        <v>1</v>
      </c>
      <c r="U178" s="508">
        <v>1</v>
      </c>
      <c r="V178" s="508">
        <v>1</v>
      </c>
      <c r="W178" s="508">
        <v>1</v>
      </c>
      <c r="X178" s="508">
        <v>1</v>
      </c>
      <c r="Y178" s="508">
        <v>1</v>
      </c>
      <c r="Z178" s="508">
        <v>1</v>
      </c>
      <c r="AA178" s="508">
        <v>1</v>
      </c>
      <c r="AB178" s="508">
        <v>1</v>
      </c>
      <c r="AC178" s="508">
        <v>1</v>
      </c>
      <c r="AD178" s="508">
        <v>1</v>
      </c>
      <c r="AE178" s="508">
        <v>1</v>
      </c>
      <c r="AF178" s="508">
        <v>1</v>
      </c>
      <c r="AG178" s="508">
        <v>1</v>
      </c>
      <c r="AH178" s="508">
        <v>1</v>
      </c>
      <c r="AI178" s="508">
        <v>1</v>
      </c>
      <c r="AJ178" s="508">
        <v>1</v>
      </c>
      <c r="AK178" s="508">
        <v>1</v>
      </c>
      <c r="AL178" s="508">
        <v>1</v>
      </c>
      <c r="AM178" s="508">
        <v>1</v>
      </c>
      <c r="AN178" s="508">
        <v>1</v>
      </c>
      <c r="AO178" s="508">
        <v>1</v>
      </c>
      <c r="AP178" s="508">
        <v>1</v>
      </c>
      <c r="AQ178" s="508">
        <v>1</v>
      </c>
      <c r="AR178" s="508">
        <v>1</v>
      </c>
      <c r="AS178" s="508">
        <v>1</v>
      </c>
      <c r="AT178" s="508">
        <v>1</v>
      </c>
      <c r="AU178" s="508">
        <v>1</v>
      </c>
      <c r="AV178" s="508">
        <v>1</v>
      </c>
      <c r="AW178" s="508">
        <v>1</v>
      </c>
      <c r="AX178" s="508">
        <v>1</v>
      </c>
      <c r="AY178" s="508">
        <v>1</v>
      </c>
      <c r="AZ178" s="508">
        <v>1</v>
      </c>
      <c r="BA178" s="508">
        <v>1</v>
      </c>
      <c r="BB178" s="508">
        <v>1</v>
      </c>
      <c r="BC178" s="508">
        <v>1</v>
      </c>
      <c r="BD178" s="508">
        <v>1</v>
      </c>
      <c r="BE178" s="508">
        <v>1</v>
      </c>
      <c r="BF178" s="508">
        <v>1</v>
      </c>
      <c r="BG178" s="490">
        <f t="shared" ref="BG178" si="28">SUM(E178:BF178)</f>
        <v>54</v>
      </c>
      <c r="BH178" s="501"/>
      <c r="BI178" s="491">
        <f t="shared" ref="BI178:BI179" si="29">BG178/BF178</f>
        <v>54</v>
      </c>
    </row>
    <row r="179" spans="1:61" ht="199.9" customHeight="1" thickTop="1" thickBot="1" x14ac:dyDescent="1.3">
      <c r="A179" s="1066"/>
      <c r="B179" s="1068"/>
      <c r="C179" s="1052" t="s">
        <v>128</v>
      </c>
      <c r="D179" s="1052"/>
      <c r="E179" s="512">
        <v>1</v>
      </c>
      <c r="F179" s="557">
        <v>1</v>
      </c>
      <c r="G179" s="693">
        <v>1</v>
      </c>
      <c r="H179" s="693">
        <v>1</v>
      </c>
      <c r="I179" s="693">
        <v>1</v>
      </c>
      <c r="J179" s="693">
        <v>1</v>
      </c>
      <c r="K179" s="693">
        <v>1</v>
      </c>
      <c r="L179" s="693">
        <v>1</v>
      </c>
      <c r="M179" s="693">
        <v>1</v>
      </c>
      <c r="N179" s="693">
        <v>1</v>
      </c>
      <c r="O179" s="693">
        <v>1</v>
      </c>
      <c r="P179" s="693">
        <v>1</v>
      </c>
      <c r="Q179" s="693">
        <v>1</v>
      </c>
      <c r="R179" s="693">
        <v>1</v>
      </c>
      <c r="S179" s="693">
        <v>1</v>
      </c>
      <c r="T179" s="693">
        <v>1</v>
      </c>
      <c r="U179" s="693">
        <v>1</v>
      </c>
      <c r="V179" s="693">
        <v>1</v>
      </c>
      <c r="W179" s="693">
        <v>1</v>
      </c>
      <c r="X179" s="693">
        <v>1</v>
      </c>
      <c r="Y179" s="693">
        <v>1</v>
      </c>
      <c r="Z179" s="693">
        <v>1</v>
      </c>
      <c r="AA179" s="693">
        <v>1</v>
      </c>
      <c r="AB179" s="693">
        <v>1</v>
      </c>
      <c r="AC179" s="693">
        <v>1</v>
      </c>
      <c r="AD179" s="693">
        <v>1</v>
      </c>
      <c r="AE179" s="693">
        <v>1</v>
      </c>
      <c r="AF179" s="693">
        <v>1</v>
      </c>
      <c r="AG179" s="693">
        <v>1</v>
      </c>
      <c r="AH179" s="693">
        <v>1</v>
      </c>
      <c r="AI179" s="693">
        <v>1</v>
      </c>
      <c r="AJ179" s="693">
        <v>1</v>
      </c>
      <c r="AK179" s="693">
        <v>1</v>
      </c>
      <c r="AL179" s="693">
        <v>1</v>
      </c>
      <c r="AM179" s="693">
        <v>1</v>
      </c>
      <c r="AN179" s="693">
        <v>1</v>
      </c>
      <c r="AO179" s="693">
        <v>1</v>
      </c>
      <c r="AP179" s="693">
        <v>1</v>
      </c>
      <c r="AQ179" s="693">
        <v>1</v>
      </c>
      <c r="AR179" s="693">
        <v>1</v>
      </c>
      <c r="AS179" s="693">
        <v>1</v>
      </c>
      <c r="AT179" s="693">
        <v>1</v>
      </c>
      <c r="AU179" s="693">
        <v>1</v>
      </c>
      <c r="AV179" s="693">
        <v>1</v>
      </c>
      <c r="AW179" s="693">
        <v>1</v>
      </c>
      <c r="AX179" s="693">
        <v>1</v>
      </c>
      <c r="AY179" s="693">
        <v>1</v>
      </c>
      <c r="AZ179" s="693">
        <v>1</v>
      </c>
      <c r="BA179" s="693">
        <v>1</v>
      </c>
      <c r="BB179" s="693">
        <v>1</v>
      </c>
      <c r="BC179" s="693">
        <v>1</v>
      </c>
      <c r="BD179" s="693">
        <v>1</v>
      </c>
      <c r="BE179" s="693">
        <v>1</v>
      </c>
      <c r="BF179" s="693">
        <v>1</v>
      </c>
      <c r="BG179" s="495">
        <f>SUM(E179:BF179)</f>
        <v>54</v>
      </c>
      <c r="BH179" s="507">
        <f>BG179</f>
        <v>54</v>
      </c>
      <c r="BI179" s="496">
        <f t="shared" si="29"/>
        <v>54</v>
      </c>
    </row>
    <row r="180" spans="1:61" s="511" customFormat="1" ht="199.9" customHeight="1" thickTop="1" thickBot="1" x14ac:dyDescent="1.3">
      <c r="A180" s="1063" t="s">
        <v>693</v>
      </c>
      <c r="B180" s="499" t="s">
        <v>691</v>
      </c>
      <c r="C180" s="1053" t="s">
        <v>127</v>
      </c>
      <c r="D180" s="1053"/>
      <c r="E180" s="508">
        <v>24</v>
      </c>
      <c r="F180" s="508">
        <v>24</v>
      </c>
      <c r="G180" s="508">
        <v>24</v>
      </c>
      <c r="H180" s="508">
        <v>24</v>
      </c>
      <c r="I180" s="508">
        <v>24</v>
      </c>
      <c r="J180" s="508">
        <v>24</v>
      </c>
      <c r="K180" s="508">
        <v>24</v>
      </c>
      <c r="L180" s="508">
        <v>24</v>
      </c>
      <c r="M180" s="508">
        <v>24</v>
      </c>
      <c r="N180" s="508">
        <v>24</v>
      </c>
      <c r="O180" s="508">
        <v>24</v>
      </c>
      <c r="P180" s="508">
        <v>24</v>
      </c>
      <c r="Q180" s="508">
        <v>24</v>
      </c>
      <c r="R180" s="508">
        <v>24</v>
      </c>
      <c r="S180" s="508">
        <v>24</v>
      </c>
      <c r="T180" s="508">
        <v>24</v>
      </c>
      <c r="U180" s="508">
        <v>24</v>
      </c>
      <c r="V180" s="508">
        <v>24</v>
      </c>
      <c r="W180" s="508">
        <v>24</v>
      </c>
      <c r="X180" s="508">
        <v>24</v>
      </c>
      <c r="Y180" s="508">
        <v>24</v>
      </c>
      <c r="Z180" s="508">
        <v>24</v>
      </c>
      <c r="AA180" s="508">
        <v>24</v>
      </c>
      <c r="AB180" s="508">
        <v>24</v>
      </c>
      <c r="AC180" s="508">
        <v>24</v>
      </c>
      <c r="AD180" s="508">
        <v>24</v>
      </c>
      <c r="AE180" s="508">
        <v>24</v>
      </c>
      <c r="AF180" s="508">
        <v>24</v>
      </c>
      <c r="AG180" s="508">
        <v>24</v>
      </c>
      <c r="AH180" s="508">
        <v>24</v>
      </c>
      <c r="AI180" s="508">
        <v>24</v>
      </c>
      <c r="AJ180" s="508">
        <v>24</v>
      </c>
      <c r="AK180" s="508">
        <v>24</v>
      </c>
      <c r="AL180" s="508">
        <v>24</v>
      </c>
      <c r="AM180" s="508">
        <v>24</v>
      </c>
      <c r="AN180" s="508">
        <v>24</v>
      </c>
      <c r="AO180" s="508">
        <v>24</v>
      </c>
      <c r="AP180" s="508">
        <v>24</v>
      </c>
      <c r="AQ180" s="508">
        <v>24</v>
      </c>
      <c r="AR180" s="508">
        <v>24</v>
      </c>
      <c r="AS180" s="508">
        <v>24</v>
      </c>
      <c r="AT180" s="508">
        <v>24</v>
      </c>
      <c r="AU180" s="508">
        <v>24</v>
      </c>
      <c r="AV180" s="508">
        <v>24</v>
      </c>
      <c r="AW180" s="508">
        <v>24</v>
      </c>
      <c r="AX180" s="508">
        <v>24</v>
      </c>
      <c r="AY180" s="508">
        <v>24</v>
      </c>
      <c r="AZ180" s="508">
        <v>24</v>
      </c>
      <c r="BA180" s="508">
        <v>24</v>
      </c>
      <c r="BB180" s="508">
        <v>24</v>
      </c>
      <c r="BC180" s="508">
        <v>24</v>
      </c>
      <c r="BD180" s="508">
        <v>24</v>
      </c>
      <c r="BE180" s="508">
        <v>24</v>
      </c>
      <c r="BF180" s="508">
        <v>24</v>
      </c>
      <c r="BG180" s="490">
        <f t="shared" ref="BG180:BG185" si="30">SUM(E180:BF180)</f>
        <v>1296</v>
      </c>
      <c r="BH180" s="501">
        <f>BG180</f>
        <v>1296</v>
      </c>
      <c r="BI180" s="491">
        <f t="shared" si="18"/>
        <v>54</v>
      </c>
    </row>
    <row r="181" spans="1:61" ht="265.89999999999998" customHeight="1" thickTop="1" thickBot="1" x14ac:dyDescent="1.3">
      <c r="A181" s="1063"/>
      <c r="B181" s="502" t="s">
        <v>689</v>
      </c>
      <c r="C181" s="1052" t="s">
        <v>128</v>
      </c>
      <c r="D181" s="1052"/>
      <c r="E181" s="512"/>
      <c r="F181" s="512"/>
      <c r="G181" s="512"/>
      <c r="H181" s="512"/>
      <c r="I181" s="512"/>
      <c r="J181" s="512"/>
      <c r="K181" s="512"/>
      <c r="L181" s="512"/>
      <c r="M181" s="512"/>
      <c r="N181" s="512"/>
      <c r="O181" s="512"/>
      <c r="P181" s="557"/>
      <c r="Q181" s="557"/>
      <c r="R181" s="557"/>
      <c r="S181" s="571"/>
      <c r="T181" s="571"/>
      <c r="U181" s="571"/>
      <c r="V181" s="571"/>
      <c r="W181" s="571"/>
      <c r="X181" s="571"/>
      <c r="Y181" s="571"/>
      <c r="Z181" s="571"/>
      <c r="AA181" s="571"/>
      <c r="AB181" s="571"/>
      <c r="AC181" s="512"/>
      <c r="AD181" s="512"/>
      <c r="AE181" s="512"/>
      <c r="AF181" s="512"/>
      <c r="AG181" s="512"/>
      <c r="AH181" s="512"/>
      <c r="AI181" s="512"/>
      <c r="AJ181" s="512"/>
      <c r="AK181" s="512"/>
      <c r="AL181" s="512"/>
      <c r="AM181" s="512"/>
      <c r="AN181" s="512"/>
      <c r="AO181" s="512"/>
      <c r="AP181" s="512"/>
      <c r="AQ181" s="512"/>
      <c r="AR181" s="512"/>
      <c r="AS181" s="512"/>
      <c r="AT181" s="512"/>
      <c r="AU181" s="512"/>
      <c r="AV181" s="512"/>
      <c r="AW181" s="512"/>
      <c r="AX181" s="512"/>
      <c r="AY181" s="512"/>
      <c r="AZ181" s="512"/>
      <c r="BA181" s="512"/>
      <c r="BB181" s="512"/>
      <c r="BC181" s="512"/>
      <c r="BD181" s="512"/>
      <c r="BE181" s="512"/>
      <c r="BF181" s="512"/>
      <c r="BG181" s="495">
        <f>SUM(E181:BF181)</f>
        <v>0</v>
      </c>
      <c r="BH181" s="507">
        <f>BG181</f>
        <v>0</v>
      </c>
      <c r="BI181" s="496"/>
    </row>
    <row r="182" spans="1:61" ht="289.89999999999998" customHeight="1" thickTop="1" thickBot="1" x14ac:dyDescent="1.3">
      <c r="A182" s="515" t="s">
        <v>688</v>
      </c>
      <c r="B182" s="502" t="s">
        <v>689</v>
      </c>
      <c r="C182" s="1052" t="s">
        <v>128</v>
      </c>
      <c r="D182" s="1052"/>
      <c r="E182" s="565"/>
      <c r="F182" s="565"/>
      <c r="G182" s="565"/>
      <c r="H182" s="565"/>
      <c r="I182" s="565"/>
      <c r="J182" s="565"/>
      <c r="K182" s="565"/>
      <c r="L182" s="565"/>
      <c r="M182" s="565"/>
      <c r="N182" s="565"/>
      <c r="O182" s="565"/>
      <c r="P182" s="565"/>
      <c r="Q182" s="565"/>
      <c r="R182" s="565"/>
      <c r="S182" s="565"/>
      <c r="T182" s="699"/>
      <c r="U182" s="699"/>
      <c r="V182" s="699"/>
      <c r="W182" s="699"/>
      <c r="X182" s="557"/>
      <c r="Y182" s="557"/>
      <c r="Z182" s="557"/>
      <c r="AA182" s="557"/>
      <c r="AB182" s="557"/>
      <c r="AC182" s="557"/>
      <c r="AD182" s="565"/>
      <c r="AE182" s="512"/>
      <c r="AF182" s="512"/>
      <c r="AG182" s="512"/>
      <c r="AH182" s="512"/>
      <c r="AI182" s="512"/>
      <c r="AJ182" s="512"/>
      <c r="AK182" s="512"/>
      <c r="AL182" s="512"/>
      <c r="AM182" s="557"/>
      <c r="AN182" s="557"/>
      <c r="AO182" s="557"/>
      <c r="AP182" s="557"/>
      <c r="AQ182" s="512"/>
      <c r="AR182" s="512"/>
      <c r="AS182" s="512"/>
      <c r="AT182" s="512"/>
      <c r="AU182" s="512"/>
      <c r="AV182" s="512"/>
      <c r="AW182" s="512"/>
      <c r="AX182" s="557"/>
      <c r="AY182" s="512"/>
      <c r="AZ182" s="512"/>
      <c r="BA182" s="512"/>
      <c r="BB182" s="512"/>
      <c r="BC182" s="512"/>
      <c r="BD182" s="512"/>
      <c r="BE182" s="512"/>
      <c r="BF182" s="512"/>
      <c r="BG182" s="495">
        <f>SUM(E182:BF182)</f>
        <v>0</v>
      </c>
      <c r="BH182" s="507">
        <f t="shared" ref="BH182:BH183" si="31">BG182</f>
        <v>0</v>
      </c>
      <c r="BI182" s="496">
        <f>BG182/24</f>
        <v>0</v>
      </c>
    </row>
    <row r="183" spans="1:61" ht="367.9" customHeight="1" thickTop="1" thickBot="1" x14ac:dyDescent="1.3">
      <c r="A183" s="515" t="s">
        <v>690</v>
      </c>
      <c r="B183" s="502" t="s">
        <v>689</v>
      </c>
      <c r="C183" s="1052" t="s">
        <v>128</v>
      </c>
      <c r="D183" s="1052"/>
      <c r="E183" s="631"/>
      <c r="F183" s="631"/>
      <c r="G183" s="631"/>
      <c r="H183" s="631"/>
      <c r="I183" s="631"/>
      <c r="J183" s="631"/>
      <c r="K183" s="631"/>
      <c r="L183" s="631"/>
      <c r="M183" s="631"/>
      <c r="N183" s="631"/>
      <c r="O183" s="631"/>
      <c r="P183" s="631"/>
      <c r="Q183" s="631"/>
      <c r="R183" s="631"/>
      <c r="S183" s="512">
        <v>24</v>
      </c>
      <c r="T183" s="755">
        <v>24</v>
      </c>
      <c r="U183" s="755"/>
      <c r="V183" s="755"/>
      <c r="W183" s="734"/>
      <c r="X183" s="557"/>
      <c r="Y183" s="557"/>
      <c r="Z183" s="557"/>
      <c r="AA183" s="557"/>
      <c r="AB183" s="557"/>
      <c r="AC183" s="565"/>
      <c r="AD183" s="565"/>
      <c r="AE183" s="565"/>
      <c r="AF183" s="565"/>
      <c r="AG183" s="565"/>
      <c r="AH183" s="565"/>
      <c r="AI183" s="565"/>
      <c r="AJ183" s="565"/>
      <c r="AK183" s="565"/>
      <c r="AL183" s="565"/>
      <c r="AM183" s="565"/>
      <c r="AN183" s="565"/>
      <c r="AO183" s="565"/>
      <c r="AP183" s="565"/>
      <c r="AQ183" s="565"/>
      <c r="AR183" s="565"/>
      <c r="AS183" s="565"/>
      <c r="AT183" s="565"/>
      <c r="AU183" s="512"/>
      <c r="AV183" s="512"/>
      <c r="AW183" s="512"/>
      <c r="AX183" s="557"/>
      <c r="AY183" s="512"/>
      <c r="AZ183" s="512"/>
      <c r="BA183" s="512"/>
      <c r="BB183" s="557"/>
      <c r="BC183" s="512"/>
      <c r="BD183" s="512"/>
      <c r="BE183" s="512"/>
      <c r="BF183" s="512"/>
      <c r="BG183" s="495">
        <f>SUM(E183:BF183)</f>
        <v>48</v>
      </c>
      <c r="BH183" s="507">
        <f t="shared" si="31"/>
        <v>48</v>
      </c>
      <c r="BI183" s="496">
        <f>BG183/24</f>
        <v>2</v>
      </c>
    </row>
    <row r="184" spans="1:61" ht="367.9" customHeight="1" thickTop="1" thickBot="1" x14ac:dyDescent="1.3">
      <c r="A184" s="696" t="s">
        <v>664</v>
      </c>
      <c r="B184" s="697" t="s">
        <v>689</v>
      </c>
      <c r="C184" s="1052" t="s">
        <v>128</v>
      </c>
      <c r="D184" s="1052"/>
      <c r="E184" s="755">
        <v>24</v>
      </c>
      <c r="F184" s="755">
        <v>24</v>
      </c>
      <c r="G184" s="755">
        <v>24</v>
      </c>
      <c r="H184" s="755">
        <v>24</v>
      </c>
      <c r="I184" s="755">
        <v>24</v>
      </c>
      <c r="J184" s="755">
        <v>24</v>
      </c>
      <c r="K184" s="755">
        <v>24</v>
      </c>
      <c r="L184" s="755">
        <v>24</v>
      </c>
      <c r="M184" s="755">
        <v>24</v>
      </c>
      <c r="N184" s="755">
        <v>24</v>
      </c>
      <c r="O184" s="755">
        <v>24</v>
      </c>
      <c r="P184" s="755">
        <v>24</v>
      </c>
      <c r="Q184" s="755">
        <v>24</v>
      </c>
      <c r="R184" s="755">
        <v>24</v>
      </c>
      <c r="S184" s="699"/>
      <c r="T184" s="699"/>
      <c r="U184" s="755">
        <v>24</v>
      </c>
      <c r="V184" s="755">
        <v>24</v>
      </c>
      <c r="W184" s="755">
        <v>24</v>
      </c>
      <c r="X184" s="734">
        <v>24</v>
      </c>
      <c r="Y184" s="734">
        <v>24</v>
      </c>
      <c r="Z184" s="734">
        <v>24</v>
      </c>
      <c r="AA184" s="734">
        <v>24</v>
      </c>
      <c r="AB184" s="734">
        <v>24</v>
      </c>
      <c r="AC184" s="734">
        <v>24</v>
      </c>
      <c r="AD184" s="734">
        <v>24</v>
      </c>
      <c r="AE184" s="734">
        <v>24</v>
      </c>
      <c r="AF184" s="734">
        <v>24</v>
      </c>
      <c r="AG184" s="734">
        <v>24</v>
      </c>
      <c r="AH184" s="734">
        <v>24</v>
      </c>
      <c r="AI184" s="734">
        <v>24</v>
      </c>
      <c r="AJ184" s="734">
        <v>24</v>
      </c>
      <c r="AK184" s="734">
        <v>24</v>
      </c>
      <c r="AL184" s="734">
        <v>24</v>
      </c>
      <c r="AM184" s="699">
        <v>24</v>
      </c>
      <c r="AN184" s="699">
        <v>24</v>
      </c>
      <c r="AO184" s="699">
        <v>24</v>
      </c>
      <c r="AP184" s="699">
        <v>24</v>
      </c>
      <c r="AQ184" s="699">
        <v>24</v>
      </c>
      <c r="AR184" s="699">
        <v>24</v>
      </c>
      <c r="AS184" s="699">
        <v>24</v>
      </c>
      <c r="AT184" s="699">
        <v>24</v>
      </c>
      <c r="AU184" s="699">
        <v>24</v>
      </c>
      <c r="AV184" s="699">
        <v>24</v>
      </c>
      <c r="AW184" s="699">
        <v>24</v>
      </c>
      <c r="AX184" s="699">
        <v>24</v>
      </c>
      <c r="AY184" s="699">
        <v>24</v>
      </c>
      <c r="AZ184" s="699">
        <v>24</v>
      </c>
      <c r="BA184" s="699">
        <v>24</v>
      </c>
      <c r="BB184" s="699">
        <v>24</v>
      </c>
      <c r="BC184" s="699">
        <v>24</v>
      </c>
      <c r="BD184" s="699">
        <v>24</v>
      </c>
      <c r="BE184" s="699">
        <v>24</v>
      </c>
      <c r="BF184" s="699">
        <v>24</v>
      </c>
      <c r="BG184" s="495">
        <f>SUM(E184:BF184)</f>
        <v>1248</v>
      </c>
      <c r="BH184" s="698">
        <f t="shared" ref="BH184" si="32">BG184</f>
        <v>1248</v>
      </c>
      <c r="BI184" s="496">
        <f>BG184/BF184</f>
        <v>52</v>
      </c>
    </row>
    <row r="185" spans="1:61" s="511" customFormat="1" ht="217.9" customHeight="1" thickTop="1" thickBot="1" x14ac:dyDescent="1.3">
      <c r="A185" s="1063" t="s">
        <v>599</v>
      </c>
      <c r="B185" s="499" t="s">
        <v>692</v>
      </c>
      <c r="C185" s="1053" t="s">
        <v>127</v>
      </c>
      <c r="D185" s="1053"/>
      <c r="E185" s="508">
        <v>72</v>
      </c>
      <c r="F185" s="508">
        <v>72</v>
      </c>
      <c r="G185" s="508">
        <v>72</v>
      </c>
      <c r="H185" s="508">
        <v>72</v>
      </c>
      <c r="I185" s="508">
        <v>72</v>
      </c>
      <c r="J185" s="508">
        <v>72</v>
      </c>
      <c r="K185" s="508">
        <v>72</v>
      </c>
      <c r="L185" s="508">
        <v>72</v>
      </c>
      <c r="M185" s="508">
        <v>72</v>
      </c>
      <c r="N185" s="508">
        <v>72</v>
      </c>
      <c r="O185" s="508">
        <v>72</v>
      </c>
      <c r="P185" s="508">
        <v>72</v>
      </c>
      <c r="Q185" s="508">
        <v>72</v>
      </c>
      <c r="R185" s="508">
        <v>72</v>
      </c>
      <c r="S185" s="508">
        <v>72</v>
      </c>
      <c r="T185" s="508">
        <v>72</v>
      </c>
      <c r="U185" s="508">
        <v>72</v>
      </c>
      <c r="V185" s="508">
        <v>72</v>
      </c>
      <c r="W185" s="508">
        <v>72</v>
      </c>
      <c r="X185" s="508">
        <v>72</v>
      </c>
      <c r="Y185" s="508">
        <v>72</v>
      </c>
      <c r="Z185" s="508">
        <v>72</v>
      </c>
      <c r="AA185" s="508">
        <v>72</v>
      </c>
      <c r="AB185" s="508">
        <v>72</v>
      </c>
      <c r="AC185" s="508">
        <v>72</v>
      </c>
      <c r="AD185" s="508">
        <v>72</v>
      </c>
      <c r="AE185" s="508">
        <v>72</v>
      </c>
      <c r="AF185" s="508">
        <v>72</v>
      </c>
      <c r="AG185" s="508">
        <v>72</v>
      </c>
      <c r="AH185" s="508">
        <v>72</v>
      </c>
      <c r="AI185" s="508">
        <v>72</v>
      </c>
      <c r="AJ185" s="508">
        <v>72</v>
      </c>
      <c r="AK185" s="508">
        <v>72</v>
      </c>
      <c r="AL185" s="508">
        <v>72</v>
      </c>
      <c r="AM185" s="508">
        <v>72</v>
      </c>
      <c r="AN185" s="508">
        <v>72</v>
      </c>
      <c r="AO185" s="508">
        <v>72</v>
      </c>
      <c r="AP185" s="508">
        <v>72</v>
      </c>
      <c r="AQ185" s="508">
        <v>72</v>
      </c>
      <c r="AR185" s="508">
        <v>72</v>
      </c>
      <c r="AS185" s="508">
        <v>72</v>
      </c>
      <c r="AT185" s="508">
        <v>72</v>
      </c>
      <c r="AU185" s="508">
        <v>72</v>
      </c>
      <c r="AV185" s="508">
        <v>72</v>
      </c>
      <c r="AW185" s="508">
        <v>72</v>
      </c>
      <c r="AX185" s="508">
        <v>72</v>
      </c>
      <c r="AY185" s="508">
        <v>72</v>
      </c>
      <c r="AZ185" s="508">
        <v>72</v>
      </c>
      <c r="BA185" s="508">
        <v>72</v>
      </c>
      <c r="BB185" s="508">
        <v>72</v>
      </c>
      <c r="BC185" s="508">
        <v>72</v>
      </c>
      <c r="BD185" s="508">
        <v>72</v>
      </c>
      <c r="BE185" s="508">
        <v>72</v>
      </c>
      <c r="BF185" s="508">
        <v>72</v>
      </c>
      <c r="BG185" s="490">
        <f t="shared" si="30"/>
        <v>3888</v>
      </c>
      <c r="BH185" s="501">
        <f t="shared" ref="BH185:BH193" si="33">BG185</f>
        <v>3888</v>
      </c>
      <c r="BI185" s="491">
        <f t="shared" si="18"/>
        <v>54</v>
      </c>
    </row>
    <row r="186" spans="1:61" ht="265.89999999999998" customHeight="1" thickTop="1" thickBot="1" x14ac:dyDescent="1.3">
      <c r="A186" s="1063"/>
      <c r="B186" s="502" t="s">
        <v>689</v>
      </c>
      <c r="C186" s="1052" t="s">
        <v>128</v>
      </c>
      <c r="D186" s="1052"/>
      <c r="E186" s="512"/>
      <c r="F186" s="512"/>
      <c r="G186" s="512"/>
      <c r="H186" s="512"/>
      <c r="I186" s="512"/>
      <c r="J186" s="512"/>
      <c r="K186" s="512"/>
      <c r="L186" s="512"/>
      <c r="M186" s="512"/>
      <c r="N186" s="512"/>
      <c r="O186" s="512"/>
      <c r="P186" s="557"/>
      <c r="Q186" s="557"/>
      <c r="R186" s="557"/>
      <c r="S186" s="557"/>
      <c r="T186" s="571"/>
      <c r="U186" s="571"/>
      <c r="V186" s="571"/>
      <c r="W186" s="571"/>
      <c r="X186" s="571"/>
      <c r="Y186" s="571"/>
      <c r="Z186" s="571"/>
      <c r="AA186" s="571"/>
      <c r="AB186" s="571"/>
      <c r="AC186" s="512"/>
      <c r="AD186" s="512"/>
      <c r="AE186" s="512"/>
      <c r="AF186" s="512"/>
      <c r="AG186" s="512"/>
      <c r="AH186" s="512"/>
      <c r="AI186" s="512"/>
      <c r="AJ186" s="512"/>
      <c r="AK186" s="512"/>
      <c r="AL186" s="512"/>
      <c r="AM186" s="512"/>
      <c r="AN186" s="512"/>
      <c r="AO186" s="512"/>
      <c r="AP186" s="512"/>
      <c r="AQ186" s="512"/>
      <c r="AR186" s="512"/>
      <c r="AS186" s="512"/>
      <c r="AT186" s="512"/>
      <c r="AU186" s="512"/>
      <c r="AV186" s="512"/>
      <c r="AW186" s="512"/>
      <c r="AX186" s="512"/>
      <c r="AY186" s="512"/>
      <c r="AZ186" s="512"/>
      <c r="BA186" s="512"/>
      <c r="BB186" s="512"/>
      <c r="BC186" s="512"/>
      <c r="BD186" s="512"/>
      <c r="BE186" s="512"/>
      <c r="BF186" s="512"/>
      <c r="BG186" s="495">
        <f>SUM(E186:BF186)</f>
        <v>0</v>
      </c>
      <c r="BH186" s="507">
        <f t="shared" si="33"/>
        <v>0</v>
      </c>
      <c r="BI186" s="496">
        <f>BG186/24</f>
        <v>0</v>
      </c>
    </row>
    <row r="187" spans="1:61" ht="289.89999999999998" customHeight="1" thickTop="1" thickBot="1" x14ac:dyDescent="1.3">
      <c r="A187" s="515" t="s">
        <v>688</v>
      </c>
      <c r="B187" s="502" t="s">
        <v>689</v>
      </c>
      <c r="C187" s="1052" t="s">
        <v>128</v>
      </c>
      <c r="D187" s="1052"/>
      <c r="E187" s="565"/>
      <c r="F187" s="565"/>
      <c r="G187" s="565"/>
      <c r="H187" s="565"/>
      <c r="I187" s="565"/>
      <c r="J187" s="565"/>
      <c r="K187" s="565"/>
      <c r="L187" s="565"/>
      <c r="M187" s="565"/>
      <c r="N187" s="565"/>
      <c r="O187" s="565"/>
      <c r="P187" s="565"/>
      <c r="Q187" s="565"/>
      <c r="R187" s="565"/>
      <c r="S187" s="565"/>
      <c r="T187" s="699"/>
      <c r="U187" s="699"/>
      <c r="V187" s="699"/>
      <c r="W187" s="699"/>
      <c r="X187" s="557"/>
      <c r="Y187" s="557"/>
      <c r="Z187" s="512"/>
      <c r="AA187" s="557"/>
      <c r="AB187" s="557"/>
      <c r="AC187" s="557"/>
      <c r="AD187" s="512"/>
      <c r="AE187" s="512"/>
      <c r="AF187" s="512"/>
      <c r="AG187" s="512"/>
      <c r="AH187" s="512"/>
      <c r="AI187" s="512"/>
      <c r="AJ187" s="512"/>
      <c r="AK187" s="512"/>
      <c r="AL187" s="512"/>
      <c r="AM187" s="557"/>
      <c r="AN187" s="512"/>
      <c r="AO187" s="512"/>
      <c r="AP187" s="557"/>
      <c r="AQ187" s="512"/>
      <c r="AR187" s="512"/>
      <c r="AS187" s="512"/>
      <c r="AT187" s="512"/>
      <c r="AU187" s="565"/>
      <c r="AV187" s="565"/>
      <c r="AW187" s="565"/>
      <c r="AX187" s="565"/>
      <c r="AY187" s="565"/>
      <c r="AZ187" s="565"/>
      <c r="BA187" s="565"/>
      <c r="BB187" s="565"/>
      <c r="BC187" s="565"/>
      <c r="BD187" s="565"/>
      <c r="BE187" s="565"/>
      <c r="BF187" s="565"/>
      <c r="BG187" s="495">
        <f>SUM(E187:BF187)</f>
        <v>0</v>
      </c>
      <c r="BH187" s="507">
        <f t="shared" si="33"/>
        <v>0</v>
      </c>
      <c r="BI187" s="496">
        <f>BG187/72</f>
        <v>0</v>
      </c>
    </row>
    <row r="188" spans="1:61" ht="367.9" customHeight="1" thickTop="1" thickBot="1" x14ac:dyDescent="1.3">
      <c r="A188" s="515" t="s">
        <v>690</v>
      </c>
      <c r="B188" s="502" t="s">
        <v>689</v>
      </c>
      <c r="C188" s="1052" t="s">
        <v>128</v>
      </c>
      <c r="D188" s="1052"/>
      <c r="E188" s="631"/>
      <c r="F188" s="631"/>
      <c r="G188" s="631"/>
      <c r="H188" s="631"/>
      <c r="I188" s="734"/>
      <c r="J188" s="734"/>
      <c r="K188" s="734"/>
      <c r="L188" s="734"/>
      <c r="M188" s="734"/>
      <c r="N188" s="734"/>
      <c r="O188" s="734"/>
      <c r="P188" s="734"/>
      <c r="Q188" s="734"/>
      <c r="R188" s="734"/>
      <c r="S188" s="734">
        <v>72</v>
      </c>
      <c r="T188" s="734">
        <v>72</v>
      </c>
      <c r="U188" s="734"/>
      <c r="V188" s="734"/>
      <c r="W188" s="734"/>
      <c r="X188" s="693"/>
      <c r="Y188" s="693"/>
      <c r="Z188" s="693"/>
      <c r="AA188" s="693"/>
      <c r="AB188" s="693"/>
      <c r="AC188" s="565"/>
      <c r="AD188" s="565"/>
      <c r="AE188" s="565"/>
      <c r="AF188" s="565"/>
      <c r="AG188" s="565"/>
      <c r="AH188" s="565"/>
      <c r="AI188" s="565"/>
      <c r="AJ188" s="565"/>
      <c r="AK188" s="565"/>
      <c r="AL188" s="565"/>
      <c r="AM188" s="565"/>
      <c r="AN188" s="565"/>
      <c r="AO188" s="565"/>
      <c r="AP188" s="565"/>
      <c r="AQ188" s="565"/>
      <c r="AR188" s="565"/>
      <c r="AS188" s="565"/>
      <c r="AT188" s="565"/>
      <c r="AU188" s="565"/>
      <c r="AV188" s="565"/>
      <c r="AW188" s="565"/>
      <c r="AX188" s="565"/>
      <c r="AY188" s="565"/>
      <c r="AZ188" s="565"/>
      <c r="BA188" s="565"/>
      <c r="BB188" s="565"/>
      <c r="BC188" s="565"/>
      <c r="BD188" s="565"/>
      <c r="BE188" s="565"/>
      <c r="BF188" s="565"/>
      <c r="BG188" s="495">
        <f>SUM(E188:BF188)</f>
        <v>144</v>
      </c>
      <c r="BH188" s="507">
        <f t="shared" si="33"/>
        <v>144</v>
      </c>
      <c r="BI188" s="496">
        <f>BG188/72</f>
        <v>2</v>
      </c>
    </row>
    <row r="189" spans="1:61" ht="367.9" customHeight="1" thickTop="1" thickBot="1" x14ac:dyDescent="1.3">
      <c r="A189" s="696" t="s">
        <v>664</v>
      </c>
      <c r="B189" s="697" t="s">
        <v>689</v>
      </c>
      <c r="C189" s="1052" t="s">
        <v>128</v>
      </c>
      <c r="D189" s="1052"/>
      <c r="E189" s="755">
        <v>72</v>
      </c>
      <c r="F189" s="755">
        <v>72</v>
      </c>
      <c r="G189" s="755">
        <v>72</v>
      </c>
      <c r="H189" s="755">
        <v>72</v>
      </c>
      <c r="I189" s="755">
        <v>72</v>
      </c>
      <c r="J189" s="755">
        <v>72</v>
      </c>
      <c r="K189" s="755">
        <v>72</v>
      </c>
      <c r="L189" s="755">
        <v>72</v>
      </c>
      <c r="M189" s="755">
        <v>72</v>
      </c>
      <c r="N189" s="755">
        <v>72</v>
      </c>
      <c r="O189" s="755">
        <v>72</v>
      </c>
      <c r="P189" s="755">
        <v>72</v>
      </c>
      <c r="Q189" s="755">
        <v>72</v>
      </c>
      <c r="R189" s="755">
        <v>72</v>
      </c>
      <c r="S189" s="699"/>
      <c r="T189" s="699"/>
      <c r="U189" s="755">
        <v>72</v>
      </c>
      <c r="V189" s="755">
        <v>72</v>
      </c>
      <c r="W189" s="755">
        <v>72</v>
      </c>
      <c r="X189" s="734">
        <v>72</v>
      </c>
      <c r="Y189" s="734">
        <v>72</v>
      </c>
      <c r="Z189" s="734">
        <v>72</v>
      </c>
      <c r="AA189" s="734">
        <v>72</v>
      </c>
      <c r="AB189" s="734">
        <v>72</v>
      </c>
      <c r="AC189" s="734">
        <v>72</v>
      </c>
      <c r="AD189" s="734">
        <v>72</v>
      </c>
      <c r="AE189" s="734">
        <v>72</v>
      </c>
      <c r="AF189" s="734">
        <v>72</v>
      </c>
      <c r="AG189" s="734">
        <v>72</v>
      </c>
      <c r="AH189" s="734">
        <v>72</v>
      </c>
      <c r="AI189" s="734">
        <v>72</v>
      </c>
      <c r="AJ189" s="734">
        <v>72</v>
      </c>
      <c r="AK189" s="734">
        <v>72</v>
      </c>
      <c r="AL189" s="734">
        <v>72</v>
      </c>
      <c r="AM189" s="699">
        <v>72</v>
      </c>
      <c r="AN189" s="699">
        <v>72</v>
      </c>
      <c r="AO189" s="699">
        <v>72</v>
      </c>
      <c r="AP189" s="699">
        <v>72</v>
      </c>
      <c r="AQ189" s="699">
        <v>72</v>
      </c>
      <c r="AR189" s="699">
        <v>72</v>
      </c>
      <c r="AS189" s="699">
        <v>72</v>
      </c>
      <c r="AT189" s="699">
        <v>72</v>
      </c>
      <c r="AU189" s="699">
        <v>72</v>
      </c>
      <c r="AV189" s="699">
        <v>72</v>
      </c>
      <c r="AW189" s="699">
        <v>72</v>
      </c>
      <c r="AX189" s="699">
        <v>72</v>
      </c>
      <c r="AY189" s="699">
        <v>72</v>
      </c>
      <c r="AZ189" s="699">
        <v>72</v>
      </c>
      <c r="BA189" s="699">
        <v>72</v>
      </c>
      <c r="BB189" s="699">
        <v>72</v>
      </c>
      <c r="BC189" s="699">
        <v>72</v>
      </c>
      <c r="BD189" s="699">
        <v>72</v>
      </c>
      <c r="BE189" s="699">
        <v>72</v>
      </c>
      <c r="BF189" s="699">
        <v>72</v>
      </c>
      <c r="BG189" s="495">
        <f>SUM(E189:BF189)</f>
        <v>3744</v>
      </c>
      <c r="BH189" s="698">
        <f t="shared" ref="BH189" si="34">BG189</f>
        <v>3744</v>
      </c>
      <c r="BI189" s="496">
        <f>BG189/72</f>
        <v>52</v>
      </c>
    </row>
    <row r="190" spans="1:61" s="511" customFormat="1" ht="217.9" customHeight="1" thickTop="1" thickBot="1" x14ac:dyDescent="1.3">
      <c r="A190" s="1063" t="s">
        <v>694</v>
      </c>
      <c r="B190" s="499" t="s">
        <v>695</v>
      </c>
      <c r="C190" s="1053" t="s">
        <v>127</v>
      </c>
      <c r="D190" s="1053"/>
      <c r="E190" s="508">
        <v>48</v>
      </c>
      <c r="F190" s="508">
        <v>48</v>
      </c>
      <c r="G190" s="508">
        <v>48</v>
      </c>
      <c r="H190" s="508">
        <v>48</v>
      </c>
      <c r="I190" s="508">
        <v>48</v>
      </c>
      <c r="J190" s="508">
        <v>48</v>
      </c>
      <c r="K190" s="508">
        <v>48</v>
      </c>
      <c r="L190" s="508">
        <v>48</v>
      </c>
      <c r="M190" s="508">
        <v>48</v>
      </c>
      <c r="N190" s="508">
        <v>48</v>
      </c>
      <c r="O190" s="508">
        <v>48</v>
      </c>
      <c r="P190" s="508">
        <v>48</v>
      </c>
      <c r="Q190" s="508">
        <v>48</v>
      </c>
      <c r="R190" s="508">
        <v>48</v>
      </c>
      <c r="S190" s="508">
        <v>48</v>
      </c>
      <c r="T190" s="508">
        <v>48</v>
      </c>
      <c r="U190" s="508">
        <v>48</v>
      </c>
      <c r="V190" s="508">
        <v>48</v>
      </c>
      <c r="W190" s="508">
        <v>48</v>
      </c>
      <c r="X190" s="508">
        <v>48</v>
      </c>
      <c r="Y190" s="508">
        <v>48</v>
      </c>
      <c r="Z190" s="508">
        <v>48</v>
      </c>
      <c r="AA190" s="508">
        <v>48</v>
      </c>
      <c r="AB190" s="508">
        <v>48</v>
      </c>
      <c r="AC190" s="508">
        <v>48</v>
      </c>
      <c r="AD190" s="508">
        <v>48</v>
      </c>
      <c r="AE190" s="508">
        <v>48</v>
      </c>
      <c r="AF190" s="508">
        <v>48</v>
      </c>
      <c r="AG190" s="508">
        <v>48</v>
      </c>
      <c r="AH190" s="508">
        <v>48</v>
      </c>
      <c r="AI190" s="508">
        <v>48</v>
      </c>
      <c r="AJ190" s="508">
        <v>48</v>
      </c>
      <c r="AK190" s="508">
        <v>48</v>
      </c>
      <c r="AL190" s="508">
        <v>48</v>
      </c>
      <c r="AM190" s="508">
        <v>48</v>
      </c>
      <c r="AN190" s="508">
        <v>48</v>
      </c>
      <c r="AO190" s="508">
        <v>48</v>
      </c>
      <c r="AP190" s="508">
        <v>48</v>
      </c>
      <c r="AQ190" s="508">
        <v>48</v>
      </c>
      <c r="AR190" s="508">
        <v>48</v>
      </c>
      <c r="AS190" s="508">
        <v>48</v>
      </c>
      <c r="AT190" s="508">
        <v>48</v>
      </c>
      <c r="AU190" s="508">
        <v>48</v>
      </c>
      <c r="AV190" s="508">
        <v>48</v>
      </c>
      <c r="AW190" s="508">
        <v>48</v>
      </c>
      <c r="AX190" s="508">
        <v>48</v>
      </c>
      <c r="AY190" s="508">
        <v>48</v>
      </c>
      <c r="AZ190" s="508">
        <v>48</v>
      </c>
      <c r="BA190" s="508">
        <v>48</v>
      </c>
      <c r="BB190" s="508">
        <v>48</v>
      </c>
      <c r="BC190" s="508">
        <v>48</v>
      </c>
      <c r="BD190" s="508">
        <v>48</v>
      </c>
      <c r="BE190" s="508">
        <v>48</v>
      </c>
      <c r="BF190" s="508">
        <v>48</v>
      </c>
      <c r="BG190" s="490">
        <f t="shared" ref="BG190" si="35">SUM(E190:BF190)</f>
        <v>2592</v>
      </c>
      <c r="BH190" s="501">
        <f t="shared" si="33"/>
        <v>2592</v>
      </c>
      <c r="BI190" s="491">
        <f t="shared" ref="BI190" si="36">BG190/BF190</f>
        <v>54</v>
      </c>
    </row>
    <row r="191" spans="1:61" ht="265.89999999999998" customHeight="1" thickTop="1" thickBot="1" x14ac:dyDescent="1.3">
      <c r="A191" s="1063"/>
      <c r="B191" s="502" t="s">
        <v>689</v>
      </c>
      <c r="C191" s="1052" t="s">
        <v>128</v>
      </c>
      <c r="D191" s="1052"/>
      <c r="E191" s="512"/>
      <c r="F191" s="512"/>
      <c r="G191" s="512"/>
      <c r="H191" s="512"/>
      <c r="I191" s="512"/>
      <c r="J191" s="512"/>
      <c r="K191" s="512"/>
      <c r="L191" s="512"/>
      <c r="M191" s="512"/>
      <c r="N191" s="512"/>
      <c r="O191" s="512"/>
      <c r="P191" s="557"/>
      <c r="Q191" s="557"/>
      <c r="R191" s="557"/>
      <c r="S191" s="557"/>
      <c r="T191" s="571"/>
      <c r="U191" s="571"/>
      <c r="V191" s="571"/>
      <c r="W191" s="571"/>
      <c r="X191" s="571"/>
      <c r="Y191" s="571"/>
      <c r="Z191" s="571"/>
      <c r="AA191" s="571"/>
      <c r="AB191" s="571"/>
      <c r="AC191" s="512"/>
      <c r="AD191" s="512"/>
      <c r="AE191" s="512"/>
      <c r="AF191" s="512"/>
      <c r="AG191" s="512"/>
      <c r="AH191" s="512"/>
      <c r="AI191" s="512"/>
      <c r="AJ191" s="512"/>
      <c r="AK191" s="512"/>
      <c r="AL191" s="512"/>
      <c r="AM191" s="512"/>
      <c r="AN191" s="512"/>
      <c r="AO191" s="512"/>
      <c r="AP191" s="512"/>
      <c r="AQ191" s="512"/>
      <c r="AR191" s="512"/>
      <c r="AS191" s="512"/>
      <c r="AT191" s="512"/>
      <c r="AU191" s="512"/>
      <c r="AV191" s="512"/>
      <c r="AW191" s="512"/>
      <c r="AX191" s="512"/>
      <c r="AY191" s="512"/>
      <c r="AZ191" s="512"/>
      <c r="BA191" s="512"/>
      <c r="BB191" s="512"/>
      <c r="BC191" s="512"/>
      <c r="BD191" s="512"/>
      <c r="BE191" s="512"/>
      <c r="BF191" s="512"/>
      <c r="BG191" s="495">
        <f>SUM(E191:BF191)</f>
        <v>0</v>
      </c>
      <c r="BH191" s="507">
        <f t="shared" si="33"/>
        <v>0</v>
      </c>
      <c r="BI191" s="496">
        <v>0</v>
      </c>
    </row>
    <row r="192" spans="1:61" ht="289.89999999999998" customHeight="1" thickTop="1" thickBot="1" x14ac:dyDescent="1.3">
      <c r="A192" s="515" t="s">
        <v>688</v>
      </c>
      <c r="B192" s="502" t="s">
        <v>689</v>
      </c>
      <c r="C192" s="1052" t="s">
        <v>128</v>
      </c>
      <c r="D192" s="1052"/>
      <c r="E192" s="565"/>
      <c r="F192" s="565"/>
      <c r="G192" s="565"/>
      <c r="H192" s="565"/>
      <c r="I192" s="565"/>
      <c r="J192" s="565"/>
      <c r="K192" s="565"/>
      <c r="L192" s="565"/>
      <c r="M192" s="565"/>
      <c r="N192" s="565"/>
      <c r="O192" s="565"/>
      <c r="P192" s="565"/>
      <c r="Q192" s="565"/>
      <c r="R192" s="565"/>
      <c r="S192" s="565"/>
      <c r="T192" s="699"/>
      <c r="U192" s="699"/>
      <c r="V192" s="699"/>
      <c r="W192" s="699"/>
      <c r="X192" s="557"/>
      <c r="Y192" s="557"/>
      <c r="Z192" s="557"/>
      <c r="AA192" s="557"/>
      <c r="AB192" s="557"/>
      <c r="AC192" s="557"/>
      <c r="AD192" s="512"/>
      <c r="AE192" s="512"/>
      <c r="AF192" s="512"/>
      <c r="AG192" s="512"/>
      <c r="AH192" s="512"/>
      <c r="AI192" s="512"/>
      <c r="AJ192" s="512"/>
      <c r="AK192" s="512"/>
      <c r="AL192" s="512"/>
      <c r="AM192" s="557"/>
      <c r="AN192" s="512"/>
      <c r="AO192" s="512"/>
      <c r="AP192" s="557"/>
      <c r="AQ192" s="512"/>
      <c r="AR192" s="512"/>
      <c r="AS192" s="512"/>
      <c r="AT192" s="512"/>
      <c r="AU192" s="512"/>
      <c r="AV192" s="512"/>
      <c r="AW192" s="512"/>
      <c r="AX192" s="557"/>
      <c r="AY192" s="512"/>
      <c r="AZ192" s="512"/>
      <c r="BA192" s="512"/>
      <c r="BB192" s="512"/>
      <c r="BC192" s="512"/>
      <c r="BD192" s="512"/>
      <c r="BE192" s="512"/>
      <c r="BF192" s="512"/>
      <c r="BG192" s="495">
        <f>SUM(E192:BF192)</f>
        <v>0</v>
      </c>
      <c r="BH192" s="507">
        <f t="shared" si="33"/>
        <v>0</v>
      </c>
      <c r="BI192" s="496">
        <f>BG192/48</f>
        <v>0</v>
      </c>
    </row>
    <row r="193" spans="1:61" ht="367.9" customHeight="1" thickTop="1" thickBot="1" x14ac:dyDescent="1.3">
      <c r="A193" s="515" t="s">
        <v>690</v>
      </c>
      <c r="B193" s="502" t="s">
        <v>689</v>
      </c>
      <c r="C193" s="1064" t="s">
        <v>128</v>
      </c>
      <c r="D193" s="1065"/>
      <c r="E193" s="631"/>
      <c r="F193" s="631"/>
      <c r="G193" s="631"/>
      <c r="H193" s="631"/>
      <c r="I193" s="631"/>
      <c r="J193" s="631"/>
      <c r="K193" s="631"/>
      <c r="L193" s="631"/>
      <c r="M193" s="631"/>
      <c r="N193" s="631"/>
      <c r="O193" s="631"/>
      <c r="P193" s="631"/>
      <c r="Q193" s="631"/>
      <c r="R193" s="631"/>
      <c r="S193" s="631">
        <v>48</v>
      </c>
      <c r="T193" s="734">
        <v>48</v>
      </c>
      <c r="U193" s="734"/>
      <c r="V193" s="734"/>
      <c r="W193" s="734"/>
      <c r="X193" s="693"/>
      <c r="Y193" s="693"/>
      <c r="Z193" s="693"/>
      <c r="AA193" s="693"/>
      <c r="AB193" s="693"/>
      <c r="AC193" s="565"/>
      <c r="AD193" s="565"/>
      <c r="AE193" s="565"/>
      <c r="AF193" s="565"/>
      <c r="AG193" s="565"/>
      <c r="AH193" s="565"/>
      <c r="AI193" s="565"/>
      <c r="AJ193" s="565"/>
      <c r="AK193" s="565"/>
      <c r="AL193" s="565"/>
      <c r="AM193" s="565"/>
      <c r="AN193" s="565"/>
      <c r="AO193" s="565"/>
      <c r="AP193" s="565"/>
      <c r="AQ193" s="565"/>
      <c r="AR193" s="565"/>
      <c r="AS193" s="565"/>
      <c r="AT193" s="565"/>
      <c r="AU193" s="512"/>
      <c r="AV193" s="512"/>
      <c r="AW193" s="512"/>
      <c r="AX193" s="557"/>
      <c r="AY193" s="512"/>
      <c r="AZ193" s="512"/>
      <c r="BA193" s="512"/>
      <c r="BB193" s="557"/>
      <c r="BC193" s="512"/>
      <c r="BD193" s="512"/>
      <c r="BE193" s="512"/>
      <c r="BF193" s="512"/>
      <c r="BG193" s="495">
        <f>SUM(E193:BF193)</f>
        <v>96</v>
      </c>
      <c r="BH193" s="507">
        <f t="shared" si="33"/>
        <v>96</v>
      </c>
      <c r="BI193" s="496">
        <f>BG193/48</f>
        <v>2</v>
      </c>
    </row>
    <row r="194" spans="1:61" ht="367.9" customHeight="1" thickTop="1" thickBot="1" x14ac:dyDescent="1.3">
      <c r="A194" s="696" t="s">
        <v>664</v>
      </c>
      <c r="B194" s="697" t="s">
        <v>689</v>
      </c>
      <c r="C194" s="1064" t="s">
        <v>128</v>
      </c>
      <c r="D194" s="1065"/>
      <c r="E194" s="755">
        <v>48</v>
      </c>
      <c r="F194" s="755">
        <v>48</v>
      </c>
      <c r="G194" s="755">
        <v>48</v>
      </c>
      <c r="H194" s="755">
        <v>48</v>
      </c>
      <c r="I194" s="755">
        <v>48</v>
      </c>
      <c r="J194" s="755">
        <v>48</v>
      </c>
      <c r="K194" s="755">
        <v>48</v>
      </c>
      <c r="L194" s="755">
        <v>48</v>
      </c>
      <c r="M194" s="755">
        <v>48</v>
      </c>
      <c r="N194" s="755">
        <v>48</v>
      </c>
      <c r="O194" s="755">
        <v>48</v>
      </c>
      <c r="P194" s="755">
        <v>48</v>
      </c>
      <c r="Q194" s="755">
        <v>48</v>
      </c>
      <c r="R194" s="755">
        <v>48</v>
      </c>
      <c r="S194" s="699"/>
      <c r="T194" s="699"/>
      <c r="U194" s="755">
        <v>48</v>
      </c>
      <c r="V194" s="755">
        <v>48</v>
      </c>
      <c r="W194" s="755">
        <v>48</v>
      </c>
      <c r="X194" s="734">
        <v>48</v>
      </c>
      <c r="Y194" s="734">
        <v>48</v>
      </c>
      <c r="Z194" s="734">
        <v>48</v>
      </c>
      <c r="AA194" s="734">
        <v>48</v>
      </c>
      <c r="AB194" s="734">
        <v>48</v>
      </c>
      <c r="AC194" s="734">
        <v>48</v>
      </c>
      <c r="AD194" s="734">
        <v>48</v>
      </c>
      <c r="AE194" s="734">
        <v>48</v>
      </c>
      <c r="AF194" s="734">
        <v>48</v>
      </c>
      <c r="AG194" s="734">
        <v>48</v>
      </c>
      <c r="AH194" s="734">
        <v>48</v>
      </c>
      <c r="AI194" s="734">
        <v>48</v>
      </c>
      <c r="AJ194" s="734">
        <v>48</v>
      </c>
      <c r="AK194" s="734">
        <v>48</v>
      </c>
      <c r="AL194" s="734">
        <v>48</v>
      </c>
      <c r="AM194" s="699">
        <v>48</v>
      </c>
      <c r="AN194" s="699">
        <v>48</v>
      </c>
      <c r="AO194" s="699">
        <v>48</v>
      </c>
      <c r="AP194" s="699">
        <v>48</v>
      </c>
      <c r="AQ194" s="699">
        <v>48</v>
      </c>
      <c r="AR194" s="699">
        <v>48</v>
      </c>
      <c r="AS194" s="699">
        <v>48</v>
      </c>
      <c r="AT194" s="699">
        <v>48</v>
      </c>
      <c r="AU194" s="699">
        <v>48</v>
      </c>
      <c r="AV194" s="699">
        <v>48</v>
      </c>
      <c r="AW194" s="699">
        <v>48</v>
      </c>
      <c r="AX194" s="699">
        <v>48</v>
      </c>
      <c r="AY194" s="699">
        <v>48</v>
      </c>
      <c r="AZ194" s="699">
        <v>48</v>
      </c>
      <c r="BA194" s="699">
        <v>48</v>
      </c>
      <c r="BB194" s="699">
        <v>48</v>
      </c>
      <c r="BC194" s="699">
        <v>48</v>
      </c>
      <c r="BD194" s="699">
        <v>48</v>
      </c>
      <c r="BE194" s="699">
        <v>48</v>
      </c>
      <c r="BF194" s="699">
        <v>48</v>
      </c>
      <c r="BG194" s="495">
        <f>SUM(E194:BF194)</f>
        <v>2496</v>
      </c>
      <c r="BH194" s="698">
        <f t="shared" ref="BH194" si="37">BG194</f>
        <v>2496</v>
      </c>
      <c r="BI194" s="496">
        <f>BG194/BF194</f>
        <v>52</v>
      </c>
    </row>
    <row r="195" spans="1:61" ht="307.89999999999998" customHeight="1" thickTop="1" thickBot="1" x14ac:dyDescent="1.3">
      <c r="A195" s="540"/>
      <c r="B195" s="1048" t="s">
        <v>162</v>
      </c>
      <c r="C195" s="1048"/>
      <c r="D195" s="1048"/>
      <c r="E195" s="1048"/>
      <c r="F195" s="543"/>
      <c r="G195" s="543"/>
      <c r="H195" s="543"/>
      <c r="I195" s="543"/>
      <c r="J195" s="543"/>
      <c r="K195" s="543"/>
      <c r="L195" s="543"/>
      <c r="M195" s="543"/>
      <c r="N195" s="543"/>
      <c r="O195" s="543"/>
      <c r="P195" s="543"/>
      <c r="Q195" s="543"/>
      <c r="R195" s="543"/>
      <c r="S195" s="1059" t="s">
        <v>150</v>
      </c>
      <c r="T195" s="1059"/>
      <c r="U195" s="543"/>
      <c r="V195" s="543"/>
      <c r="W195" s="543"/>
      <c r="X195" s="543"/>
      <c r="Y195" s="543"/>
      <c r="Z195" s="543"/>
      <c r="AA195" s="543"/>
      <c r="AB195" s="543"/>
      <c r="AC195" s="543"/>
      <c r="AD195" s="543"/>
      <c r="AE195" s="543"/>
      <c r="AF195" s="543"/>
      <c r="AG195" s="543"/>
      <c r="AH195" s="543"/>
      <c r="AI195" s="543"/>
      <c r="AJ195" s="543"/>
      <c r="AK195" s="1059" t="s">
        <v>162</v>
      </c>
      <c r="AL195" s="1059"/>
      <c r="AM195" s="543"/>
      <c r="AN195" s="543"/>
      <c r="AO195" s="543"/>
      <c r="AP195" s="543"/>
      <c r="AQ195" s="543"/>
      <c r="AR195" s="543"/>
      <c r="AS195" s="543"/>
      <c r="AT195" s="543"/>
      <c r="AU195" s="543"/>
      <c r="AV195" s="543"/>
      <c r="AW195" s="543"/>
      <c r="AX195" s="543"/>
      <c r="AY195" s="543"/>
      <c r="AZ195" s="543"/>
      <c r="BA195" s="543"/>
      <c r="BB195" s="543"/>
      <c r="BC195" s="543"/>
      <c r="BD195" s="543"/>
      <c r="BE195" s="543"/>
      <c r="BF195" s="1059" t="s">
        <v>150</v>
      </c>
      <c r="BG195" s="1059"/>
      <c r="BH195" s="544"/>
      <c r="BI195" s="530"/>
    </row>
    <row r="196" spans="1:61" s="511" customFormat="1" ht="199.9" customHeight="1" thickTop="1" thickBot="1" x14ac:dyDescent="1.3">
      <c r="A196" s="1066" t="s">
        <v>600</v>
      </c>
      <c r="B196" s="1073" t="s">
        <v>605</v>
      </c>
      <c r="C196" s="1053" t="s">
        <v>127</v>
      </c>
      <c r="D196" s="1053"/>
      <c r="E196" s="508">
        <v>24</v>
      </c>
      <c r="F196" s="508">
        <v>24</v>
      </c>
      <c r="G196" s="508">
        <v>24</v>
      </c>
      <c r="H196" s="508">
        <v>24</v>
      </c>
      <c r="I196" s="508">
        <v>24</v>
      </c>
      <c r="J196" s="508">
        <v>24</v>
      </c>
      <c r="K196" s="508">
        <v>24</v>
      </c>
      <c r="L196" s="508">
        <v>24</v>
      </c>
      <c r="M196" s="508">
        <v>24</v>
      </c>
      <c r="N196" s="508">
        <v>24</v>
      </c>
      <c r="O196" s="508">
        <v>24</v>
      </c>
      <c r="P196" s="508">
        <v>24</v>
      </c>
      <c r="Q196" s="508">
        <v>24</v>
      </c>
      <c r="R196" s="508">
        <v>24</v>
      </c>
      <c r="S196" s="508">
        <v>24</v>
      </c>
      <c r="T196" s="508">
        <v>24</v>
      </c>
      <c r="U196" s="508">
        <v>24</v>
      </c>
      <c r="V196" s="508">
        <v>24</v>
      </c>
      <c r="W196" s="508">
        <v>24</v>
      </c>
      <c r="X196" s="508">
        <v>24</v>
      </c>
      <c r="Y196" s="508">
        <v>24</v>
      </c>
      <c r="Z196" s="508">
        <v>24</v>
      </c>
      <c r="AA196" s="508">
        <v>24</v>
      </c>
      <c r="AB196" s="508">
        <v>24</v>
      </c>
      <c r="AC196" s="508">
        <v>24</v>
      </c>
      <c r="AD196" s="508">
        <v>24</v>
      </c>
      <c r="AE196" s="508">
        <v>24</v>
      </c>
      <c r="AF196" s="508">
        <v>24</v>
      </c>
      <c r="AG196" s="508">
        <v>24</v>
      </c>
      <c r="AH196" s="508">
        <v>24</v>
      </c>
      <c r="AI196" s="508">
        <v>24</v>
      </c>
      <c r="AJ196" s="508">
        <v>24</v>
      </c>
      <c r="AK196" s="508">
        <v>24</v>
      </c>
      <c r="AL196" s="508">
        <v>24</v>
      </c>
      <c r="AM196" s="508">
        <v>24</v>
      </c>
      <c r="AN196" s="508">
        <v>24</v>
      </c>
      <c r="AO196" s="508">
        <v>24</v>
      </c>
      <c r="AP196" s="508">
        <v>24</v>
      </c>
      <c r="AQ196" s="508">
        <v>24</v>
      </c>
      <c r="AR196" s="508">
        <v>24</v>
      </c>
      <c r="AS196" s="508">
        <v>24</v>
      </c>
      <c r="AT196" s="508">
        <v>24</v>
      </c>
      <c r="AU196" s="508">
        <v>24</v>
      </c>
      <c r="AV196" s="508">
        <v>24</v>
      </c>
      <c r="AW196" s="508">
        <v>24</v>
      </c>
      <c r="AX196" s="508">
        <v>24</v>
      </c>
      <c r="AY196" s="508">
        <v>24</v>
      </c>
      <c r="AZ196" s="508">
        <v>24</v>
      </c>
      <c r="BA196" s="508">
        <v>24</v>
      </c>
      <c r="BB196" s="508">
        <v>24</v>
      </c>
      <c r="BC196" s="508">
        <v>24</v>
      </c>
      <c r="BD196" s="508">
        <v>24</v>
      </c>
      <c r="BE196" s="508">
        <v>24</v>
      </c>
      <c r="BF196" s="508">
        <v>24</v>
      </c>
      <c r="BG196" s="490">
        <f t="shared" ref="BG196:BG206" si="38">SUM(E196:BF196)</f>
        <v>1296</v>
      </c>
      <c r="BH196" s="501"/>
      <c r="BI196" s="491">
        <f t="shared" ref="BI196:BI216" si="39">BG196/BF196</f>
        <v>54</v>
      </c>
    </row>
    <row r="197" spans="1:61" ht="199.9" customHeight="1" thickTop="1" thickBot="1" x14ac:dyDescent="1.3">
      <c r="A197" s="1066"/>
      <c r="B197" s="1073"/>
      <c r="C197" s="1052" t="s">
        <v>128</v>
      </c>
      <c r="D197" s="1052"/>
      <c r="E197" s="512">
        <v>24</v>
      </c>
      <c r="F197" s="557">
        <v>24</v>
      </c>
      <c r="G197" s="557">
        <v>24</v>
      </c>
      <c r="H197" s="557">
        <v>24</v>
      </c>
      <c r="I197" s="631">
        <v>24</v>
      </c>
      <c r="J197" s="631">
        <v>24</v>
      </c>
      <c r="K197" s="631">
        <v>24</v>
      </c>
      <c r="L197" s="631">
        <v>24</v>
      </c>
      <c r="M197" s="631">
        <v>24</v>
      </c>
      <c r="N197" s="693">
        <v>24</v>
      </c>
      <c r="O197" s="693">
        <v>24</v>
      </c>
      <c r="P197" s="693">
        <v>24</v>
      </c>
      <c r="Q197" s="693">
        <v>24</v>
      </c>
      <c r="R197" s="693">
        <v>24</v>
      </c>
      <c r="S197" s="693">
        <v>24</v>
      </c>
      <c r="T197" s="693">
        <v>24</v>
      </c>
      <c r="U197" s="734">
        <v>24</v>
      </c>
      <c r="V197" s="734">
        <v>24</v>
      </c>
      <c r="W197" s="734">
        <v>24</v>
      </c>
      <c r="X197" s="755">
        <v>24</v>
      </c>
      <c r="Y197" s="755">
        <v>24</v>
      </c>
      <c r="Z197" s="518"/>
      <c r="AA197" s="557"/>
      <c r="AB197" s="512">
        <v>24</v>
      </c>
      <c r="AC197" s="512">
        <v>24</v>
      </c>
      <c r="AD197" s="565">
        <v>24</v>
      </c>
      <c r="AE197" s="565">
        <v>24</v>
      </c>
      <c r="AF197" s="565">
        <v>24</v>
      </c>
      <c r="AG197" s="565">
        <v>24</v>
      </c>
      <c r="AH197" s="565">
        <v>24</v>
      </c>
      <c r="AI197" s="565">
        <v>24</v>
      </c>
      <c r="AJ197" s="565">
        <v>24</v>
      </c>
      <c r="AK197" s="512">
        <v>24</v>
      </c>
      <c r="AL197" s="518">
        <v>24</v>
      </c>
      <c r="AM197" s="518">
        <v>24</v>
      </c>
      <c r="AN197" s="518">
        <v>24</v>
      </c>
      <c r="AO197" s="512">
        <v>24</v>
      </c>
      <c r="AP197" s="512">
        <v>24</v>
      </c>
      <c r="AQ197" s="512">
        <v>24</v>
      </c>
      <c r="AR197" s="512">
        <v>24</v>
      </c>
      <c r="AS197" s="512">
        <v>24</v>
      </c>
      <c r="AT197" s="512">
        <v>24</v>
      </c>
      <c r="AU197" s="512">
        <v>24</v>
      </c>
      <c r="AV197" s="512">
        <v>24</v>
      </c>
      <c r="AW197" s="557">
        <v>24</v>
      </c>
      <c r="AX197" s="557">
        <v>24</v>
      </c>
      <c r="AY197" s="557">
        <v>24</v>
      </c>
      <c r="AZ197" s="512">
        <v>24</v>
      </c>
      <c r="BA197" s="518">
        <v>24</v>
      </c>
      <c r="BB197" s="512">
        <v>24</v>
      </c>
      <c r="BC197" s="512">
        <v>24</v>
      </c>
      <c r="BD197" s="512">
        <v>24</v>
      </c>
      <c r="BE197" s="512">
        <v>24</v>
      </c>
      <c r="BF197" s="512">
        <v>24</v>
      </c>
      <c r="BG197" s="495">
        <f t="shared" si="38"/>
        <v>1248</v>
      </c>
      <c r="BH197" s="507">
        <f>BG197</f>
        <v>1248</v>
      </c>
      <c r="BI197" s="496">
        <f t="shared" si="39"/>
        <v>52</v>
      </c>
    </row>
    <row r="198" spans="1:61" s="511" customFormat="1" ht="199.9" customHeight="1" thickTop="1" thickBot="1" x14ac:dyDescent="1.3">
      <c r="A198" s="1066" t="s">
        <v>601</v>
      </c>
      <c r="B198" s="1073" t="s">
        <v>606</v>
      </c>
      <c r="C198" s="1053" t="s">
        <v>127</v>
      </c>
      <c r="D198" s="1053"/>
      <c r="E198" s="508">
        <v>24</v>
      </c>
      <c r="F198" s="508">
        <v>24</v>
      </c>
      <c r="G198" s="508">
        <v>24</v>
      </c>
      <c r="H198" s="508">
        <v>24</v>
      </c>
      <c r="I198" s="508">
        <v>24</v>
      </c>
      <c r="J198" s="508">
        <v>24</v>
      </c>
      <c r="K198" s="508">
        <v>24</v>
      </c>
      <c r="L198" s="508">
        <v>24</v>
      </c>
      <c r="M198" s="508">
        <v>24</v>
      </c>
      <c r="N198" s="508">
        <v>24</v>
      </c>
      <c r="O198" s="508">
        <v>24</v>
      </c>
      <c r="P198" s="508">
        <v>24</v>
      </c>
      <c r="Q198" s="508">
        <v>24</v>
      </c>
      <c r="R198" s="508">
        <v>24</v>
      </c>
      <c r="S198" s="508">
        <v>24</v>
      </c>
      <c r="T198" s="508">
        <v>24</v>
      </c>
      <c r="U198" s="508">
        <v>24</v>
      </c>
      <c r="V198" s="508">
        <v>24</v>
      </c>
      <c r="W198" s="508">
        <v>24</v>
      </c>
      <c r="X198" s="508">
        <v>24</v>
      </c>
      <c r="Y198" s="508">
        <v>24</v>
      </c>
      <c r="Z198" s="508">
        <v>24</v>
      </c>
      <c r="AA198" s="508">
        <v>24</v>
      </c>
      <c r="AB198" s="508">
        <v>24</v>
      </c>
      <c r="AC198" s="508">
        <v>24</v>
      </c>
      <c r="AD198" s="508">
        <v>24</v>
      </c>
      <c r="AE198" s="508">
        <v>24</v>
      </c>
      <c r="AF198" s="508">
        <v>24</v>
      </c>
      <c r="AG198" s="508">
        <v>24</v>
      </c>
      <c r="AH198" s="508">
        <v>24</v>
      </c>
      <c r="AI198" s="508">
        <v>24</v>
      </c>
      <c r="AJ198" s="508">
        <v>24</v>
      </c>
      <c r="AK198" s="508">
        <v>24</v>
      </c>
      <c r="AL198" s="508">
        <v>24</v>
      </c>
      <c r="AM198" s="508">
        <v>24</v>
      </c>
      <c r="AN198" s="508">
        <v>24</v>
      </c>
      <c r="AO198" s="508">
        <v>24</v>
      </c>
      <c r="AP198" s="508">
        <v>24</v>
      </c>
      <c r="AQ198" s="508">
        <v>24</v>
      </c>
      <c r="AR198" s="508">
        <v>24</v>
      </c>
      <c r="AS198" s="508">
        <v>24</v>
      </c>
      <c r="AT198" s="508">
        <v>24</v>
      </c>
      <c r="AU198" s="508">
        <v>24</v>
      </c>
      <c r="AV198" s="508">
        <v>24</v>
      </c>
      <c r="AW198" s="508">
        <v>24</v>
      </c>
      <c r="AX198" s="508">
        <v>24</v>
      </c>
      <c r="AY198" s="508">
        <v>24</v>
      </c>
      <c r="AZ198" s="508">
        <v>24</v>
      </c>
      <c r="BA198" s="508">
        <v>24</v>
      </c>
      <c r="BB198" s="508">
        <v>24</v>
      </c>
      <c r="BC198" s="508">
        <v>24</v>
      </c>
      <c r="BD198" s="508">
        <v>24</v>
      </c>
      <c r="BE198" s="508">
        <v>24</v>
      </c>
      <c r="BF198" s="508">
        <v>24</v>
      </c>
      <c r="BG198" s="490">
        <f t="shared" si="38"/>
        <v>1296</v>
      </c>
      <c r="BH198" s="501"/>
      <c r="BI198" s="491">
        <f t="shared" si="39"/>
        <v>54</v>
      </c>
    </row>
    <row r="199" spans="1:61" ht="199.9" customHeight="1" thickTop="1" thickBot="1" x14ac:dyDescent="1.3">
      <c r="A199" s="1066"/>
      <c r="B199" s="1073"/>
      <c r="C199" s="1052" t="s">
        <v>128</v>
      </c>
      <c r="D199" s="1052"/>
      <c r="E199" s="557">
        <v>24</v>
      </c>
      <c r="F199" s="557">
        <v>24</v>
      </c>
      <c r="G199" s="557">
        <v>24</v>
      </c>
      <c r="H199" s="557">
        <v>24</v>
      </c>
      <c r="I199" s="631">
        <v>24</v>
      </c>
      <c r="J199" s="631">
        <v>24</v>
      </c>
      <c r="K199" s="631">
        <v>24</v>
      </c>
      <c r="L199" s="631">
        <v>24</v>
      </c>
      <c r="M199" s="631">
        <v>24</v>
      </c>
      <c r="N199" s="693">
        <v>24</v>
      </c>
      <c r="O199" s="693">
        <v>24</v>
      </c>
      <c r="P199" s="693">
        <v>24</v>
      </c>
      <c r="Q199" s="693">
        <v>24</v>
      </c>
      <c r="R199" s="693">
        <v>24</v>
      </c>
      <c r="S199" s="693">
        <v>24</v>
      </c>
      <c r="T199" s="693">
        <v>24</v>
      </c>
      <c r="U199" s="734">
        <v>24</v>
      </c>
      <c r="V199" s="734">
        <v>24</v>
      </c>
      <c r="W199" s="734">
        <v>24</v>
      </c>
      <c r="X199" s="755">
        <v>24</v>
      </c>
      <c r="Y199" s="755">
        <v>24</v>
      </c>
      <c r="Z199" s="518"/>
      <c r="AA199" s="557"/>
      <c r="AB199" s="557">
        <v>24</v>
      </c>
      <c r="AC199" s="565">
        <v>24</v>
      </c>
      <c r="AD199" s="565">
        <v>24</v>
      </c>
      <c r="AE199" s="565">
        <v>24</v>
      </c>
      <c r="AF199" s="565">
        <v>24</v>
      </c>
      <c r="AG199" s="565">
        <v>24</v>
      </c>
      <c r="AH199" s="565">
        <v>24</v>
      </c>
      <c r="AI199" s="565">
        <v>24</v>
      </c>
      <c r="AJ199" s="565">
        <v>24</v>
      </c>
      <c r="AK199" s="565">
        <v>24</v>
      </c>
      <c r="AL199" s="565">
        <v>24</v>
      </c>
      <c r="AM199" s="565">
        <v>24</v>
      </c>
      <c r="AN199" s="565">
        <v>24</v>
      </c>
      <c r="AO199" s="565">
        <v>24</v>
      </c>
      <c r="AP199" s="565">
        <v>24</v>
      </c>
      <c r="AQ199" s="565">
        <v>24</v>
      </c>
      <c r="AR199" s="565">
        <v>24</v>
      </c>
      <c r="AS199" s="565">
        <v>24</v>
      </c>
      <c r="AT199" s="565">
        <v>24</v>
      </c>
      <c r="AU199" s="565">
        <v>24</v>
      </c>
      <c r="AV199" s="565">
        <v>24</v>
      </c>
      <c r="AW199" s="565">
        <v>24</v>
      </c>
      <c r="AX199" s="565">
        <v>24</v>
      </c>
      <c r="AY199" s="565">
        <v>24</v>
      </c>
      <c r="AZ199" s="565">
        <v>24</v>
      </c>
      <c r="BA199" s="565">
        <v>24</v>
      </c>
      <c r="BB199" s="565">
        <v>24</v>
      </c>
      <c r="BC199" s="565">
        <v>24</v>
      </c>
      <c r="BD199" s="565">
        <v>24</v>
      </c>
      <c r="BE199" s="565">
        <v>24</v>
      </c>
      <c r="BF199" s="565">
        <v>24</v>
      </c>
      <c r="BG199" s="495">
        <f t="shared" si="38"/>
        <v>1248</v>
      </c>
      <c r="BH199" s="507">
        <f>BG199</f>
        <v>1248</v>
      </c>
      <c r="BI199" s="496">
        <f t="shared" si="39"/>
        <v>52</v>
      </c>
    </row>
    <row r="200" spans="1:61" s="511" customFormat="1" ht="199.9" customHeight="1" thickTop="1" thickBot="1" x14ac:dyDescent="1.3">
      <c r="A200" s="1066" t="s">
        <v>602</v>
      </c>
      <c r="B200" s="1073" t="s">
        <v>607</v>
      </c>
      <c r="C200" s="1053" t="s">
        <v>127</v>
      </c>
      <c r="D200" s="1053"/>
      <c r="E200" s="508">
        <v>72</v>
      </c>
      <c r="F200" s="508">
        <v>72</v>
      </c>
      <c r="G200" s="508">
        <v>72</v>
      </c>
      <c r="H200" s="508">
        <v>72</v>
      </c>
      <c r="I200" s="508">
        <v>72</v>
      </c>
      <c r="J200" s="508">
        <v>72</v>
      </c>
      <c r="K200" s="508">
        <v>72</v>
      </c>
      <c r="L200" s="508">
        <v>72</v>
      </c>
      <c r="M200" s="508">
        <v>72</v>
      </c>
      <c r="N200" s="508">
        <v>72</v>
      </c>
      <c r="O200" s="508">
        <v>72</v>
      </c>
      <c r="P200" s="508">
        <v>72</v>
      </c>
      <c r="Q200" s="508">
        <v>72</v>
      </c>
      <c r="R200" s="508">
        <v>72</v>
      </c>
      <c r="S200" s="508">
        <v>72</v>
      </c>
      <c r="T200" s="508">
        <v>72</v>
      </c>
      <c r="U200" s="508">
        <v>72</v>
      </c>
      <c r="V200" s="508">
        <v>72</v>
      </c>
      <c r="W200" s="508">
        <v>72</v>
      </c>
      <c r="X200" s="508">
        <v>72</v>
      </c>
      <c r="Y200" s="508">
        <v>72</v>
      </c>
      <c r="Z200" s="508">
        <v>72</v>
      </c>
      <c r="AA200" s="508">
        <v>72</v>
      </c>
      <c r="AB200" s="508">
        <v>72</v>
      </c>
      <c r="AC200" s="508">
        <v>72</v>
      </c>
      <c r="AD200" s="508">
        <v>72</v>
      </c>
      <c r="AE200" s="508">
        <v>72</v>
      </c>
      <c r="AF200" s="508">
        <v>72</v>
      </c>
      <c r="AG200" s="508">
        <v>72</v>
      </c>
      <c r="AH200" s="508">
        <v>72</v>
      </c>
      <c r="AI200" s="508">
        <v>72</v>
      </c>
      <c r="AJ200" s="508">
        <v>72</v>
      </c>
      <c r="AK200" s="508">
        <v>72</v>
      </c>
      <c r="AL200" s="508">
        <v>72</v>
      </c>
      <c r="AM200" s="508">
        <v>72</v>
      </c>
      <c r="AN200" s="508">
        <v>72</v>
      </c>
      <c r="AO200" s="508">
        <v>72</v>
      </c>
      <c r="AP200" s="508">
        <v>72</v>
      </c>
      <c r="AQ200" s="508">
        <v>72</v>
      </c>
      <c r="AR200" s="508">
        <v>72</v>
      </c>
      <c r="AS200" s="508">
        <v>72</v>
      </c>
      <c r="AT200" s="508">
        <v>72</v>
      </c>
      <c r="AU200" s="508">
        <v>72</v>
      </c>
      <c r="AV200" s="508">
        <v>72</v>
      </c>
      <c r="AW200" s="508">
        <v>72</v>
      </c>
      <c r="AX200" s="508">
        <v>72</v>
      </c>
      <c r="AY200" s="508">
        <v>72</v>
      </c>
      <c r="AZ200" s="508">
        <v>72</v>
      </c>
      <c r="BA200" s="508">
        <v>72</v>
      </c>
      <c r="BB200" s="508">
        <v>72</v>
      </c>
      <c r="BC200" s="508">
        <v>72</v>
      </c>
      <c r="BD200" s="508">
        <v>72</v>
      </c>
      <c r="BE200" s="508">
        <v>72</v>
      </c>
      <c r="BF200" s="508">
        <v>72</v>
      </c>
      <c r="BG200" s="490">
        <f t="shared" si="38"/>
        <v>3888</v>
      </c>
      <c r="BH200" s="501"/>
      <c r="BI200" s="491">
        <f t="shared" si="39"/>
        <v>54</v>
      </c>
    </row>
    <row r="201" spans="1:61" ht="199.9" customHeight="1" thickTop="1" thickBot="1" x14ac:dyDescent="1.3">
      <c r="A201" s="1066"/>
      <c r="B201" s="1073"/>
      <c r="C201" s="1052" t="s">
        <v>128</v>
      </c>
      <c r="D201" s="1052"/>
      <c r="E201" s="512">
        <v>72</v>
      </c>
      <c r="F201" s="557">
        <v>72</v>
      </c>
      <c r="G201" s="557">
        <v>72</v>
      </c>
      <c r="H201" s="557">
        <v>72</v>
      </c>
      <c r="I201" s="631">
        <v>72</v>
      </c>
      <c r="J201" s="631">
        <v>72</v>
      </c>
      <c r="K201" s="631">
        <v>72</v>
      </c>
      <c r="L201" s="631">
        <v>72</v>
      </c>
      <c r="M201" s="631">
        <v>72</v>
      </c>
      <c r="N201" s="693">
        <v>72</v>
      </c>
      <c r="O201" s="693">
        <v>72</v>
      </c>
      <c r="P201" s="693">
        <v>72</v>
      </c>
      <c r="Q201" s="693">
        <v>72</v>
      </c>
      <c r="R201" s="693">
        <v>72</v>
      </c>
      <c r="S201" s="693">
        <v>72</v>
      </c>
      <c r="T201" s="693">
        <v>72</v>
      </c>
      <c r="U201" s="734">
        <v>72</v>
      </c>
      <c r="V201" s="734">
        <v>72</v>
      </c>
      <c r="W201" s="734">
        <v>72</v>
      </c>
      <c r="X201" s="755">
        <v>72</v>
      </c>
      <c r="Y201" s="755">
        <v>72</v>
      </c>
      <c r="Z201" s="518"/>
      <c r="AA201" s="512"/>
      <c r="AB201" s="565">
        <v>72</v>
      </c>
      <c r="AC201" s="565">
        <v>72</v>
      </c>
      <c r="AD201" s="565">
        <v>72</v>
      </c>
      <c r="AE201" s="565">
        <v>72</v>
      </c>
      <c r="AF201" s="565">
        <v>72</v>
      </c>
      <c r="AG201" s="565">
        <v>72</v>
      </c>
      <c r="AH201" s="565">
        <v>72</v>
      </c>
      <c r="AI201" s="565">
        <v>72</v>
      </c>
      <c r="AJ201" s="565">
        <v>72</v>
      </c>
      <c r="AK201" s="565">
        <v>72</v>
      </c>
      <c r="AL201" s="565">
        <v>72</v>
      </c>
      <c r="AM201" s="565">
        <v>72</v>
      </c>
      <c r="AN201" s="565">
        <v>72</v>
      </c>
      <c r="AO201" s="565">
        <v>72</v>
      </c>
      <c r="AP201" s="565">
        <v>72</v>
      </c>
      <c r="AQ201" s="565">
        <v>72</v>
      </c>
      <c r="AR201" s="565">
        <v>72</v>
      </c>
      <c r="AS201" s="565">
        <v>72</v>
      </c>
      <c r="AT201" s="565">
        <v>72</v>
      </c>
      <c r="AU201" s="565">
        <v>72</v>
      </c>
      <c r="AV201" s="565">
        <v>72</v>
      </c>
      <c r="AW201" s="565">
        <v>72</v>
      </c>
      <c r="AX201" s="565">
        <v>72</v>
      </c>
      <c r="AY201" s="565">
        <v>72</v>
      </c>
      <c r="AZ201" s="565">
        <v>72</v>
      </c>
      <c r="BA201" s="565">
        <v>72</v>
      </c>
      <c r="BB201" s="565">
        <v>72</v>
      </c>
      <c r="BC201" s="565">
        <v>72</v>
      </c>
      <c r="BD201" s="565">
        <v>72</v>
      </c>
      <c r="BE201" s="565">
        <v>72</v>
      </c>
      <c r="BF201" s="512">
        <v>72</v>
      </c>
      <c r="BG201" s="495">
        <f t="shared" si="38"/>
        <v>3744</v>
      </c>
      <c r="BH201" s="507">
        <f>BG201</f>
        <v>3744</v>
      </c>
      <c r="BI201" s="496">
        <f t="shared" si="39"/>
        <v>52</v>
      </c>
    </row>
    <row r="202" spans="1:61" s="511" customFormat="1" ht="199.9" customHeight="1" thickTop="1" thickBot="1" x14ac:dyDescent="1.3">
      <c r="A202" s="1066" t="s">
        <v>603</v>
      </c>
      <c r="B202" s="1073" t="s">
        <v>608</v>
      </c>
      <c r="C202" s="1053" t="s">
        <v>127</v>
      </c>
      <c r="D202" s="1053"/>
      <c r="E202" s="508">
        <v>24</v>
      </c>
      <c r="F202" s="508">
        <v>24</v>
      </c>
      <c r="G202" s="508">
        <v>24</v>
      </c>
      <c r="H202" s="508">
        <v>24</v>
      </c>
      <c r="I202" s="508">
        <v>24</v>
      </c>
      <c r="J202" s="508">
        <v>24</v>
      </c>
      <c r="K202" s="508">
        <v>24</v>
      </c>
      <c r="L202" s="508">
        <v>24</v>
      </c>
      <c r="M202" s="508">
        <v>24</v>
      </c>
      <c r="N202" s="508">
        <v>24</v>
      </c>
      <c r="O202" s="508">
        <v>24</v>
      </c>
      <c r="P202" s="508">
        <v>24</v>
      </c>
      <c r="Q202" s="508">
        <v>24</v>
      </c>
      <c r="R202" s="508">
        <v>24</v>
      </c>
      <c r="S202" s="508">
        <v>24</v>
      </c>
      <c r="T202" s="508">
        <v>24</v>
      </c>
      <c r="U202" s="508">
        <v>24</v>
      </c>
      <c r="V202" s="508">
        <v>24</v>
      </c>
      <c r="W202" s="508">
        <v>24</v>
      </c>
      <c r="X202" s="508">
        <v>24</v>
      </c>
      <c r="Y202" s="508">
        <v>24</v>
      </c>
      <c r="Z202" s="508">
        <v>24</v>
      </c>
      <c r="AA202" s="508">
        <v>24</v>
      </c>
      <c r="AB202" s="508">
        <v>24</v>
      </c>
      <c r="AC202" s="508">
        <v>24</v>
      </c>
      <c r="AD202" s="508">
        <v>24</v>
      </c>
      <c r="AE202" s="508">
        <v>24</v>
      </c>
      <c r="AF202" s="508">
        <v>24</v>
      </c>
      <c r="AG202" s="508">
        <v>24</v>
      </c>
      <c r="AH202" s="508">
        <v>24</v>
      </c>
      <c r="AI202" s="508">
        <v>24</v>
      </c>
      <c r="AJ202" s="508">
        <v>24</v>
      </c>
      <c r="AK202" s="508">
        <v>24</v>
      </c>
      <c r="AL202" s="508">
        <v>24</v>
      </c>
      <c r="AM202" s="508">
        <v>24</v>
      </c>
      <c r="AN202" s="508">
        <v>24</v>
      </c>
      <c r="AO202" s="508">
        <v>24</v>
      </c>
      <c r="AP202" s="508">
        <v>24</v>
      </c>
      <c r="AQ202" s="508">
        <v>24</v>
      </c>
      <c r="AR202" s="508">
        <v>24</v>
      </c>
      <c r="AS202" s="508">
        <v>24</v>
      </c>
      <c r="AT202" s="508">
        <v>24</v>
      </c>
      <c r="AU202" s="508">
        <v>24</v>
      </c>
      <c r="AV202" s="508">
        <v>24</v>
      </c>
      <c r="AW202" s="508">
        <v>24</v>
      </c>
      <c r="AX202" s="508">
        <v>24</v>
      </c>
      <c r="AY202" s="508">
        <v>24</v>
      </c>
      <c r="AZ202" s="508">
        <v>24</v>
      </c>
      <c r="BA202" s="508">
        <v>24</v>
      </c>
      <c r="BB202" s="508">
        <v>24</v>
      </c>
      <c r="BC202" s="508">
        <v>24</v>
      </c>
      <c r="BD202" s="508">
        <v>24</v>
      </c>
      <c r="BE202" s="508">
        <v>24</v>
      </c>
      <c r="BF202" s="508">
        <v>24</v>
      </c>
      <c r="BG202" s="490">
        <f t="shared" si="38"/>
        <v>1296</v>
      </c>
      <c r="BH202" s="501"/>
      <c r="BI202" s="491">
        <f t="shared" si="39"/>
        <v>54</v>
      </c>
    </row>
    <row r="203" spans="1:61" ht="199.9" customHeight="1" thickTop="1" thickBot="1" x14ac:dyDescent="1.3">
      <c r="A203" s="1066"/>
      <c r="B203" s="1073"/>
      <c r="C203" s="1052" t="s">
        <v>128</v>
      </c>
      <c r="D203" s="1052"/>
      <c r="E203" s="557">
        <v>24</v>
      </c>
      <c r="F203" s="557">
        <v>24</v>
      </c>
      <c r="G203" s="557">
        <v>24</v>
      </c>
      <c r="H203" s="557">
        <v>24</v>
      </c>
      <c r="I203" s="631">
        <v>24</v>
      </c>
      <c r="J203" s="631">
        <v>24</v>
      </c>
      <c r="K203" s="631">
        <v>24</v>
      </c>
      <c r="L203" s="631">
        <v>24</v>
      </c>
      <c r="M203" s="631">
        <v>24</v>
      </c>
      <c r="N203" s="693">
        <v>24</v>
      </c>
      <c r="O203" s="693">
        <v>24</v>
      </c>
      <c r="P203" s="693">
        <v>24</v>
      </c>
      <c r="Q203" s="693">
        <v>24</v>
      </c>
      <c r="R203" s="693">
        <v>24</v>
      </c>
      <c r="S203" s="693">
        <v>24</v>
      </c>
      <c r="T203" s="693">
        <v>24</v>
      </c>
      <c r="U203" s="734">
        <v>24</v>
      </c>
      <c r="V203" s="734">
        <v>24</v>
      </c>
      <c r="W203" s="734">
        <v>24</v>
      </c>
      <c r="X203" s="755">
        <v>24</v>
      </c>
      <c r="Y203" s="755">
        <v>24</v>
      </c>
      <c r="Z203" s="518"/>
      <c r="AA203" s="557"/>
      <c r="AB203" s="557">
        <v>24</v>
      </c>
      <c r="AC203" s="565">
        <v>24</v>
      </c>
      <c r="AD203" s="565">
        <v>24</v>
      </c>
      <c r="AE203" s="565">
        <v>24</v>
      </c>
      <c r="AF203" s="565">
        <v>24</v>
      </c>
      <c r="AG203" s="565">
        <v>24</v>
      </c>
      <c r="AH203" s="565">
        <v>24</v>
      </c>
      <c r="AI203" s="565">
        <v>24</v>
      </c>
      <c r="AJ203" s="565">
        <v>24</v>
      </c>
      <c r="AK203" s="565">
        <v>24</v>
      </c>
      <c r="AL203" s="565">
        <v>24</v>
      </c>
      <c r="AM203" s="565">
        <v>24</v>
      </c>
      <c r="AN203" s="565">
        <v>24</v>
      </c>
      <c r="AO203" s="565">
        <v>24</v>
      </c>
      <c r="AP203" s="565">
        <v>24</v>
      </c>
      <c r="AQ203" s="565">
        <v>24</v>
      </c>
      <c r="AR203" s="565">
        <v>24</v>
      </c>
      <c r="AS203" s="565">
        <v>24</v>
      </c>
      <c r="AT203" s="565">
        <v>24</v>
      </c>
      <c r="AU203" s="565">
        <v>24</v>
      </c>
      <c r="AV203" s="565">
        <v>24</v>
      </c>
      <c r="AW203" s="565">
        <v>24</v>
      </c>
      <c r="AX203" s="565">
        <v>24</v>
      </c>
      <c r="AY203" s="565">
        <v>24</v>
      </c>
      <c r="AZ203" s="565">
        <v>24</v>
      </c>
      <c r="BA203" s="565">
        <v>24</v>
      </c>
      <c r="BB203" s="565">
        <v>24</v>
      </c>
      <c r="BC203" s="565">
        <v>24</v>
      </c>
      <c r="BD203" s="565">
        <v>24</v>
      </c>
      <c r="BE203" s="565">
        <v>24</v>
      </c>
      <c r="BF203" s="565">
        <v>24</v>
      </c>
      <c r="BG203" s="495">
        <f t="shared" si="38"/>
        <v>1248</v>
      </c>
      <c r="BH203" s="507">
        <f>BG203</f>
        <v>1248</v>
      </c>
      <c r="BI203" s="496">
        <f t="shared" si="39"/>
        <v>52</v>
      </c>
    </row>
    <row r="204" spans="1:61" s="511" customFormat="1" ht="199.9" customHeight="1" thickTop="1" thickBot="1" x14ac:dyDescent="1.3">
      <c r="A204" s="1066" t="s">
        <v>583</v>
      </c>
      <c r="B204" s="1073" t="s">
        <v>609</v>
      </c>
      <c r="C204" s="1053" t="s">
        <v>127</v>
      </c>
      <c r="D204" s="1053"/>
      <c r="E204" s="508">
        <v>24</v>
      </c>
      <c r="F204" s="508">
        <v>24</v>
      </c>
      <c r="G204" s="508">
        <v>24</v>
      </c>
      <c r="H204" s="508">
        <v>24</v>
      </c>
      <c r="I204" s="508">
        <v>24</v>
      </c>
      <c r="J204" s="508">
        <v>24</v>
      </c>
      <c r="K204" s="508">
        <v>24</v>
      </c>
      <c r="L204" s="508">
        <v>24</v>
      </c>
      <c r="M204" s="508">
        <v>24</v>
      </c>
      <c r="N204" s="508">
        <v>24</v>
      </c>
      <c r="O204" s="508">
        <v>24</v>
      </c>
      <c r="P204" s="508">
        <v>24</v>
      </c>
      <c r="Q204" s="508">
        <v>24</v>
      </c>
      <c r="R204" s="508">
        <v>24</v>
      </c>
      <c r="S204" s="508">
        <v>24</v>
      </c>
      <c r="T204" s="508">
        <v>24</v>
      </c>
      <c r="U204" s="508">
        <v>24</v>
      </c>
      <c r="V204" s="508">
        <v>24</v>
      </c>
      <c r="W204" s="508">
        <v>24</v>
      </c>
      <c r="X204" s="508">
        <v>24</v>
      </c>
      <c r="Y204" s="508">
        <v>24</v>
      </c>
      <c r="Z204" s="508">
        <v>24</v>
      </c>
      <c r="AA204" s="508">
        <v>24</v>
      </c>
      <c r="AB204" s="508">
        <v>24</v>
      </c>
      <c r="AC204" s="508">
        <v>24</v>
      </c>
      <c r="AD204" s="508">
        <v>24</v>
      </c>
      <c r="AE204" s="508">
        <v>24</v>
      </c>
      <c r="AF204" s="508">
        <v>24</v>
      </c>
      <c r="AG204" s="508">
        <v>24</v>
      </c>
      <c r="AH204" s="508">
        <v>24</v>
      </c>
      <c r="AI204" s="508">
        <v>24</v>
      </c>
      <c r="AJ204" s="508">
        <v>24</v>
      </c>
      <c r="AK204" s="508">
        <v>24</v>
      </c>
      <c r="AL204" s="508">
        <v>24</v>
      </c>
      <c r="AM204" s="508">
        <v>24</v>
      </c>
      <c r="AN204" s="508">
        <v>24</v>
      </c>
      <c r="AO204" s="508">
        <v>24</v>
      </c>
      <c r="AP204" s="508">
        <v>24</v>
      </c>
      <c r="AQ204" s="508">
        <v>24</v>
      </c>
      <c r="AR204" s="508">
        <v>24</v>
      </c>
      <c r="AS204" s="508">
        <v>24</v>
      </c>
      <c r="AT204" s="508">
        <v>24</v>
      </c>
      <c r="AU204" s="508">
        <v>24</v>
      </c>
      <c r="AV204" s="508">
        <v>24</v>
      </c>
      <c r="AW204" s="508">
        <v>24</v>
      </c>
      <c r="AX204" s="508">
        <v>24</v>
      </c>
      <c r="AY204" s="508">
        <v>24</v>
      </c>
      <c r="AZ204" s="508">
        <v>24</v>
      </c>
      <c r="BA204" s="508">
        <v>24</v>
      </c>
      <c r="BB204" s="508">
        <v>24</v>
      </c>
      <c r="BC204" s="508">
        <v>24</v>
      </c>
      <c r="BD204" s="508">
        <v>24</v>
      </c>
      <c r="BE204" s="508">
        <v>24</v>
      </c>
      <c r="BF204" s="508">
        <v>24</v>
      </c>
      <c r="BG204" s="490">
        <f t="shared" si="38"/>
        <v>1296</v>
      </c>
      <c r="BH204" s="501"/>
      <c r="BI204" s="491">
        <f t="shared" si="39"/>
        <v>54</v>
      </c>
    </row>
    <row r="205" spans="1:61" ht="199.9" customHeight="1" thickTop="1" thickBot="1" x14ac:dyDescent="1.3">
      <c r="A205" s="1066"/>
      <c r="B205" s="1073"/>
      <c r="C205" s="1052" t="s">
        <v>128</v>
      </c>
      <c r="D205" s="1052"/>
      <c r="E205" s="557">
        <v>24</v>
      </c>
      <c r="F205" s="557">
        <v>24</v>
      </c>
      <c r="G205" s="557">
        <v>24</v>
      </c>
      <c r="H205" s="557">
        <v>24</v>
      </c>
      <c r="I205" s="631">
        <v>24</v>
      </c>
      <c r="J205" s="631">
        <v>24</v>
      </c>
      <c r="K205" s="631">
        <v>24</v>
      </c>
      <c r="L205" s="631">
        <v>24</v>
      </c>
      <c r="M205" s="631">
        <v>24</v>
      </c>
      <c r="N205" s="693">
        <v>24</v>
      </c>
      <c r="O205" s="693">
        <v>24</v>
      </c>
      <c r="P205" s="693">
        <v>24</v>
      </c>
      <c r="Q205" s="693">
        <v>24</v>
      </c>
      <c r="R205" s="693">
        <v>24</v>
      </c>
      <c r="S205" s="693">
        <v>24</v>
      </c>
      <c r="T205" s="693">
        <v>24</v>
      </c>
      <c r="U205" s="734">
        <v>24</v>
      </c>
      <c r="V205" s="734">
        <v>24</v>
      </c>
      <c r="W205" s="734">
        <v>24</v>
      </c>
      <c r="X205" s="755">
        <v>24</v>
      </c>
      <c r="Y205" s="755">
        <v>24</v>
      </c>
      <c r="Z205" s="518"/>
      <c r="AA205" s="557"/>
      <c r="AB205" s="565">
        <v>24</v>
      </c>
      <c r="AC205" s="565">
        <v>24</v>
      </c>
      <c r="AD205" s="565">
        <v>24</v>
      </c>
      <c r="AE205" s="565">
        <v>24</v>
      </c>
      <c r="AF205" s="565">
        <v>24</v>
      </c>
      <c r="AG205" s="565">
        <v>24</v>
      </c>
      <c r="AH205" s="565">
        <v>24</v>
      </c>
      <c r="AI205" s="565">
        <v>24</v>
      </c>
      <c r="AJ205" s="565">
        <v>24</v>
      </c>
      <c r="AK205" s="565">
        <v>24</v>
      </c>
      <c r="AL205" s="565">
        <v>24</v>
      </c>
      <c r="AM205" s="565">
        <v>24</v>
      </c>
      <c r="AN205" s="565">
        <v>24</v>
      </c>
      <c r="AO205" s="565">
        <v>24</v>
      </c>
      <c r="AP205" s="565">
        <v>24</v>
      </c>
      <c r="AQ205" s="565">
        <v>24</v>
      </c>
      <c r="AR205" s="565">
        <v>24</v>
      </c>
      <c r="AS205" s="565">
        <v>24</v>
      </c>
      <c r="AT205" s="565">
        <v>24</v>
      </c>
      <c r="AU205" s="565">
        <v>24</v>
      </c>
      <c r="AV205" s="565">
        <v>24</v>
      </c>
      <c r="AW205" s="565">
        <v>24</v>
      </c>
      <c r="AX205" s="565">
        <v>24</v>
      </c>
      <c r="AY205" s="565">
        <v>24</v>
      </c>
      <c r="AZ205" s="565">
        <v>24</v>
      </c>
      <c r="BA205" s="565">
        <v>24</v>
      </c>
      <c r="BB205" s="565">
        <v>24</v>
      </c>
      <c r="BC205" s="565">
        <v>24</v>
      </c>
      <c r="BD205" s="565">
        <v>24</v>
      </c>
      <c r="BE205" s="565">
        <v>24</v>
      </c>
      <c r="BF205" s="557">
        <v>24</v>
      </c>
      <c r="BG205" s="495">
        <f t="shared" si="38"/>
        <v>1248</v>
      </c>
      <c r="BH205" s="507">
        <f>BG205</f>
        <v>1248</v>
      </c>
      <c r="BI205" s="496">
        <f t="shared" si="39"/>
        <v>52</v>
      </c>
    </row>
    <row r="206" spans="1:61" s="511" customFormat="1" ht="199.9" customHeight="1" thickTop="1" thickBot="1" x14ac:dyDescent="1.3">
      <c r="A206" s="1066" t="s">
        <v>604</v>
      </c>
      <c r="B206" s="1073" t="s">
        <v>610</v>
      </c>
      <c r="C206" s="1053" t="s">
        <v>127</v>
      </c>
      <c r="D206" s="1053"/>
      <c r="E206" s="508">
        <v>20</v>
      </c>
      <c r="F206" s="508">
        <v>20</v>
      </c>
      <c r="G206" s="508">
        <v>20</v>
      </c>
      <c r="H206" s="508">
        <v>20</v>
      </c>
      <c r="I206" s="508">
        <v>20</v>
      </c>
      <c r="J206" s="508">
        <v>20</v>
      </c>
      <c r="K206" s="508">
        <v>20</v>
      </c>
      <c r="L206" s="508">
        <v>20</v>
      </c>
      <c r="M206" s="508">
        <v>20</v>
      </c>
      <c r="N206" s="508">
        <v>20</v>
      </c>
      <c r="O206" s="508">
        <v>20</v>
      </c>
      <c r="P206" s="508">
        <v>20</v>
      </c>
      <c r="Q206" s="508">
        <v>20</v>
      </c>
      <c r="R206" s="508">
        <v>20</v>
      </c>
      <c r="S206" s="508">
        <v>20</v>
      </c>
      <c r="T206" s="508">
        <v>20</v>
      </c>
      <c r="U206" s="508">
        <v>20</v>
      </c>
      <c r="V206" s="508">
        <v>20</v>
      </c>
      <c r="W206" s="508">
        <v>20</v>
      </c>
      <c r="X206" s="508">
        <v>20</v>
      </c>
      <c r="Y206" s="508">
        <v>20</v>
      </c>
      <c r="Z206" s="508">
        <v>20</v>
      </c>
      <c r="AA206" s="508">
        <v>20</v>
      </c>
      <c r="AB206" s="508">
        <v>20</v>
      </c>
      <c r="AC206" s="508">
        <v>20</v>
      </c>
      <c r="AD206" s="508">
        <v>20</v>
      </c>
      <c r="AE206" s="508">
        <v>20</v>
      </c>
      <c r="AF206" s="508">
        <v>20</v>
      </c>
      <c r="AG206" s="508">
        <v>20</v>
      </c>
      <c r="AH206" s="508">
        <v>20</v>
      </c>
      <c r="AI206" s="508">
        <v>20</v>
      </c>
      <c r="AJ206" s="508">
        <v>20</v>
      </c>
      <c r="AK206" s="508">
        <v>20</v>
      </c>
      <c r="AL206" s="508">
        <v>20</v>
      </c>
      <c r="AM206" s="508">
        <v>20</v>
      </c>
      <c r="AN206" s="508">
        <v>20</v>
      </c>
      <c r="AO206" s="508">
        <v>20</v>
      </c>
      <c r="AP206" s="508">
        <v>20</v>
      </c>
      <c r="AQ206" s="508">
        <v>20</v>
      </c>
      <c r="AR206" s="508">
        <v>20</v>
      </c>
      <c r="AS206" s="508">
        <v>20</v>
      </c>
      <c r="AT206" s="508">
        <v>20</v>
      </c>
      <c r="AU206" s="508">
        <v>20</v>
      </c>
      <c r="AV206" s="508">
        <v>20</v>
      </c>
      <c r="AW206" s="508">
        <v>20</v>
      </c>
      <c r="AX206" s="508">
        <v>20</v>
      </c>
      <c r="AY206" s="508">
        <v>20</v>
      </c>
      <c r="AZ206" s="508">
        <v>20</v>
      </c>
      <c r="BA206" s="508">
        <v>20</v>
      </c>
      <c r="BB206" s="508">
        <v>20</v>
      </c>
      <c r="BC206" s="508">
        <v>20</v>
      </c>
      <c r="BD206" s="508">
        <v>20</v>
      </c>
      <c r="BE206" s="508">
        <v>20</v>
      </c>
      <c r="BF206" s="508">
        <v>20</v>
      </c>
      <c r="BG206" s="490">
        <f t="shared" si="38"/>
        <v>1080</v>
      </c>
      <c r="BH206" s="501"/>
      <c r="BI206" s="491">
        <f t="shared" si="39"/>
        <v>54</v>
      </c>
    </row>
    <row r="207" spans="1:61" ht="199.9" customHeight="1" thickTop="1" thickBot="1" x14ac:dyDescent="1.3">
      <c r="A207" s="1066"/>
      <c r="B207" s="1073"/>
      <c r="C207" s="1052" t="s">
        <v>128</v>
      </c>
      <c r="D207" s="1052"/>
      <c r="E207" s="512">
        <v>20</v>
      </c>
      <c r="F207" s="557">
        <v>20</v>
      </c>
      <c r="G207" s="557">
        <v>20</v>
      </c>
      <c r="H207" s="557">
        <v>20</v>
      </c>
      <c r="I207" s="631">
        <v>20</v>
      </c>
      <c r="J207" s="631">
        <v>20</v>
      </c>
      <c r="K207" s="631">
        <v>20</v>
      </c>
      <c r="L207" s="631">
        <v>20</v>
      </c>
      <c r="M207" s="631">
        <v>20</v>
      </c>
      <c r="N207" s="693">
        <v>20</v>
      </c>
      <c r="O207" s="693">
        <v>20</v>
      </c>
      <c r="P207" s="693">
        <v>20</v>
      </c>
      <c r="Q207" s="693">
        <v>20</v>
      </c>
      <c r="R207" s="693">
        <v>20</v>
      </c>
      <c r="S207" s="693">
        <v>20</v>
      </c>
      <c r="T207" s="693">
        <v>20</v>
      </c>
      <c r="U207" s="734">
        <v>20</v>
      </c>
      <c r="V207" s="734">
        <v>20</v>
      </c>
      <c r="W207" s="734">
        <v>20</v>
      </c>
      <c r="X207" s="755">
        <v>20</v>
      </c>
      <c r="Y207" s="755">
        <v>20</v>
      </c>
      <c r="Z207" s="518"/>
      <c r="AA207" s="557"/>
      <c r="AB207" s="512">
        <v>20</v>
      </c>
      <c r="AC207" s="565">
        <v>20</v>
      </c>
      <c r="AD207" s="565">
        <v>20</v>
      </c>
      <c r="AE207" s="565">
        <v>20</v>
      </c>
      <c r="AF207" s="565">
        <v>20</v>
      </c>
      <c r="AG207" s="565">
        <v>20</v>
      </c>
      <c r="AH207" s="565">
        <v>20</v>
      </c>
      <c r="AI207" s="565">
        <v>20</v>
      </c>
      <c r="AJ207" s="565">
        <v>20</v>
      </c>
      <c r="AK207" s="565">
        <v>20</v>
      </c>
      <c r="AL207" s="565">
        <v>20</v>
      </c>
      <c r="AM207" s="565">
        <v>20</v>
      </c>
      <c r="AN207" s="565">
        <v>20</v>
      </c>
      <c r="AO207" s="565">
        <v>20</v>
      </c>
      <c r="AP207" s="565">
        <v>20</v>
      </c>
      <c r="AQ207" s="565">
        <v>20</v>
      </c>
      <c r="AR207" s="565">
        <v>20</v>
      </c>
      <c r="AS207" s="565">
        <v>20</v>
      </c>
      <c r="AT207" s="565">
        <v>20</v>
      </c>
      <c r="AU207" s="565">
        <v>20</v>
      </c>
      <c r="AV207" s="565">
        <v>20</v>
      </c>
      <c r="AW207" s="565">
        <v>20</v>
      </c>
      <c r="AX207" s="565">
        <v>20</v>
      </c>
      <c r="AY207" s="565">
        <v>20</v>
      </c>
      <c r="AZ207" s="565">
        <v>20</v>
      </c>
      <c r="BA207" s="565">
        <v>20</v>
      </c>
      <c r="BB207" s="565">
        <v>20</v>
      </c>
      <c r="BC207" s="565">
        <v>20</v>
      </c>
      <c r="BD207" s="565">
        <v>20</v>
      </c>
      <c r="BE207" s="565">
        <v>20</v>
      </c>
      <c r="BF207" s="565">
        <v>20</v>
      </c>
      <c r="BG207" s="495">
        <f>SUM(E207:BF207)</f>
        <v>1040</v>
      </c>
      <c r="BH207" s="507">
        <f>BG207</f>
        <v>1040</v>
      </c>
      <c r="BI207" s="496">
        <f t="shared" si="39"/>
        <v>52</v>
      </c>
    </row>
    <row r="208" spans="1:61" s="511" customFormat="1" ht="199.9" customHeight="1" thickTop="1" thickBot="1" x14ac:dyDescent="1.3">
      <c r="A208" s="1063" t="s">
        <v>375</v>
      </c>
      <c r="B208" s="1054" t="s">
        <v>376</v>
      </c>
      <c r="C208" s="1053" t="s">
        <v>127</v>
      </c>
      <c r="D208" s="1053"/>
      <c r="E208" s="525">
        <v>2500</v>
      </c>
      <c r="F208" s="525">
        <v>2500</v>
      </c>
      <c r="G208" s="525">
        <v>2500</v>
      </c>
      <c r="H208" s="525">
        <v>2500</v>
      </c>
      <c r="I208" s="525">
        <v>2500</v>
      </c>
      <c r="J208" s="525">
        <v>2500</v>
      </c>
      <c r="K208" s="525">
        <v>2500</v>
      </c>
      <c r="L208" s="525">
        <v>2500</v>
      </c>
      <c r="M208" s="525">
        <v>2500</v>
      </c>
      <c r="N208" s="525">
        <v>2500</v>
      </c>
      <c r="O208" s="525">
        <v>2500</v>
      </c>
      <c r="P208" s="525">
        <v>2500</v>
      </c>
      <c r="Q208" s="525">
        <v>2500</v>
      </c>
      <c r="R208" s="525">
        <v>2500</v>
      </c>
      <c r="S208" s="525">
        <v>2500</v>
      </c>
      <c r="T208" s="525">
        <v>2500</v>
      </c>
      <c r="U208" s="525">
        <v>2500</v>
      </c>
      <c r="V208" s="525">
        <v>2500</v>
      </c>
      <c r="W208" s="525">
        <v>2500</v>
      </c>
      <c r="X208" s="525">
        <v>2500</v>
      </c>
      <c r="Y208" s="525">
        <v>2500</v>
      </c>
      <c r="Z208" s="525">
        <v>2500</v>
      </c>
      <c r="AA208" s="525">
        <v>2500</v>
      </c>
      <c r="AB208" s="525">
        <v>2500</v>
      </c>
      <c r="AC208" s="525">
        <v>2500</v>
      </c>
      <c r="AD208" s="525">
        <v>2500</v>
      </c>
      <c r="AE208" s="525">
        <v>2500</v>
      </c>
      <c r="AF208" s="525">
        <v>2500</v>
      </c>
      <c r="AG208" s="525">
        <v>2500</v>
      </c>
      <c r="AH208" s="525">
        <v>2500</v>
      </c>
      <c r="AI208" s="525">
        <v>2500</v>
      </c>
      <c r="AJ208" s="525">
        <v>2500</v>
      </c>
      <c r="AK208" s="525">
        <v>2500</v>
      </c>
      <c r="AL208" s="525">
        <v>2500</v>
      </c>
      <c r="AM208" s="525">
        <v>2500</v>
      </c>
      <c r="AN208" s="525">
        <v>2500</v>
      </c>
      <c r="AO208" s="525">
        <v>2500</v>
      </c>
      <c r="AP208" s="525">
        <v>2500</v>
      </c>
      <c r="AQ208" s="525">
        <v>2500</v>
      </c>
      <c r="AR208" s="525">
        <v>2500</v>
      </c>
      <c r="AS208" s="525">
        <v>2500</v>
      </c>
      <c r="AT208" s="525">
        <v>2500</v>
      </c>
      <c r="AU208" s="525">
        <v>2500</v>
      </c>
      <c r="AV208" s="525">
        <v>2500</v>
      </c>
      <c r="AW208" s="525">
        <v>2500</v>
      </c>
      <c r="AX208" s="525">
        <v>2500</v>
      </c>
      <c r="AY208" s="525">
        <v>2500</v>
      </c>
      <c r="AZ208" s="525">
        <v>2500</v>
      </c>
      <c r="BA208" s="525">
        <v>2500</v>
      </c>
      <c r="BB208" s="525">
        <v>2500</v>
      </c>
      <c r="BC208" s="525">
        <v>2500</v>
      </c>
      <c r="BD208" s="525">
        <v>2500</v>
      </c>
      <c r="BE208" s="525">
        <v>2500</v>
      </c>
      <c r="BF208" s="525">
        <v>2500</v>
      </c>
      <c r="BG208" s="490">
        <f>SUM(E208:BF208)</f>
        <v>135000</v>
      </c>
      <c r="BH208" s="1085">
        <f>BG209</f>
        <v>143100</v>
      </c>
      <c r="BI208" s="491">
        <f t="shared" si="39"/>
        <v>54</v>
      </c>
    </row>
    <row r="209" spans="1:62" ht="199.9" customHeight="1" thickTop="1" thickBot="1" x14ac:dyDescent="1.3">
      <c r="A209" s="1063"/>
      <c r="B209" s="1054"/>
      <c r="C209" s="1052" t="s">
        <v>128</v>
      </c>
      <c r="D209" s="1052"/>
      <c r="E209" s="524">
        <v>2650</v>
      </c>
      <c r="F209" s="524">
        <v>2650</v>
      </c>
      <c r="G209" s="524">
        <v>2650</v>
      </c>
      <c r="H209" s="524">
        <v>2650</v>
      </c>
      <c r="I209" s="524">
        <v>2650</v>
      </c>
      <c r="J209" s="524">
        <v>2650</v>
      </c>
      <c r="K209" s="524">
        <v>2650</v>
      </c>
      <c r="L209" s="524">
        <v>2650</v>
      </c>
      <c r="M209" s="524">
        <v>2650</v>
      </c>
      <c r="N209" s="524">
        <v>2650</v>
      </c>
      <c r="O209" s="524">
        <v>2650</v>
      </c>
      <c r="P209" s="524">
        <v>2650</v>
      </c>
      <c r="Q209" s="524">
        <v>2650</v>
      </c>
      <c r="R209" s="524">
        <v>2650</v>
      </c>
      <c r="S209" s="524">
        <v>2650</v>
      </c>
      <c r="T209" s="524">
        <v>2650</v>
      </c>
      <c r="U209" s="524">
        <v>2650</v>
      </c>
      <c r="V209" s="524">
        <v>2650</v>
      </c>
      <c r="W209" s="524">
        <v>2650</v>
      </c>
      <c r="X209" s="524">
        <v>2650</v>
      </c>
      <c r="Y209" s="524">
        <v>2650</v>
      </c>
      <c r="Z209" s="524">
        <v>2650</v>
      </c>
      <c r="AA209" s="524">
        <v>2650</v>
      </c>
      <c r="AB209" s="524">
        <v>2650</v>
      </c>
      <c r="AC209" s="524">
        <v>2650</v>
      </c>
      <c r="AD209" s="524">
        <v>2650</v>
      </c>
      <c r="AE209" s="524">
        <v>2650</v>
      </c>
      <c r="AF209" s="524">
        <v>2650</v>
      </c>
      <c r="AG209" s="524">
        <v>2650</v>
      </c>
      <c r="AH209" s="524">
        <v>2650</v>
      </c>
      <c r="AI209" s="524">
        <v>2650</v>
      </c>
      <c r="AJ209" s="524">
        <v>2650</v>
      </c>
      <c r="AK209" s="524">
        <v>2650</v>
      </c>
      <c r="AL209" s="524">
        <v>2650</v>
      </c>
      <c r="AM209" s="524">
        <v>2650</v>
      </c>
      <c r="AN209" s="524">
        <v>2650</v>
      </c>
      <c r="AO209" s="524">
        <v>2650</v>
      </c>
      <c r="AP209" s="524">
        <v>2650</v>
      </c>
      <c r="AQ209" s="524">
        <v>2650</v>
      </c>
      <c r="AR209" s="524">
        <v>2650</v>
      </c>
      <c r="AS209" s="524">
        <v>2650</v>
      </c>
      <c r="AT209" s="524">
        <v>2650</v>
      </c>
      <c r="AU209" s="524">
        <v>2650</v>
      </c>
      <c r="AV209" s="524">
        <v>2650</v>
      </c>
      <c r="AW209" s="524">
        <v>2650</v>
      </c>
      <c r="AX209" s="524">
        <v>2650</v>
      </c>
      <c r="AY209" s="524">
        <v>2650</v>
      </c>
      <c r="AZ209" s="524">
        <v>2650</v>
      </c>
      <c r="BA209" s="524">
        <v>2650</v>
      </c>
      <c r="BB209" s="524">
        <v>2650</v>
      </c>
      <c r="BC209" s="524">
        <v>2650</v>
      </c>
      <c r="BD209" s="524">
        <v>2650</v>
      </c>
      <c r="BE209" s="524">
        <v>2650</v>
      </c>
      <c r="BF209" s="524">
        <v>2650</v>
      </c>
      <c r="BG209" s="495">
        <f>SUM(E209:BF209)</f>
        <v>143100</v>
      </c>
      <c r="BH209" s="1085"/>
      <c r="BI209" s="496">
        <f t="shared" si="39"/>
        <v>54</v>
      </c>
    </row>
    <row r="210" spans="1:62" s="511" customFormat="1" ht="199.9" customHeight="1" thickTop="1" thickBot="1" x14ac:dyDescent="1.3">
      <c r="A210" s="1063" t="s">
        <v>377</v>
      </c>
      <c r="B210" s="1054" t="s">
        <v>378</v>
      </c>
      <c r="C210" s="1053" t="s">
        <v>127</v>
      </c>
      <c r="D210" s="1053"/>
      <c r="E210" s="525">
        <v>1500</v>
      </c>
      <c r="F210" s="525">
        <v>1500</v>
      </c>
      <c r="G210" s="525">
        <v>1500</v>
      </c>
      <c r="H210" s="525">
        <v>1500</v>
      </c>
      <c r="I210" s="525">
        <v>1500</v>
      </c>
      <c r="J210" s="525">
        <v>1500</v>
      </c>
      <c r="K210" s="525">
        <v>1500</v>
      </c>
      <c r="L210" s="525">
        <v>1500</v>
      </c>
      <c r="M210" s="525">
        <v>1500</v>
      </c>
      <c r="N210" s="525">
        <v>1500</v>
      </c>
      <c r="O210" s="525">
        <v>1500</v>
      </c>
      <c r="P210" s="525">
        <v>1500</v>
      </c>
      <c r="Q210" s="525">
        <v>1500</v>
      </c>
      <c r="R210" s="525">
        <v>1500</v>
      </c>
      <c r="S210" s="525">
        <v>1500</v>
      </c>
      <c r="T210" s="525">
        <v>1500</v>
      </c>
      <c r="U210" s="525">
        <v>1500</v>
      </c>
      <c r="V210" s="525">
        <v>1500</v>
      </c>
      <c r="W210" s="525">
        <v>1500</v>
      </c>
      <c r="X210" s="525">
        <v>1500</v>
      </c>
      <c r="Y210" s="525">
        <v>1500</v>
      </c>
      <c r="Z210" s="525">
        <v>1500</v>
      </c>
      <c r="AA210" s="525">
        <v>1500</v>
      </c>
      <c r="AB210" s="525">
        <v>1500</v>
      </c>
      <c r="AC210" s="525">
        <v>1500</v>
      </c>
      <c r="AD210" s="525">
        <v>1500</v>
      </c>
      <c r="AE210" s="525">
        <v>1500</v>
      </c>
      <c r="AF210" s="525">
        <v>1500</v>
      </c>
      <c r="AG210" s="525">
        <v>1500</v>
      </c>
      <c r="AH210" s="525">
        <v>1500</v>
      </c>
      <c r="AI210" s="525">
        <v>1500</v>
      </c>
      <c r="AJ210" s="525">
        <v>1500</v>
      </c>
      <c r="AK210" s="525">
        <v>1500</v>
      </c>
      <c r="AL210" s="525">
        <v>1500</v>
      </c>
      <c r="AM210" s="525">
        <v>1500</v>
      </c>
      <c r="AN210" s="525">
        <v>1500</v>
      </c>
      <c r="AO210" s="525">
        <v>1500</v>
      </c>
      <c r="AP210" s="525">
        <v>1500</v>
      </c>
      <c r="AQ210" s="525">
        <v>1500</v>
      </c>
      <c r="AR210" s="525">
        <v>1500</v>
      </c>
      <c r="AS210" s="525">
        <v>1500</v>
      </c>
      <c r="AT210" s="525">
        <v>1500</v>
      </c>
      <c r="AU210" s="525">
        <v>1500</v>
      </c>
      <c r="AV210" s="525">
        <v>1500</v>
      </c>
      <c r="AW210" s="525">
        <v>1500</v>
      </c>
      <c r="AX210" s="525">
        <v>1500</v>
      </c>
      <c r="AY210" s="525">
        <v>1500</v>
      </c>
      <c r="AZ210" s="525">
        <v>1500</v>
      </c>
      <c r="BA210" s="525">
        <v>1500</v>
      </c>
      <c r="BB210" s="525">
        <v>1500</v>
      </c>
      <c r="BC210" s="525">
        <v>1500</v>
      </c>
      <c r="BD210" s="525">
        <v>1500</v>
      </c>
      <c r="BE210" s="525">
        <v>1500</v>
      </c>
      <c r="BF210" s="525">
        <v>1500</v>
      </c>
      <c r="BG210" s="490">
        <f t="shared" ref="BG210" si="40">SUM(E210:BF210)</f>
        <v>81000</v>
      </c>
      <c r="BH210" s="1099">
        <f>BG211</f>
        <v>81000</v>
      </c>
      <c r="BI210" s="491">
        <f t="shared" si="39"/>
        <v>54</v>
      </c>
    </row>
    <row r="211" spans="1:62" ht="199.9" customHeight="1" thickTop="1" thickBot="1" x14ac:dyDescent="1.3">
      <c r="A211" s="1063"/>
      <c r="B211" s="1054"/>
      <c r="C211" s="1052" t="s">
        <v>128</v>
      </c>
      <c r="D211" s="1052"/>
      <c r="E211" s="524">
        <v>1500</v>
      </c>
      <c r="F211" s="524">
        <v>1500</v>
      </c>
      <c r="G211" s="524">
        <v>1500</v>
      </c>
      <c r="H211" s="524">
        <v>1500</v>
      </c>
      <c r="I211" s="524">
        <v>1500</v>
      </c>
      <c r="J211" s="524">
        <v>1500</v>
      </c>
      <c r="K211" s="524">
        <v>1500</v>
      </c>
      <c r="L211" s="524">
        <v>1500</v>
      </c>
      <c r="M211" s="524">
        <v>1500</v>
      </c>
      <c r="N211" s="524">
        <v>1500</v>
      </c>
      <c r="O211" s="524">
        <v>1500</v>
      </c>
      <c r="P211" s="524">
        <v>1500</v>
      </c>
      <c r="Q211" s="524">
        <v>1500</v>
      </c>
      <c r="R211" s="524">
        <v>1500</v>
      </c>
      <c r="S211" s="524">
        <v>1500</v>
      </c>
      <c r="T211" s="524">
        <v>1500</v>
      </c>
      <c r="U211" s="524">
        <v>1500</v>
      </c>
      <c r="V211" s="524">
        <v>1500</v>
      </c>
      <c r="W211" s="524">
        <v>1500</v>
      </c>
      <c r="X211" s="524">
        <v>1500</v>
      </c>
      <c r="Y211" s="524">
        <v>1500</v>
      </c>
      <c r="Z211" s="524">
        <v>1500</v>
      </c>
      <c r="AA211" s="524">
        <v>1500</v>
      </c>
      <c r="AB211" s="524">
        <v>1500</v>
      </c>
      <c r="AC211" s="524">
        <v>1500</v>
      </c>
      <c r="AD211" s="524">
        <v>1500</v>
      </c>
      <c r="AE211" s="524">
        <v>1500</v>
      </c>
      <c r="AF211" s="565">
        <v>1500</v>
      </c>
      <c r="AG211" s="565">
        <v>1500</v>
      </c>
      <c r="AH211" s="565">
        <v>1500</v>
      </c>
      <c r="AI211" s="565">
        <v>1500</v>
      </c>
      <c r="AJ211" s="565">
        <v>1500</v>
      </c>
      <c r="AK211" s="565">
        <v>1500</v>
      </c>
      <c r="AL211" s="565">
        <v>1500</v>
      </c>
      <c r="AM211" s="565">
        <v>1500</v>
      </c>
      <c r="AN211" s="565">
        <v>1500</v>
      </c>
      <c r="AO211" s="565">
        <v>1500</v>
      </c>
      <c r="AP211" s="565">
        <v>1500</v>
      </c>
      <c r="AQ211" s="565">
        <v>1500</v>
      </c>
      <c r="AR211" s="565">
        <v>1500</v>
      </c>
      <c r="AS211" s="565">
        <v>1500</v>
      </c>
      <c r="AT211" s="565">
        <v>1500</v>
      </c>
      <c r="AU211" s="565">
        <v>1500</v>
      </c>
      <c r="AV211" s="565">
        <v>1500</v>
      </c>
      <c r="AW211" s="565">
        <v>1500</v>
      </c>
      <c r="AX211" s="565">
        <v>1500</v>
      </c>
      <c r="AY211" s="565">
        <v>1500</v>
      </c>
      <c r="AZ211" s="565">
        <v>1500</v>
      </c>
      <c r="BA211" s="565">
        <v>1500</v>
      </c>
      <c r="BB211" s="565">
        <v>1500</v>
      </c>
      <c r="BC211" s="565">
        <v>1500</v>
      </c>
      <c r="BD211" s="565">
        <v>1500</v>
      </c>
      <c r="BE211" s="565">
        <v>1500</v>
      </c>
      <c r="BF211" s="512">
        <v>1500</v>
      </c>
      <c r="BG211" s="495">
        <f t="shared" ref="BG211:BG217" si="41">SUM(E211:BF211)</f>
        <v>81000</v>
      </c>
      <c r="BH211" s="1099"/>
      <c r="BI211" s="496">
        <f t="shared" si="39"/>
        <v>54</v>
      </c>
    </row>
    <row r="212" spans="1:62" s="511" customFormat="1" ht="199.9" customHeight="1" thickTop="1" thickBot="1" x14ac:dyDescent="1.3">
      <c r="A212" s="1063" t="s">
        <v>379</v>
      </c>
      <c r="B212" s="1054" t="s">
        <v>366</v>
      </c>
      <c r="C212" s="1053" t="s">
        <v>127</v>
      </c>
      <c r="D212" s="1053"/>
      <c r="E212" s="508">
        <v>120</v>
      </c>
      <c r="F212" s="508">
        <v>120</v>
      </c>
      <c r="G212" s="508">
        <v>120</v>
      </c>
      <c r="H212" s="508">
        <v>120</v>
      </c>
      <c r="I212" s="508">
        <v>120</v>
      </c>
      <c r="J212" s="508">
        <v>120</v>
      </c>
      <c r="K212" s="508">
        <v>120</v>
      </c>
      <c r="L212" s="508">
        <v>120</v>
      </c>
      <c r="M212" s="508">
        <v>120</v>
      </c>
      <c r="N212" s="508">
        <v>120</v>
      </c>
      <c r="O212" s="508">
        <v>120</v>
      </c>
      <c r="P212" s="508">
        <v>120</v>
      </c>
      <c r="Q212" s="508">
        <v>120</v>
      </c>
      <c r="R212" s="508">
        <v>120</v>
      </c>
      <c r="S212" s="508">
        <v>120</v>
      </c>
      <c r="T212" s="508">
        <v>120</v>
      </c>
      <c r="U212" s="508">
        <v>120</v>
      </c>
      <c r="V212" s="508">
        <v>120</v>
      </c>
      <c r="W212" s="508">
        <v>120</v>
      </c>
      <c r="X212" s="508">
        <v>120</v>
      </c>
      <c r="Y212" s="508">
        <v>120</v>
      </c>
      <c r="Z212" s="508">
        <v>120</v>
      </c>
      <c r="AA212" s="508">
        <v>120</v>
      </c>
      <c r="AB212" s="508">
        <v>120</v>
      </c>
      <c r="AC212" s="508">
        <v>120</v>
      </c>
      <c r="AD212" s="508">
        <v>120</v>
      </c>
      <c r="AE212" s="508">
        <v>120</v>
      </c>
      <c r="AF212" s="508">
        <v>120</v>
      </c>
      <c r="AG212" s="508">
        <v>120</v>
      </c>
      <c r="AH212" s="508">
        <v>120</v>
      </c>
      <c r="AI212" s="508">
        <v>120</v>
      </c>
      <c r="AJ212" s="508">
        <v>120</v>
      </c>
      <c r="AK212" s="508">
        <v>120</v>
      </c>
      <c r="AL212" s="508">
        <v>120</v>
      </c>
      <c r="AM212" s="508">
        <v>120</v>
      </c>
      <c r="AN212" s="508">
        <v>120</v>
      </c>
      <c r="AO212" s="508">
        <v>120</v>
      </c>
      <c r="AP212" s="508">
        <v>120</v>
      </c>
      <c r="AQ212" s="508">
        <v>120</v>
      </c>
      <c r="AR212" s="508">
        <v>120</v>
      </c>
      <c r="AS212" s="508">
        <v>120</v>
      </c>
      <c r="AT212" s="508">
        <v>120</v>
      </c>
      <c r="AU212" s="508">
        <v>120</v>
      </c>
      <c r="AV212" s="508">
        <v>120</v>
      </c>
      <c r="AW212" s="508">
        <v>120</v>
      </c>
      <c r="AX212" s="508">
        <v>120</v>
      </c>
      <c r="AY212" s="508">
        <v>120</v>
      </c>
      <c r="AZ212" s="508">
        <v>120</v>
      </c>
      <c r="BA212" s="508">
        <v>120</v>
      </c>
      <c r="BB212" s="508">
        <v>120</v>
      </c>
      <c r="BC212" s="508">
        <v>120</v>
      </c>
      <c r="BD212" s="508">
        <v>120</v>
      </c>
      <c r="BE212" s="508">
        <v>120</v>
      </c>
      <c r="BF212" s="508">
        <v>120</v>
      </c>
      <c r="BG212" s="490">
        <f t="shared" si="41"/>
        <v>6480</v>
      </c>
      <c r="BH212" s="1076">
        <f>BG213</f>
        <v>6480</v>
      </c>
      <c r="BI212" s="491">
        <f t="shared" si="39"/>
        <v>54</v>
      </c>
    </row>
    <row r="213" spans="1:62" ht="199.9" customHeight="1" thickTop="1" thickBot="1" x14ac:dyDescent="1.3">
      <c r="A213" s="1063"/>
      <c r="B213" s="1054"/>
      <c r="C213" s="1052" t="s">
        <v>128</v>
      </c>
      <c r="D213" s="1052"/>
      <c r="E213" s="512">
        <v>120</v>
      </c>
      <c r="F213" s="631">
        <v>120</v>
      </c>
      <c r="G213" s="631">
        <v>120</v>
      </c>
      <c r="H213" s="631">
        <v>120</v>
      </c>
      <c r="I213" s="631">
        <v>120</v>
      </c>
      <c r="J213" s="631">
        <v>120</v>
      </c>
      <c r="K213" s="631">
        <v>120</v>
      </c>
      <c r="L213" s="631">
        <v>120</v>
      </c>
      <c r="M213" s="631">
        <v>120</v>
      </c>
      <c r="N213" s="631">
        <v>120</v>
      </c>
      <c r="O213" s="631">
        <v>120</v>
      </c>
      <c r="P213" s="631">
        <v>120</v>
      </c>
      <c r="Q213" s="631">
        <v>120</v>
      </c>
      <c r="R213" s="631">
        <v>120</v>
      </c>
      <c r="S213" s="631">
        <v>120</v>
      </c>
      <c r="T213" s="631">
        <v>120</v>
      </c>
      <c r="U213" s="631">
        <v>120</v>
      </c>
      <c r="V213" s="631">
        <v>120</v>
      </c>
      <c r="W213" s="693">
        <v>120</v>
      </c>
      <c r="X213" s="693">
        <v>120</v>
      </c>
      <c r="Y213" s="693">
        <v>120</v>
      </c>
      <c r="Z213" s="693">
        <v>120</v>
      </c>
      <c r="AA213" s="693">
        <v>120</v>
      </c>
      <c r="AB213" s="631">
        <v>120</v>
      </c>
      <c r="AC213" s="631">
        <v>120</v>
      </c>
      <c r="AD213" s="631">
        <v>120</v>
      </c>
      <c r="AE213" s="631">
        <v>120</v>
      </c>
      <c r="AF213" s="631">
        <v>120</v>
      </c>
      <c r="AG213" s="631">
        <v>120</v>
      </c>
      <c r="AH213" s="631">
        <v>120</v>
      </c>
      <c r="AI213" s="557">
        <v>120</v>
      </c>
      <c r="AJ213" s="557">
        <v>120</v>
      </c>
      <c r="AK213" s="557">
        <v>120</v>
      </c>
      <c r="AL213" s="557">
        <v>120</v>
      </c>
      <c r="AM213" s="557">
        <v>120</v>
      </c>
      <c r="AN213" s="557">
        <v>120</v>
      </c>
      <c r="AO213" s="557">
        <v>120</v>
      </c>
      <c r="AP213" s="557">
        <v>120</v>
      </c>
      <c r="AQ213" s="557">
        <v>120</v>
      </c>
      <c r="AR213" s="557">
        <v>120</v>
      </c>
      <c r="AS213" s="557">
        <v>120</v>
      </c>
      <c r="AT213" s="557">
        <v>120</v>
      </c>
      <c r="AU213" s="557">
        <v>120</v>
      </c>
      <c r="AV213" s="557">
        <v>120</v>
      </c>
      <c r="AW213" s="557">
        <v>120</v>
      </c>
      <c r="AX213" s="557">
        <v>120</v>
      </c>
      <c r="AY213" s="557">
        <v>120</v>
      </c>
      <c r="AZ213" s="557">
        <v>120</v>
      </c>
      <c r="BA213" s="557">
        <v>120</v>
      </c>
      <c r="BB213" s="557">
        <v>120</v>
      </c>
      <c r="BC213" s="512">
        <v>120</v>
      </c>
      <c r="BD213" s="512">
        <v>120</v>
      </c>
      <c r="BE213" s="512">
        <v>120</v>
      </c>
      <c r="BF213" s="512">
        <v>120</v>
      </c>
      <c r="BG213" s="495">
        <f t="shared" si="41"/>
        <v>6480</v>
      </c>
      <c r="BH213" s="1076"/>
      <c r="BI213" s="496">
        <f t="shared" si="39"/>
        <v>54</v>
      </c>
    </row>
    <row r="214" spans="1:62" s="511" customFormat="1" ht="199.9" customHeight="1" thickTop="1" thickBot="1" x14ac:dyDescent="1.3">
      <c r="A214" s="1063" t="s">
        <v>432</v>
      </c>
      <c r="B214" s="1054" t="s">
        <v>433</v>
      </c>
      <c r="C214" s="1053" t="s">
        <v>127</v>
      </c>
      <c r="D214" s="1053"/>
      <c r="E214" s="508">
        <v>70</v>
      </c>
      <c r="F214" s="508">
        <v>70</v>
      </c>
      <c r="G214" s="508">
        <v>70</v>
      </c>
      <c r="H214" s="508">
        <v>70</v>
      </c>
      <c r="I214" s="508">
        <v>70</v>
      </c>
      <c r="J214" s="508">
        <v>70</v>
      </c>
      <c r="K214" s="508">
        <v>70</v>
      </c>
      <c r="L214" s="508">
        <v>70</v>
      </c>
      <c r="M214" s="508">
        <v>70</v>
      </c>
      <c r="N214" s="508">
        <v>70</v>
      </c>
      <c r="O214" s="508">
        <v>70</v>
      </c>
      <c r="P214" s="508">
        <v>70</v>
      </c>
      <c r="Q214" s="508">
        <v>70</v>
      </c>
      <c r="R214" s="508">
        <v>70</v>
      </c>
      <c r="S214" s="508">
        <v>70</v>
      </c>
      <c r="T214" s="508">
        <v>70</v>
      </c>
      <c r="U214" s="508">
        <v>70</v>
      </c>
      <c r="V214" s="508">
        <v>70</v>
      </c>
      <c r="W214" s="508">
        <v>70</v>
      </c>
      <c r="X214" s="508">
        <v>70</v>
      </c>
      <c r="Y214" s="508">
        <v>70</v>
      </c>
      <c r="Z214" s="508">
        <v>70</v>
      </c>
      <c r="AA214" s="508">
        <v>70</v>
      </c>
      <c r="AB214" s="508">
        <v>70</v>
      </c>
      <c r="AC214" s="508">
        <v>70</v>
      </c>
      <c r="AD214" s="508">
        <v>70</v>
      </c>
      <c r="AE214" s="508">
        <v>70</v>
      </c>
      <c r="AF214" s="508">
        <v>70</v>
      </c>
      <c r="AG214" s="508">
        <v>70</v>
      </c>
      <c r="AH214" s="508">
        <v>70</v>
      </c>
      <c r="AI214" s="508">
        <v>70</v>
      </c>
      <c r="AJ214" s="508">
        <v>70</v>
      </c>
      <c r="AK214" s="508">
        <v>70</v>
      </c>
      <c r="AL214" s="508">
        <v>70</v>
      </c>
      <c r="AM214" s="508">
        <v>70</v>
      </c>
      <c r="AN214" s="508">
        <v>70</v>
      </c>
      <c r="AO214" s="508">
        <v>70</v>
      </c>
      <c r="AP214" s="508">
        <v>70</v>
      </c>
      <c r="AQ214" s="508">
        <v>70</v>
      </c>
      <c r="AR214" s="508">
        <v>70</v>
      </c>
      <c r="AS214" s="508">
        <v>70</v>
      </c>
      <c r="AT214" s="508">
        <v>70</v>
      </c>
      <c r="AU214" s="508">
        <v>70</v>
      </c>
      <c r="AV214" s="508">
        <v>70</v>
      </c>
      <c r="AW214" s="508">
        <v>70</v>
      </c>
      <c r="AX214" s="508">
        <v>70</v>
      </c>
      <c r="AY214" s="508">
        <v>70</v>
      </c>
      <c r="AZ214" s="508">
        <v>70</v>
      </c>
      <c r="BA214" s="508">
        <v>70</v>
      </c>
      <c r="BB214" s="508">
        <v>70</v>
      </c>
      <c r="BC214" s="508">
        <v>70</v>
      </c>
      <c r="BD214" s="508">
        <v>70</v>
      </c>
      <c r="BE214" s="508">
        <v>70</v>
      </c>
      <c r="BF214" s="508">
        <v>70</v>
      </c>
      <c r="BG214" s="490">
        <f t="shared" si="41"/>
        <v>3780</v>
      </c>
      <c r="BH214" s="1076">
        <f>BG215</f>
        <v>3672.130000000001</v>
      </c>
      <c r="BI214" s="491">
        <f t="shared" si="39"/>
        <v>54</v>
      </c>
    </row>
    <row r="215" spans="1:62" ht="199.9" customHeight="1" thickTop="1" thickBot="1" x14ac:dyDescent="1.3">
      <c r="A215" s="1063"/>
      <c r="B215" s="1054"/>
      <c r="C215" s="1052" t="s">
        <v>128</v>
      </c>
      <c r="D215" s="1052"/>
      <c r="E215" s="512">
        <v>70.05</v>
      </c>
      <c r="F215" s="512">
        <v>66.45</v>
      </c>
      <c r="G215" s="512">
        <v>70.05</v>
      </c>
      <c r="H215" s="512">
        <v>66.45</v>
      </c>
      <c r="I215" s="512">
        <v>66.45</v>
      </c>
      <c r="J215" s="512">
        <v>70.05</v>
      </c>
      <c r="K215" s="512">
        <v>66.45</v>
      </c>
      <c r="L215" s="512">
        <v>66.45</v>
      </c>
      <c r="M215" s="512">
        <v>66.45</v>
      </c>
      <c r="N215" s="565">
        <v>66.45</v>
      </c>
      <c r="O215" s="565">
        <v>66.45</v>
      </c>
      <c r="P215" s="512">
        <v>66.45</v>
      </c>
      <c r="Q215" s="512">
        <v>70.05</v>
      </c>
      <c r="R215" s="512">
        <v>70.05</v>
      </c>
      <c r="S215" s="512">
        <v>70.05</v>
      </c>
      <c r="T215" s="512">
        <v>70.05</v>
      </c>
      <c r="U215" s="512">
        <v>70.05</v>
      </c>
      <c r="V215" s="512">
        <v>70.05</v>
      </c>
      <c r="W215" s="565">
        <v>70.05</v>
      </c>
      <c r="X215" s="512">
        <v>66.45</v>
      </c>
      <c r="Y215" s="512">
        <v>66.45</v>
      </c>
      <c r="Z215" s="512">
        <v>66.45</v>
      </c>
      <c r="AA215" s="1080">
        <v>200.38</v>
      </c>
      <c r="AB215" s="1080"/>
      <c r="AC215" s="1080"/>
      <c r="AD215" s="512">
        <v>66.45</v>
      </c>
      <c r="AE215" s="512">
        <v>66.45</v>
      </c>
      <c r="AF215" s="565">
        <v>66.45</v>
      </c>
      <c r="AG215" s="565">
        <v>66.45</v>
      </c>
      <c r="AH215" s="565">
        <v>66.45</v>
      </c>
      <c r="AI215" s="565">
        <v>66.45</v>
      </c>
      <c r="AJ215" s="565">
        <v>66.45</v>
      </c>
      <c r="AK215" s="565">
        <v>66.45</v>
      </c>
      <c r="AL215" s="565">
        <v>66.45</v>
      </c>
      <c r="AM215" s="565">
        <v>66.45</v>
      </c>
      <c r="AN215" s="565">
        <v>66.45</v>
      </c>
      <c r="AO215" s="565">
        <v>66.45</v>
      </c>
      <c r="AP215" s="565">
        <v>66.45</v>
      </c>
      <c r="AQ215" s="565">
        <v>66.45</v>
      </c>
      <c r="AR215" s="565">
        <v>66.45</v>
      </c>
      <c r="AS215" s="565">
        <v>66.45</v>
      </c>
      <c r="AT215" s="565">
        <v>70.05</v>
      </c>
      <c r="AU215" s="512">
        <v>70.05</v>
      </c>
      <c r="AV215" s="565">
        <v>70.05</v>
      </c>
      <c r="AW215" s="565">
        <v>70.05</v>
      </c>
      <c r="AX215" s="565">
        <v>70.05</v>
      </c>
      <c r="AY215" s="565">
        <v>70.05</v>
      </c>
      <c r="AZ215" s="512">
        <v>70.05</v>
      </c>
      <c r="BA215" s="512">
        <v>70.05</v>
      </c>
      <c r="BB215" s="512">
        <v>70.05</v>
      </c>
      <c r="BC215" s="565">
        <v>70.05</v>
      </c>
      <c r="BD215" s="565">
        <v>70.05</v>
      </c>
      <c r="BE215" s="565">
        <v>70.05</v>
      </c>
      <c r="BF215" s="565">
        <v>70.05</v>
      </c>
      <c r="BG215" s="495">
        <f t="shared" si="41"/>
        <v>3672.130000000001</v>
      </c>
      <c r="BH215" s="1076"/>
      <c r="BI215" s="496">
        <f>BG215/68</f>
        <v>54.001911764705895</v>
      </c>
      <c r="BJ215" s="513">
        <f>BG215/54</f>
        <v>68.002407407407432</v>
      </c>
    </row>
    <row r="216" spans="1:62" s="511" customFormat="1" ht="199.9" customHeight="1" thickTop="1" thickBot="1" x14ac:dyDescent="1.3">
      <c r="A216" s="1063" t="s">
        <v>643</v>
      </c>
      <c r="B216" s="1054" t="s">
        <v>644</v>
      </c>
      <c r="C216" s="1053" t="s">
        <v>127</v>
      </c>
      <c r="D216" s="1053"/>
      <c r="E216" s="508">
        <v>5</v>
      </c>
      <c r="F216" s="508">
        <v>5</v>
      </c>
      <c r="G216" s="508">
        <v>5</v>
      </c>
      <c r="H216" s="508">
        <v>5</v>
      </c>
      <c r="I216" s="508">
        <v>5</v>
      </c>
      <c r="J216" s="508">
        <v>5</v>
      </c>
      <c r="K216" s="508">
        <v>5</v>
      </c>
      <c r="L216" s="508">
        <v>5</v>
      </c>
      <c r="M216" s="508">
        <v>5</v>
      </c>
      <c r="N216" s="508">
        <v>5</v>
      </c>
      <c r="O216" s="508">
        <v>5</v>
      </c>
      <c r="P216" s="508">
        <v>5</v>
      </c>
      <c r="Q216" s="508">
        <v>5</v>
      </c>
      <c r="R216" s="508">
        <v>5</v>
      </c>
      <c r="S216" s="508">
        <v>5</v>
      </c>
      <c r="T216" s="508">
        <v>5</v>
      </c>
      <c r="U216" s="508">
        <v>5</v>
      </c>
      <c r="V216" s="508">
        <v>5</v>
      </c>
      <c r="W216" s="508">
        <v>5</v>
      </c>
      <c r="X216" s="508">
        <v>5</v>
      </c>
      <c r="Y216" s="508">
        <v>5</v>
      </c>
      <c r="Z216" s="508">
        <v>5</v>
      </c>
      <c r="AA216" s="508">
        <v>5</v>
      </c>
      <c r="AB216" s="508">
        <v>5</v>
      </c>
      <c r="AC216" s="508">
        <v>5</v>
      </c>
      <c r="AD216" s="508">
        <v>5</v>
      </c>
      <c r="AE216" s="508">
        <v>5</v>
      </c>
      <c r="AF216" s="508">
        <v>5</v>
      </c>
      <c r="AG216" s="508">
        <v>5</v>
      </c>
      <c r="AH216" s="508">
        <v>5</v>
      </c>
      <c r="AI216" s="508">
        <v>5</v>
      </c>
      <c r="AJ216" s="508">
        <v>5</v>
      </c>
      <c r="AK216" s="508">
        <v>5</v>
      </c>
      <c r="AL216" s="508">
        <v>5</v>
      </c>
      <c r="AM216" s="508">
        <v>5</v>
      </c>
      <c r="AN216" s="508">
        <v>5</v>
      </c>
      <c r="AO216" s="508">
        <v>5</v>
      </c>
      <c r="AP216" s="508">
        <v>5</v>
      </c>
      <c r="AQ216" s="508">
        <v>5</v>
      </c>
      <c r="AR216" s="508">
        <v>5</v>
      </c>
      <c r="AS216" s="508">
        <v>5</v>
      </c>
      <c r="AT216" s="508">
        <v>5</v>
      </c>
      <c r="AU216" s="508">
        <v>5</v>
      </c>
      <c r="AV216" s="508">
        <v>5</v>
      </c>
      <c r="AW216" s="508">
        <v>5</v>
      </c>
      <c r="AX216" s="508">
        <v>5</v>
      </c>
      <c r="AY216" s="508">
        <v>5</v>
      </c>
      <c r="AZ216" s="508">
        <v>5</v>
      </c>
      <c r="BA216" s="508">
        <v>5</v>
      </c>
      <c r="BB216" s="508">
        <v>5</v>
      </c>
      <c r="BC216" s="508">
        <v>5</v>
      </c>
      <c r="BD216" s="508">
        <v>5</v>
      </c>
      <c r="BE216" s="508">
        <v>5</v>
      </c>
      <c r="BF216" s="508">
        <v>5</v>
      </c>
      <c r="BG216" s="490">
        <f t="shared" si="41"/>
        <v>270</v>
      </c>
      <c r="BH216" s="1076">
        <f>BG217</f>
        <v>237.60000000000019</v>
      </c>
      <c r="BI216" s="491">
        <f t="shared" si="39"/>
        <v>54</v>
      </c>
    </row>
    <row r="217" spans="1:62" ht="199.9" customHeight="1" thickTop="1" thickBot="1" x14ac:dyDescent="1.3">
      <c r="A217" s="1063"/>
      <c r="B217" s="1054"/>
      <c r="C217" s="1052" t="s">
        <v>128</v>
      </c>
      <c r="D217" s="1052"/>
      <c r="E217" s="734">
        <v>4.4000000000000004</v>
      </c>
      <c r="F217" s="734">
        <v>4.4000000000000004</v>
      </c>
      <c r="G217" s="734">
        <v>4.4000000000000004</v>
      </c>
      <c r="H217" s="734">
        <v>4.4000000000000004</v>
      </c>
      <c r="I217" s="734">
        <v>4.4000000000000004</v>
      </c>
      <c r="J217" s="734">
        <v>4.4000000000000004</v>
      </c>
      <c r="K217" s="734">
        <v>4.4000000000000004</v>
      </c>
      <c r="L217" s="734">
        <v>4.4000000000000004</v>
      </c>
      <c r="M217" s="734">
        <v>4.4000000000000004</v>
      </c>
      <c r="N217" s="734">
        <v>4.4000000000000004</v>
      </c>
      <c r="O217" s="734">
        <v>4.4000000000000004</v>
      </c>
      <c r="P217" s="734">
        <v>4.4000000000000004</v>
      </c>
      <c r="Q217" s="734">
        <v>4.4000000000000004</v>
      </c>
      <c r="R217" s="734">
        <v>4.4000000000000004</v>
      </c>
      <c r="S217" s="734">
        <v>4.4000000000000004</v>
      </c>
      <c r="T217" s="734">
        <v>4.4000000000000004</v>
      </c>
      <c r="U217" s="734">
        <v>4.4000000000000004</v>
      </c>
      <c r="V217" s="734">
        <v>4.4000000000000004</v>
      </c>
      <c r="W217" s="734">
        <v>4.4000000000000004</v>
      </c>
      <c r="X217" s="734">
        <v>4.4000000000000004</v>
      </c>
      <c r="Y217" s="734">
        <v>4.4000000000000004</v>
      </c>
      <c r="Z217" s="734">
        <v>4.4000000000000004</v>
      </c>
      <c r="AA217" s="734">
        <v>4.4000000000000004</v>
      </c>
      <c r="AB217" s="734">
        <v>4.4000000000000004</v>
      </c>
      <c r="AC217" s="734">
        <v>4.4000000000000004</v>
      </c>
      <c r="AD217" s="734">
        <v>4.4000000000000004</v>
      </c>
      <c r="AE217" s="734">
        <v>4.4000000000000004</v>
      </c>
      <c r="AF217" s="734">
        <v>4.4000000000000004</v>
      </c>
      <c r="AG217" s="734">
        <v>4.4000000000000004</v>
      </c>
      <c r="AH217" s="734">
        <v>4.4000000000000004</v>
      </c>
      <c r="AI217" s="734">
        <v>4.4000000000000004</v>
      </c>
      <c r="AJ217" s="734">
        <v>4.4000000000000004</v>
      </c>
      <c r="AK217" s="734">
        <v>4.4000000000000004</v>
      </c>
      <c r="AL217" s="734">
        <v>4.4000000000000004</v>
      </c>
      <c r="AM217" s="734">
        <v>4.4000000000000004</v>
      </c>
      <c r="AN217" s="734">
        <v>4.4000000000000004</v>
      </c>
      <c r="AO217" s="734">
        <v>4.4000000000000004</v>
      </c>
      <c r="AP217" s="734">
        <v>4.4000000000000004</v>
      </c>
      <c r="AQ217" s="734">
        <v>4.4000000000000004</v>
      </c>
      <c r="AR217" s="734">
        <v>4.4000000000000004</v>
      </c>
      <c r="AS217" s="734">
        <v>4.4000000000000004</v>
      </c>
      <c r="AT217" s="734">
        <v>4.4000000000000004</v>
      </c>
      <c r="AU217" s="734">
        <v>4.4000000000000004</v>
      </c>
      <c r="AV217" s="734">
        <v>4.4000000000000004</v>
      </c>
      <c r="AW217" s="734">
        <v>4.4000000000000004</v>
      </c>
      <c r="AX217" s="734">
        <v>4.4000000000000004</v>
      </c>
      <c r="AY217" s="734">
        <v>4.4000000000000004</v>
      </c>
      <c r="AZ217" s="734">
        <v>4.4000000000000004</v>
      </c>
      <c r="BA217" s="734">
        <v>4.4000000000000004</v>
      </c>
      <c r="BB217" s="734">
        <v>4.4000000000000004</v>
      </c>
      <c r="BC217" s="734">
        <v>4.4000000000000004</v>
      </c>
      <c r="BD217" s="734">
        <v>4.4000000000000004</v>
      </c>
      <c r="BE217" s="734">
        <v>4.4000000000000004</v>
      </c>
      <c r="BF217" s="693">
        <v>4.4000000000000004</v>
      </c>
      <c r="BG217" s="495">
        <f t="shared" si="41"/>
        <v>237.60000000000019</v>
      </c>
      <c r="BH217" s="1076"/>
      <c r="BI217" s="496">
        <f>BG217/BD217</f>
        <v>54.000000000000043</v>
      </c>
    </row>
    <row r="218" spans="1:62" s="511" customFormat="1" ht="199.9" customHeight="1" thickTop="1" thickBot="1" x14ac:dyDescent="1.3">
      <c r="A218" s="1063" t="s">
        <v>714</v>
      </c>
      <c r="B218" s="1054" t="s">
        <v>715</v>
      </c>
      <c r="C218" s="1053" t="s">
        <v>127</v>
      </c>
      <c r="D218" s="1053"/>
      <c r="E218" s="508">
        <v>90</v>
      </c>
      <c r="F218" s="508">
        <v>90</v>
      </c>
      <c r="G218" s="508">
        <v>90</v>
      </c>
      <c r="H218" s="508">
        <v>90</v>
      </c>
      <c r="I218" s="508">
        <v>90</v>
      </c>
      <c r="J218" s="508">
        <v>90</v>
      </c>
      <c r="K218" s="508">
        <v>90</v>
      </c>
      <c r="L218" s="508">
        <v>90</v>
      </c>
      <c r="M218" s="508">
        <v>90</v>
      </c>
      <c r="N218" s="508">
        <v>90</v>
      </c>
      <c r="O218" s="508">
        <v>90</v>
      </c>
      <c r="P218" s="508">
        <v>90</v>
      </c>
      <c r="Q218" s="508">
        <v>90</v>
      </c>
      <c r="R218" s="508">
        <v>90</v>
      </c>
      <c r="S218" s="508">
        <v>90</v>
      </c>
      <c r="T218" s="508">
        <v>90</v>
      </c>
      <c r="U218" s="508">
        <v>90</v>
      </c>
      <c r="V218" s="508">
        <v>90</v>
      </c>
      <c r="W218" s="508">
        <v>90</v>
      </c>
      <c r="X218" s="508">
        <v>90</v>
      </c>
      <c r="Y218" s="508">
        <v>90</v>
      </c>
      <c r="Z218" s="508">
        <v>90</v>
      </c>
      <c r="AA218" s="508">
        <v>90</v>
      </c>
      <c r="AB218" s="508">
        <v>90</v>
      </c>
      <c r="AC218" s="508">
        <v>90</v>
      </c>
      <c r="AD218" s="508">
        <v>90</v>
      </c>
      <c r="AE218" s="508">
        <v>90</v>
      </c>
      <c r="AF218" s="508">
        <v>90</v>
      </c>
      <c r="AG218" s="508">
        <v>90</v>
      </c>
      <c r="AH218" s="508">
        <v>90</v>
      </c>
      <c r="AI218" s="508">
        <v>90</v>
      </c>
      <c r="AJ218" s="508">
        <v>90</v>
      </c>
      <c r="AK218" s="508">
        <v>90</v>
      </c>
      <c r="AL218" s="508">
        <v>90</v>
      </c>
      <c r="AM218" s="508">
        <v>90</v>
      </c>
      <c r="AN218" s="508">
        <v>90</v>
      </c>
      <c r="AO218" s="508">
        <v>90</v>
      </c>
      <c r="AP218" s="508">
        <v>90</v>
      </c>
      <c r="AQ218" s="508">
        <v>90</v>
      </c>
      <c r="AR218" s="508">
        <v>90</v>
      </c>
      <c r="AS218" s="508">
        <v>90</v>
      </c>
      <c r="AT218" s="508">
        <v>90</v>
      </c>
      <c r="AU218" s="508">
        <v>90</v>
      </c>
      <c r="AV218" s="508">
        <v>90</v>
      </c>
      <c r="AW218" s="508">
        <v>90</v>
      </c>
      <c r="AX218" s="508">
        <v>90</v>
      </c>
      <c r="AY218" s="508">
        <v>90</v>
      </c>
      <c r="AZ218" s="508">
        <v>90</v>
      </c>
      <c r="BA218" s="508">
        <v>90</v>
      </c>
      <c r="BB218" s="508">
        <v>90</v>
      </c>
      <c r="BC218" s="508">
        <v>90</v>
      </c>
      <c r="BD218" s="508">
        <v>90</v>
      </c>
      <c r="BE218" s="508">
        <v>90</v>
      </c>
      <c r="BF218" s="508">
        <v>90</v>
      </c>
      <c r="BG218" s="490">
        <f t="shared" ref="BG218:BG219" si="42">SUM(E218:BF218)</f>
        <v>4860</v>
      </c>
      <c r="BH218" s="1076">
        <f>BG219</f>
        <v>4860</v>
      </c>
      <c r="BI218" s="491">
        <f t="shared" ref="BI218" si="43">BG218/BF218</f>
        <v>54</v>
      </c>
    </row>
    <row r="219" spans="1:62" ht="199.9" customHeight="1" thickTop="1" thickBot="1" x14ac:dyDescent="1.3">
      <c r="A219" s="1063"/>
      <c r="B219" s="1054"/>
      <c r="C219" s="1052" t="s">
        <v>128</v>
      </c>
      <c r="D219" s="1052"/>
      <c r="E219" s="565">
        <v>90</v>
      </c>
      <c r="F219" s="693">
        <v>90</v>
      </c>
      <c r="G219" s="693">
        <v>90</v>
      </c>
      <c r="H219" s="693">
        <v>90</v>
      </c>
      <c r="I219" s="693">
        <v>90</v>
      </c>
      <c r="J219" s="693">
        <v>90</v>
      </c>
      <c r="K219" s="693">
        <v>90</v>
      </c>
      <c r="L219" s="693">
        <v>90</v>
      </c>
      <c r="M219" s="693">
        <v>90</v>
      </c>
      <c r="N219" s="693">
        <v>90</v>
      </c>
      <c r="O219" s="693">
        <v>90</v>
      </c>
      <c r="P219" s="693">
        <v>90</v>
      </c>
      <c r="Q219" s="693">
        <v>90</v>
      </c>
      <c r="R219" s="693">
        <v>90</v>
      </c>
      <c r="S219" s="693">
        <v>90</v>
      </c>
      <c r="T219" s="693">
        <v>90</v>
      </c>
      <c r="U219" s="693">
        <v>90</v>
      </c>
      <c r="V219" s="693">
        <v>90</v>
      </c>
      <c r="W219" s="734">
        <v>90</v>
      </c>
      <c r="X219" s="734">
        <v>90</v>
      </c>
      <c r="Y219" s="734">
        <v>90</v>
      </c>
      <c r="Z219" s="734">
        <v>90</v>
      </c>
      <c r="AA219" s="693">
        <v>90</v>
      </c>
      <c r="AB219" s="693">
        <v>90</v>
      </c>
      <c r="AC219" s="693">
        <v>90</v>
      </c>
      <c r="AD219" s="693">
        <v>90</v>
      </c>
      <c r="AE219" s="693">
        <v>90</v>
      </c>
      <c r="AF219" s="693">
        <v>90</v>
      </c>
      <c r="AG219" s="693">
        <v>90</v>
      </c>
      <c r="AH219" s="693">
        <v>90</v>
      </c>
      <c r="AI219" s="693">
        <v>90</v>
      </c>
      <c r="AJ219" s="693">
        <v>90</v>
      </c>
      <c r="AK219" s="693">
        <v>90</v>
      </c>
      <c r="AL219" s="693">
        <v>90</v>
      </c>
      <c r="AM219" s="693">
        <v>90</v>
      </c>
      <c r="AN219" s="693">
        <v>90</v>
      </c>
      <c r="AO219" s="693">
        <v>90</v>
      </c>
      <c r="AP219" s="693">
        <v>90</v>
      </c>
      <c r="AQ219" s="693">
        <v>90</v>
      </c>
      <c r="AR219" s="693">
        <v>90</v>
      </c>
      <c r="AS219" s="693">
        <v>90</v>
      </c>
      <c r="AT219" s="693">
        <v>90</v>
      </c>
      <c r="AU219" s="693">
        <v>90</v>
      </c>
      <c r="AV219" s="693">
        <v>90</v>
      </c>
      <c r="AW219" s="693">
        <v>90</v>
      </c>
      <c r="AX219" s="693">
        <v>90</v>
      </c>
      <c r="AY219" s="693">
        <v>90</v>
      </c>
      <c r="AZ219" s="693">
        <v>90</v>
      </c>
      <c r="BA219" s="693">
        <v>90</v>
      </c>
      <c r="BB219" s="693">
        <v>90</v>
      </c>
      <c r="BC219" s="693">
        <v>90</v>
      </c>
      <c r="BD219" s="693">
        <v>90</v>
      </c>
      <c r="BE219" s="693">
        <v>90</v>
      </c>
      <c r="BF219" s="693">
        <v>90</v>
      </c>
      <c r="BG219" s="565">
        <f t="shared" si="42"/>
        <v>4860</v>
      </c>
      <c r="BH219" s="1076"/>
      <c r="BI219" s="496">
        <f>BG219/90</f>
        <v>54</v>
      </c>
    </row>
    <row r="220" spans="1:62" ht="175.15" customHeight="1" thickTop="1" thickBot="1" x14ac:dyDescent="1.3">
      <c r="A220" s="540"/>
      <c r="B220" s="1048" t="s">
        <v>162</v>
      </c>
      <c r="C220" s="1048"/>
      <c r="D220" s="1048"/>
      <c r="E220" s="1048"/>
      <c r="F220" s="543"/>
      <c r="G220" s="543"/>
      <c r="H220" s="543"/>
      <c r="I220" s="543"/>
      <c r="J220" s="543"/>
      <c r="K220" s="543"/>
      <c r="L220" s="543"/>
      <c r="M220" s="543"/>
      <c r="N220" s="543"/>
      <c r="O220" s="543"/>
      <c r="P220" s="543"/>
      <c r="Q220" s="543"/>
      <c r="R220" s="543"/>
      <c r="S220" s="1059" t="s">
        <v>150</v>
      </c>
      <c r="T220" s="1059"/>
      <c r="U220" s="543"/>
      <c r="V220" s="543"/>
      <c r="W220" s="543"/>
      <c r="X220" s="543"/>
      <c r="Y220" s="543"/>
      <c r="Z220" s="543"/>
      <c r="AA220" s="543"/>
      <c r="AB220" s="543"/>
      <c r="AC220" s="543"/>
      <c r="AD220" s="543"/>
      <c r="AE220" s="543"/>
      <c r="AF220" s="543"/>
      <c r="AG220" s="543"/>
      <c r="AH220" s="543"/>
      <c r="AI220" s="543"/>
      <c r="AJ220" s="1081" t="s">
        <v>162</v>
      </c>
      <c r="AK220" s="1082"/>
      <c r="AL220" s="624"/>
      <c r="AM220" s="624"/>
      <c r="AN220" s="624"/>
      <c r="AO220" s="624"/>
      <c r="AP220" s="624"/>
      <c r="AQ220" s="624"/>
      <c r="AR220" s="624"/>
      <c r="AS220" s="624"/>
      <c r="AT220" s="624"/>
      <c r="AU220" s="624"/>
      <c r="AV220" s="624"/>
      <c r="AW220" s="624"/>
      <c r="AX220" s="624"/>
      <c r="AY220" s="624"/>
      <c r="AZ220" s="624"/>
      <c r="BA220" s="624"/>
      <c r="BB220" s="624"/>
      <c r="BC220" s="624"/>
      <c r="BD220" s="624"/>
      <c r="BE220" s="624"/>
      <c r="BF220" s="1083" t="s">
        <v>150</v>
      </c>
      <c r="BG220" s="1084"/>
      <c r="BH220" s="544"/>
      <c r="BI220" s="530"/>
    </row>
    <row r="221" spans="1:62" ht="138.6" customHeight="1" thickTop="1" thickBot="1" x14ac:dyDescent="1.3">
      <c r="A221" s="1057" t="s">
        <v>125</v>
      </c>
      <c r="B221" s="1058"/>
      <c r="C221" s="1058"/>
      <c r="D221" s="1058"/>
      <c r="E221" s="524">
        <v>300</v>
      </c>
      <c r="F221" s="524">
        <v>301</v>
      </c>
      <c r="G221" s="524">
        <v>302</v>
      </c>
      <c r="H221" s="524">
        <v>303</v>
      </c>
      <c r="I221" s="524">
        <v>304</v>
      </c>
      <c r="J221" s="524">
        <v>305</v>
      </c>
      <c r="K221" s="524">
        <v>306</v>
      </c>
      <c r="L221" s="524">
        <v>307</v>
      </c>
      <c r="M221" s="524">
        <v>308</v>
      </c>
      <c r="N221" s="524">
        <v>309</v>
      </c>
      <c r="O221" s="524">
        <v>310</v>
      </c>
      <c r="P221" s="524">
        <v>311</v>
      </c>
      <c r="Q221" s="524">
        <v>312</v>
      </c>
      <c r="R221" s="524">
        <v>313</v>
      </c>
      <c r="S221" s="524">
        <v>314</v>
      </c>
      <c r="T221" s="524">
        <v>315</v>
      </c>
      <c r="U221" s="524">
        <v>316</v>
      </c>
      <c r="V221" s="524">
        <v>317</v>
      </c>
      <c r="W221" s="524">
        <v>318</v>
      </c>
      <c r="X221" s="524">
        <v>319</v>
      </c>
      <c r="Y221" s="524">
        <v>320</v>
      </c>
      <c r="Z221" s="524">
        <v>321</v>
      </c>
      <c r="AA221" s="524">
        <v>322</v>
      </c>
      <c r="AB221" s="524">
        <v>323</v>
      </c>
      <c r="AC221" s="524">
        <v>324</v>
      </c>
      <c r="AD221" s="524">
        <v>325</v>
      </c>
      <c r="AE221" s="524">
        <v>326</v>
      </c>
      <c r="AF221" s="524">
        <v>327</v>
      </c>
      <c r="AG221" s="524">
        <v>328</v>
      </c>
      <c r="AH221" s="524">
        <v>329</v>
      </c>
      <c r="AI221" s="524">
        <v>330</v>
      </c>
      <c r="AJ221" s="524">
        <v>331</v>
      </c>
      <c r="AK221" s="625">
        <v>332</v>
      </c>
      <c r="AL221" s="628">
        <v>333</v>
      </c>
      <c r="AM221" s="628">
        <v>334</v>
      </c>
      <c r="AN221" s="628">
        <v>335</v>
      </c>
      <c r="AO221" s="628">
        <v>336</v>
      </c>
      <c r="AP221" s="628">
        <v>337</v>
      </c>
      <c r="AQ221" s="628">
        <v>338</v>
      </c>
      <c r="AR221" s="628">
        <v>339</v>
      </c>
      <c r="AS221" s="628">
        <v>340</v>
      </c>
      <c r="AT221" s="628">
        <v>341</v>
      </c>
      <c r="AU221" s="628">
        <v>342</v>
      </c>
      <c r="AV221" s="628">
        <v>343</v>
      </c>
      <c r="AW221" s="628">
        <v>344</v>
      </c>
      <c r="AX221" s="628">
        <v>345</v>
      </c>
      <c r="AY221" s="628">
        <v>346</v>
      </c>
      <c r="AZ221" s="628">
        <v>347</v>
      </c>
      <c r="BA221" s="628">
        <v>348</v>
      </c>
      <c r="BB221" s="628">
        <v>349</v>
      </c>
      <c r="BC221" s="628">
        <v>350</v>
      </c>
      <c r="BD221" s="628">
        <v>351</v>
      </c>
      <c r="BE221" s="628">
        <v>352</v>
      </c>
      <c r="BF221" s="628">
        <v>353</v>
      </c>
      <c r="BG221" s="626" t="s">
        <v>160</v>
      </c>
      <c r="BH221" s="486" t="s">
        <v>161</v>
      </c>
      <c r="BI221" s="496"/>
    </row>
    <row r="222" spans="1:62" s="511" customFormat="1" ht="175.15" customHeight="1" thickTop="1" thickBot="1" x14ac:dyDescent="1.3">
      <c r="A222" s="1049" t="s">
        <v>339</v>
      </c>
      <c r="B222" s="499" t="s">
        <v>340</v>
      </c>
      <c r="C222" s="1053" t="s">
        <v>127</v>
      </c>
      <c r="D222" s="1053"/>
      <c r="E222" s="508">
        <v>24</v>
      </c>
      <c r="F222" s="508">
        <v>24</v>
      </c>
      <c r="G222" s="508">
        <v>24</v>
      </c>
      <c r="H222" s="508">
        <v>24</v>
      </c>
      <c r="I222" s="508">
        <v>24</v>
      </c>
      <c r="J222" s="508">
        <v>24</v>
      </c>
      <c r="K222" s="508">
        <v>24</v>
      </c>
      <c r="L222" s="508">
        <v>24</v>
      </c>
      <c r="M222" s="508">
        <v>24</v>
      </c>
      <c r="N222" s="508">
        <v>24</v>
      </c>
      <c r="O222" s="508">
        <v>24</v>
      </c>
      <c r="P222" s="508">
        <v>24</v>
      </c>
      <c r="Q222" s="508">
        <v>24</v>
      </c>
      <c r="R222" s="508">
        <v>24</v>
      </c>
      <c r="S222" s="508">
        <v>24</v>
      </c>
      <c r="T222" s="508">
        <v>24</v>
      </c>
      <c r="U222" s="508">
        <v>24</v>
      </c>
      <c r="V222" s="508">
        <v>24</v>
      </c>
      <c r="W222" s="508">
        <v>24</v>
      </c>
      <c r="X222" s="508">
        <v>24</v>
      </c>
      <c r="Y222" s="508">
        <v>24</v>
      </c>
      <c r="Z222" s="508">
        <v>24</v>
      </c>
      <c r="AA222" s="508">
        <v>24</v>
      </c>
      <c r="AB222" s="508">
        <v>24</v>
      </c>
      <c r="AC222" s="508">
        <v>24</v>
      </c>
      <c r="AD222" s="508">
        <v>24</v>
      </c>
      <c r="AE222" s="508">
        <v>24</v>
      </c>
      <c r="AF222" s="508">
        <v>24</v>
      </c>
      <c r="AG222" s="508">
        <v>24</v>
      </c>
      <c r="AH222" s="508">
        <v>24</v>
      </c>
      <c r="AI222" s="508">
        <v>24</v>
      </c>
      <c r="AJ222" s="508">
        <v>24</v>
      </c>
      <c r="AK222" s="508">
        <v>24</v>
      </c>
      <c r="AL222" s="627">
        <v>24</v>
      </c>
      <c r="AM222" s="627">
        <v>24</v>
      </c>
      <c r="AN222" s="627">
        <v>24</v>
      </c>
      <c r="AO222" s="627">
        <v>24</v>
      </c>
      <c r="AP222" s="627">
        <v>24</v>
      </c>
      <c r="AQ222" s="627">
        <v>24</v>
      </c>
      <c r="AR222" s="627">
        <v>24</v>
      </c>
      <c r="AS222" s="627">
        <v>24</v>
      </c>
      <c r="AT222" s="627">
        <v>24</v>
      </c>
      <c r="AU222" s="627">
        <v>24</v>
      </c>
      <c r="AV222" s="627">
        <v>24</v>
      </c>
      <c r="AW222" s="627">
        <v>24</v>
      </c>
      <c r="AX222" s="627">
        <v>24</v>
      </c>
      <c r="AY222" s="627">
        <v>24</v>
      </c>
      <c r="AZ222" s="627">
        <v>24</v>
      </c>
      <c r="BA222" s="627">
        <v>24</v>
      </c>
      <c r="BB222" s="627">
        <v>24</v>
      </c>
      <c r="BC222" s="627">
        <v>24</v>
      </c>
      <c r="BD222" s="627">
        <v>24</v>
      </c>
      <c r="BE222" s="627">
        <v>24</v>
      </c>
      <c r="BF222" s="627">
        <v>24</v>
      </c>
      <c r="BG222" s="490">
        <f t="shared" ref="BG222:BG246" si="44">SUM(E222:BF222)</f>
        <v>1296</v>
      </c>
      <c r="BH222" s="1060">
        <f>SUM(BG223:BG228)</f>
        <v>96</v>
      </c>
      <c r="BI222" s="491"/>
    </row>
    <row r="223" spans="1:62" ht="175.15" hidden="1" customHeight="1" thickTop="1" thickBot="1" x14ac:dyDescent="1.3">
      <c r="A223" s="1050"/>
      <c r="B223" s="502" t="s">
        <v>341</v>
      </c>
      <c r="C223" s="1052" t="s">
        <v>468</v>
      </c>
      <c r="D223" s="1052"/>
      <c r="E223" s="557"/>
      <c r="F223" s="557"/>
      <c r="G223" s="557"/>
      <c r="H223" s="557"/>
      <c r="I223" s="557"/>
      <c r="J223" s="557"/>
      <c r="K223" s="557"/>
      <c r="L223" s="557"/>
      <c r="M223" s="557"/>
      <c r="N223" s="557"/>
      <c r="O223" s="557"/>
      <c r="P223" s="557"/>
      <c r="Q223" s="557"/>
      <c r="R223" s="557"/>
      <c r="S223" s="557"/>
      <c r="T223" s="557"/>
      <c r="U223" s="557">
        <v>4</v>
      </c>
      <c r="V223" s="557">
        <v>4</v>
      </c>
      <c r="W223" s="518">
        <v>4</v>
      </c>
      <c r="X223" s="557">
        <v>4</v>
      </c>
      <c r="Y223" s="557"/>
      <c r="Z223" s="557"/>
      <c r="AA223" s="557"/>
      <c r="AB223" s="557"/>
      <c r="AC223" s="557"/>
      <c r="AD223" s="557"/>
      <c r="AE223" s="557"/>
      <c r="AF223" s="557"/>
      <c r="AG223" s="557"/>
      <c r="AH223" s="557"/>
      <c r="AI223" s="557"/>
      <c r="AJ223" s="557"/>
      <c r="AK223" s="557"/>
      <c r="AL223" s="557"/>
      <c r="AM223" s="557"/>
      <c r="AN223" s="557"/>
      <c r="AO223" s="557"/>
      <c r="AP223" s="557"/>
      <c r="AQ223" s="557"/>
      <c r="AR223" s="557"/>
      <c r="AS223" s="557"/>
      <c r="AT223" s="557"/>
      <c r="AU223" s="557"/>
      <c r="AV223" s="557"/>
      <c r="AW223" s="557"/>
      <c r="AX223" s="557"/>
      <c r="AY223" s="557"/>
      <c r="AZ223" s="557"/>
      <c r="BA223" s="557"/>
      <c r="BB223" s="557"/>
      <c r="BC223" s="557"/>
      <c r="BD223" s="557"/>
      <c r="BE223" s="557"/>
      <c r="BF223" s="557"/>
      <c r="BG223" s="495">
        <f>SUM(E223:BF223)</f>
        <v>16</v>
      </c>
      <c r="BH223" s="1061"/>
      <c r="BI223" s="496">
        <f>BG223/4</f>
        <v>4</v>
      </c>
    </row>
    <row r="224" spans="1:62" ht="175.15" hidden="1" customHeight="1" thickTop="1" thickBot="1" x14ac:dyDescent="1.3">
      <c r="A224" s="1050"/>
      <c r="B224" s="502" t="s">
        <v>342</v>
      </c>
      <c r="C224" s="1052" t="s">
        <v>468</v>
      </c>
      <c r="D224" s="1052"/>
      <c r="E224" s="557"/>
      <c r="F224" s="557"/>
      <c r="G224" s="557"/>
      <c r="H224" s="557"/>
      <c r="I224" s="557"/>
      <c r="J224" s="557"/>
      <c r="K224" s="557"/>
      <c r="L224" s="557"/>
      <c r="M224" s="557"/>
      <c r="N224" s="557"/>
      <c r="O224" s="557"/>
      <c r="P224" s="557"/>
      <c r="Q224" s="557"/>
      <c r="R224" s="557"/>
      <c r="S224" s="557"/>
      <c r="T224" s="557"/>
      <c r="U224" s="557">
        <v>4</v>
      </c>
      <c r="V224" s="557">
        <v>4</v>
      </c>
      <c r="W224" s="518">
        <v>4</v>
      </c>
      <c r="X224" s="557">
        <v>4</v>
      </c>
      <c r="Y224" s="557"/>
      <c r="Z224" s="557"/>
      <c r="AA224" s="557"/>
      <c r="AB224" s="557"/>
      <c r="AC224" s="557"/>
      <c r="AD224" s="557"/>
      <c r="AE224" s="557"/>
      <c r="AF224" s="557"/>
      <c r="AG224" s="557"/>
      <c r="AH224" s="557"/>
      <c r="AI224" s="557"/>
      <c r="AJ224" s="557"/>
      <c r="AK224" s="557"/>
      <c r="AL224" s="557"/>
      <c r="AM224" s="557"/>
      <c r="AN224" s="557"/>
      <c r="AO224" s="557"/>
      <c r="AP224" s="557"/>
      <c r="AQ224" s="557"/>
      <c r="AR224" s="557"/>
      <c r="AS224" s="557"/>
      <c r="AT224" s="557"/>
      <c r="AU224" s="557"/>
      <c r="AV224" s="557"/>
      <c r="AW224" s="557"/>
      <c r="AX224" s="557"/>
      <c r="AY224" s="557"/>
      <c r="AZ224" s="557"/>
      <c r="BA224" s="557"/>
      <c r="BB224" s="557"/>
      <c r="BC224" s="557"/>
      <c r="BD224" s="557"/>
      <c r="BE224" s="557"/>
      <c r="BF224" s="557"/>
      <c r="BG224" s="495">
        <f t="shared" si="44"/>
        <v>16</v>
      </c>
      <c r="BH224" s="1061"/>
      <c r="BI224" s="496">
        <f t="shared" ref="BI224:BI228" si="45">BG224/4</f>
        <v>4</v>
      </c>
    </row>
    <row r="225" spans="1:61" ht="175.15" hidden="1" customHeight="1" thickTop="1" thickBot="1" x14ac:dyDescent="1.3">
      <c r="A225" s="1050"/>
      <c r="B225" s="502" t="s">
        <v>343</v>
      </c>
      <c r="C225" s="1052" t="s">
        <v>468</v>
      </c>
      <c r="D225" s="1052"/>
      <c r="E225" s="557"/>
      <c r="F225" s="557"/>
      <c r="G225" s="557"/>
      <c r="H225" s="557"/>
      <c r="I225" s="557"/>
      <c r="J225" s="557"/>
      <c r="K225" s="557"/>
      <c r="L225" s="557"/>
      <c r="M225" s="557"/>
      <c r="N225" s="557"/>
      <c r="O225" s="557"/>
      <c r="P225" s="557"/>
      <c r="Q225" s="557"/>
      <c r="R225" s="557"/>
      <c r="S225" s="557"/>
      <c r="T225" s="557"/>
      <c r="U225" s="557">
        <v>4</v>
      </c>
      <c r="V225" s="557">
        <v>4</v>
      </c>
      <c r="W225" s="518">
        <v>4</v>
      </c>
      <c r="X225" s="557">
        <v>4</v>
      </c>
      <c r="Y225" s="557"/>
      <c r="Z225" s="557"/>
      <c r="AA225" s="557"/>
      <c r="AB225" s="557"/>
      <c r="AC225" s="557"/>
      <c r="AD225" s="557"/>
      <c r="AE225" s="557"/>
      <c r="AF225" s="557"/>
      <c r="AG225" s="557"/>
      <c r="AH225" s="557"/>
      <c r="AI225" s="557"/>
      <c r="AJ225" s="557"/>
      <c r="AK225" s="557"/>
      <c r="AL225" s="557"/>
      <c r="AM225" s="557"/>
      <c r="AN225" s="557"/>
      <c r="AO225" s="557"/>
      <c r="AP225" s="557"/>
      <c r="AQ225" s="557"/>
      <c r="AR225" s="557"/>
      <c r="AS225" s="557"/>
      <c r="AT225" s="557"/>
      <c r="AU225" s="557"/>
      <c r="AV225" s="557"/>
      <c r="AW225" s="557"/>
      <c r="AX225" s="557"/>
      <c r="AY225" s="557"/>
      <c r="AZ225" s="557"/>
      <c r="BA225" s="557"/>
      <c r="BB225" s="557"/>
      <c r="BC225" s="557"/>
      <c r="BD225" s="557"/>
      <c r="BE225" s="557"/>
      <c r="BF225" s="557"/>
      <c r="BG225" s="495">
        <f t="shared" si="44"/>
        <v>16</v>
      </c>
      <c r="BH225" s="1061"/>
      <c r="BI225" s="496">
        <f t="shared" si="45"/>
        <v>4</v>
      </c>
    </row>
    <row r="226" spans="1:61" ht="175.15" hidden="1" customHeight="1" thickTop="1" thickBot="1" x14ac:dyDescent="1.3">
      <c r="A226" s="1050"/>
      <c r="B226" s="502" t="s">
        <v>344</v>
      </c>
      <c r="C226" s="1052" t="s">
        <v>468</v>
      </c>
      <c r="D226" s="1052"/>
      <c r="E226" s="518"/>
      <c r="F226" s="518"/>
      <c r="G226" s="518"/>
      <c r="H226" s="518"/>
      <c r="I226" s="518"/>
      <c r="J226" s="518"/>
      <c r="K226" s="518"/>
      <c r="L226" s="518"/>
      <c r="M226" s="518"/>
      <c r="N226" s="518"/>
      <c r="O226" s="518"/>
      <c r="P226" s="518"/>
      <c r="Q226" s="518"/>
      <c r="R226" s="518"/>
      <c r="S226" s="518"/>
      <c r="T226" s="518"/>
      <c r="U226" s="518">
        <v>4</v>
      </c>
      <c r="V226" s="518">
        <v>4</v>
      </c>
      <c r="W226" s="518">
        <v>4</v>
      </c>
      <c r="X226" s="557">
        <v>4</v>
      </c>
      <c r="Y226" s="518"/>
      <c r="Z226" s="518"/>
      <c r="AA226" s="518"/>
      <c r="AB226" s="518"/>
      <c r="AC226" s="518"/>
      <c r="AD226" s="518"/>
      <c r="AE226" s="518"/>
      <c r="AF226" s="518"/>
      <c r="AG226" s="518"/>
      <c r="AH226" s="518"/>
      <c r="AI226" s="557"/>
      <c r="AJ226" s="518"/>
      <c r="AK226" s="518"/>
      <c r="AL226" s="518"/>
      <c r="AM226" s="518"/>
      <c r="AN226" s="518"/>
      <c r="AO226" s="518"/>
      <c r="AP226" s="557"/>
      <c r="AQ226" s="518"/>
      <c r="AR226" s="518"/>
      <c r="AS226" s="518"/>
      <c r="AT226" s="518"/>
      <c r="AU226" s="518"/>
      <c r="AV226" s="518"/>
      <c r="AW226" s="518"/>
      <c r="AX226" s="518"/>
      <c r="AY226" s="518"/>
      <c r="AZ226" s="518"/>
      <c r="BA226" s="518"/>
      <c r="BB226" s="518"/>
      <c r="BC226" s="518"/>
      <c r="BD226" s="518"/>
      <c r="BE226" s="518"/>
      <c r="BF226" s="518"/>
      <c r="BG226" s="495">
        <f t="shared" si="44"/>
        <v>16</v>
      </c>
      <c r="BH226" s="1061"/>
      <c r="BI226" s="496">
        <f t="shared" si="45"/>
        <v>4</v>
      </c>
    </row>
    <row r="227" spans="1:61" ht="175.15" hidden="1" customHeight="1" thickTop="1" thickBot="1" x14ac:dyDescent="1.3">
      <c r="A227" s="1050"/>
      <c r="B227" s="502" t="s">
        <v>345</v>
      </c>
      <c r="C227" s="1052" t="s">
        <v>468</v>
      </c>
      <c r="D227" s="1052"/>
      <c r="E227" s="557"/>
      <c r="F227" s="557"/>
      <c r="G227" s="557"/>
      <c r="H227" s="557"/>
      <c r="I227" s="557"/>
      <c r="J227" s="557"/>
      <c r="K227" s="557"/>
      <c r="L227" s="557"/>
      <c r="M227" s="557"/>
      <c r="N227" s="557"/>
      <c r="O227" s="557"/>
      <c r="P227" s="557"/>
      <c r="Q227" s="557"/>
      <c r="R227" s="557"/>
      <c r="S227" s="557"/>
      <c r="T227" s="557"/>
      <c r="U227" s="557">
        <v>4</v>
      </c>
      <c r="V227" s="557">
        <v>4</v>
      </c>
      <c r="W227" s="518">
        <v>4</v>
      </c>
      <c r="X227" s="557">
        <v>4</v>
      </c>
      <c r="Y227" s="557"/>
      <c r="Z227" s="557"/>
      <c r="AA227" s="557"/>
      <c r="AB227" s="557"/>
      <c r="AC227" s="557"/>
      <c r="AD227" s="557"/>
      <c r="AE227" s="557"/>
      <c r="AF227" s="557"/>
      <c r="AG227" s="557"/>
      <c r="AH227" s="557"/>
      <c r="AI227" s="557"/>
      <c r="AJ227" s="557"/>
      <c r="AK227" s="557"/>
      <c r="AL227" s="557"/>
      <c r="AM227" s="557"/>
      <c r="AN227" s="557"/>
      <c r="AO227" s="557"/>
      <c r="AP227" s="557"/>
      <c r="AQ227" s="557"/>
      <c r="AR227" s="557"/>
      <c r="AS227" s="557"/>
      <c r="AT227" s="557"/>
      <c r="AU227" s="557"/>
      <c r="AV227" s="557"/>
      <c r="AW227" s="557"/>
      <c r="AX227" s="557"/>
      <c r="AY227" s="557"/>
      <c r="AZ227" s="557"/>
      <c r="BA227" s="557"/>
      <c r="BB227" s="557"/>
      <c r="BC227" s="557"/>
      <c r="BD227" s="557"/>
      <c r="BE227" s="557"/>
      <c r="BF227" s="557"/>
      <c r="BG227" s="495">
        <f t="shared" si="44"/>
        <v>16</v>
      </c>
      <c r="BH227" s="1061"/>
      <c r="BI227" s="496">
        <f t="shared" si="45"/>
        <v>4</v>
      </c>
    </row>
    <row r="228" spans="1:61" ht="175.15" hidden="1" customHeight="1" thickTop="1" thickBot="1" x14ac:dyDescent="1.3">
      <c r="A228" s="1050"/>
      <c r="B228" s="502" t="s">
        <v>346</v>
      </c>
      <c r="C228" s="1052" t="s">
        <v>468</v>
      </c>
      <c r="D228" s="1052"/>
      <c r="E228" s="518"/>
      <c r="F228" s="518"/>
      <c r="G228" s="518"/>
      <c r="H228" s="518"/>
      <c r="I228" s="518"/>
      <c r="J228" s="518"/>
      <c r="K228" s="518"/>
      <c r="L228" s="518"/>
      <c r="M228" s="518"/>
      <c r="N228" s="518"/>
      <c r="O228" s="518"/>
      <c r="P228" s="518"/>
      <c r="Q228" s="518"/>
      <c r="R228" s="518"/>
      <c r="S228" s="518"/>
      <c r="T228" s="518"/>
      <c r="U228" s="518">
        <v>4</v>
      </c>
      <c r="V228" s="518">
        <v>4</v>
      </c>
      <c r="W228" s="518">
        <v>4</v>
      </c>
      <c r="X228" s="557">
        <v>4</v>
      </c>
      <c r="Y228" s="518"/>
      <c r="Z228" s="518"/>
      <c r="AA228" s="518"/>
      <c r="AB228" s="518"/>
      <c r="AC228" s="518"/>
      <c r="AD228" s="518"/>
      <c r="AE228" s="518"/>
      <c r="AF228" s="518"/>
      <c r="AG228" s="518"/>
      <c r="AH228" s="518"/>
      <c r="AI228" s="557"/>
      <c r="AJ228" s="518"/>
      <c r="AK228" s="518"/>
      <c r="AL228" s="518"/>
      <c r="AM228" s="518"/>
      <c r="AN228" s="518"/>
      <c r="AO228" s="518"/>
      <c r="AP228" s="557"/>
      <c r="AQ228" s="518"/>
      <c r="AR228" s="518"/>
      <c r="AS228" s="518"/>
      <c r="AT228" s="518"/>
      <c r="AU228" s="518"/>
      <c r="AV228" s="518"/>
      <c r="AW228" s="518"/>
      <c r="AX228" s="518"/>
      <c r="AY228" s="518"/>
      <c r="AZ228" s="518"/>
      <c r="BA228" s="518"/>
      <c r="BB228" s="518"/>
      <c r="BC228" s="518"/>
      <c r="BD228" s="518"/>
      <c r="BE228" s="518"/>
      <c r="BF228" s="518"/>
      <c r="BG228" s="495">
        <f t="shared" si="44"/>
        <v>16</v>
      </c>
      <c r="BH228" s="1062"/>
      <c r="BI228" s="496">
        <f t="shared" si="45"/>
        <v>4</v>
      </c>
    </row>
    <row r="229" spans="1:61" ht="175.15" customHeight="1" thickTop="1" thickBot="1" x14ac:dyDescent="1.3">
      <c r="A229" s="1050"/>
      <c r="B229" s="502" t="s">
        <v>341</v>
      </c>
      <c r="C229" s="1052" t="s">
        <v>711</v>
      </c>
      <c r="D229" s="1052"/>
      <c r="E229" s="693"/>
      <c r="F229" s="693"/>
      <c r="G229" s="693"/>
      <c r="H229" s="693"/>
      <c r="I229" s="693"/>
      <c r="J229" s="693"/>
      <c r="K229" s="693"/>
      <c r="L229" s="693"/>
      <c r="M229" s="693"/>
      <c r="N229" s="693"/>
      <c r="O229" s="693"/>
      <c r="P229" s="512"/>
      <c r="Q229" s="512"/>
      <c r="R229" s="512"/>
      <c r="S229" s="512"/>
      <c r="T229" s="512"/>
      <c r="U229" s="755">
        <v>4</v>
      </c>
      <c r="V229" s="755">
        <v>4</v>
      </c>
      <c r="W229" s="518"/>
      <c r="X229" s="755"/>
      <c r="Y229" s="734"/>
      <c r="Z229" s="734"/>
      <c r="AA229" s="734"/>
      <c r="AB229" s="734"/>
      <c r="AC229" s="734"/>
      <c r="AD229" s="734"/>
      <c r="AE229" s="734"/>
      <c r="AF229" s="734"/>
      <c r="AG229" s="734"/>
      <c r="AH229" s="734"/>
      <c r="AI229" s="693"/>
      <c r="AJ229" s="693"/>
      <c r="AK229" s="693"/>
      <c r="AL229" s="693"/>
      <c r="AM229" s="693"/>
      <c r="AN229" s="693"/>
      <c r="AO229" s="693"/>
      <c r="AP229" s="693"/>
      <c r="AQ229" s="693"/>
      <c r="AR229" s="631"/>
      <c r="AS229" s="631"/>
      <c r="AT229" s="631"/>
      <c r="AU229" s="631"/>
      <c r="AV229" s="631"/>
      <c r="AW229" s="565"/>
      <c r="AX229" s="565"/>
      <c r="AY229" s="565"/>
      <c r="AZ229" s="565"/>
      <c r="BA229" s="565"/>
      <c r="BB229" s="557"/>
      <c r="BC229" s="557"/>
      <c r="BD229" s="557"/>
      <c r="BE229" s="557"/>
      <c r="BF229" s="557"/>
      <c r="BG229" s="495">
        <f t="shared" ref="BG229:BG237" si="46">SUM(E229:BF229)</f>
        <v>8</v>
      </c>
      <c r="BH229" s="1056">
        <f>SUM(BG229:BG234)</f>
        <v>48</v>
      </c>
      <c r="BI229" s="496">
        <f>BG229/4</f>
        <v>2</v>
      </c>
    </row>
    <row r="230" spans="1:61" ht="175.15" customHeight="1" thickTop="1" thickBot="1" x14ac:dyDescent="1.3">
      <c r="A230" s="1050"/>
      <c r="B230" s="502" t="s">
        <v>342</v>
      </c>
      <c r="C230" s="1052" t="s">
        <v>711</v>
      </c>
      <c r="D230" s="1052"/>
      <c r="E230" s="693"/>
      <c r="F230" s="693"/>
      <c r="G230" s="693"/>
      <c r="H230" s="693"/>
      <c r="I230" s="693"/>
      <c r="J230" s="693"/>
      <c r="K230" s="693"/>
      <c r="L230" s="693"/>
      <c r="M230" s="693"/>
      <c r="N230" s="693"/>
      <c r="O230" s="693"/>
      <c r="P230" s="512"/>
      <c r="Q230" s="512"/>
      <c r="R230" s="512"/>
      <c r="S230" s="512"/>
      <c r="T230" s="512"/>
      <c r="U230" s="755">
        <v>4</v>
      </c>
      <c r="V230" s="755">
        <v>4</v>
      </c>
      <c r="W230" s="518"/>
      <c r="X230" s="755"/>
      <c r="Y230" s="734"/>
      <c r="Z230" s="734"/>
      <c r="AA230" s="734"/>
      <c r="AB230" s="734"/>
      <c r="AC230" s="734"/>
      <c r="AD230" s="734"/>
      <c r="AE230" s="734"/>
      <c r="AF230" s="734"/>
      <c r="AG230" s="734"/>
      <c r="AH230" s="734"/>
      <c r="AI230" s="693"/>
      <c r="AJ230" s="518"/>
      <c r="AK230" s="518"/>
      <c r="AL230" s="518"/>
      <c r="AM230" s="518"/>
      <c r="AN230" s="518"/>
      <c r="AO230" s="518"/>
      <c r="AP230" s="693"/>
      <c r="AQ230" s="518"/>
      <c r="AR230" s="631"/>
      <c r="AS230" s="631"/>
      <c r="AT230" s="631"/>
      <c r="AU230" s="631"/>
      <c r="AV230" s="631"/>
      <c r="AW230" s="565"/>
      <c r="AX230" s="565"/>
      <c r="AY230" s="565"/>
      <c r="AZ230" s="565"/>
      <c r="BA230" s="565"/>
      <c r="BB230" s="557"/>
      <c r="BC230" s="557"/>
      <c r="BD230" s="557"/>
      <c r="BE230" s="557"/>
      <c r="BF230" s="557"/>
      <c r="BG230" s="495">
        <f t="shared" si="46"/>
        <v>8</v>
      </c>
      <c r="BH230" s="1056"/>
      <c r="BI230" s="496">
        <f t="shared" ref="BI230:BI234" si="47">BG230/4</f>
        <v>2</v>
      </c>
    </row>
    <row r="231" spans="1:61" ht="175.15" customHeight="1" thickTop="1" thickBot="1" x14ac:dyDescent="1.3">
      <c r="A231" s="1050"/>
      <c r="B231" s="502" t="s">
        <v>343</v>
      </c>
      <c r="C231" s="1052" t="s">
        <v>711</v>
      </c>
      <c r="D231" s="1052"/>
      <c r="E231" s="693"/>
      <c r="F231" s="693"/>
      <c r="G231" s="693"/>
      <c r="H231" s="693"/>
      <c r="I231" s="693"/>
      <c r="J231" s="693"/>
      <c r="K231" s="693"/>
      <c r="L231" s="693"/>
      <c r="M231" s="693"/>
      <c r="N231" s="693"/>
      <c r="O231" s="693"/>
      <c r="P231" s="512"/>
      <c r="Q231" s="512"/>
      <c r="R231" s="512"/>
      <c r="S231" s="512"/>
      <c r="T231" s="512"/>
      <c r="U231" s="755">
        <v>4</v>
      </c>
      <c r="V231" s="755">
        <v>4</v>
      </c>
      <c r="W231" s="518"/>
      <c r="X231" s="755"/>
      <c r="Y231" s="734"/>
      <c r="Z231" s="734"/>
      <c r="AA231" s="734"/>
      <c r="AB231" s="734"/>
      <c r="AC231" s="734"/>
      <c r="AD231" s="734"/>
      <c r="AE231" s="734"/>
      <c r="AF231" s="734"/>
      <c r="AG231" s="734"/>
      <c r="AH231" s="734"/>
      <c r="AI231" s="693"/>
      <c r="AJ231" s="693"/>
      <c r="AK231" s="693"/>
      <c r="AL231" s="693"/>
      <c r="AM231" s="693"/>
      <c r="AN231" s="693"/>
      <c r="AO231" s="693"/>
      <c r="AP231" s="693"/>
      <c r="AQ231" s="693"/>
      <c r="AR231" s="518"/>
      <c r="AS231" s="518"/>
      <c r="AT231" s="518"/>
      <c r="AU231" s="518"/>
      <c r="AV231" s="518"/>
      <c r="AW231" s="565"/>
      <c r="AX231" s="565"/>
      <c r="AY231" s="565"/>
      <c r="AZ231" s="565"/>
      <c r="BA231" s="565"/>
      <c r="BB231" s="557"/>
      <c r="BC231" s="557"/>
      <c r="BD231" s="557"/>
      <c r="BE231" s="557"/>
      <c r="BF231" s="557"/>
      <c r="BG231" s="495">
        <f t="shared" si="46"/>
        <v>8</v>
      </c>
      <c r="BH231" s="1056"/>
      <c r="BI231" s="496">
        <f t="shared" si="47"/>
        <v>2</v>
      </c>
    </row>
    <row r="232" spans="1:61" ht="175.15" customHeight="1" thickTop="1" thickBot="1" x14ac:dyDescent="1.3">
      <c r="A232" s="1050"/>
      <c r="B232" s="502" t="s">
        <v>344</v>
      </c>
      <c r="C232" s="1052" t="s">
        <v>711</v>
      </c>
      <c r="D232" s="1052"/>
      <c r="E232" s="518"/>
      <c r="F232" s="518"/>
      <c r="G232" s="518"/>
      <c r="H232" s="518"/>
      <c r="I232" s="518"/>
      <c r="J232" s="518"/>
      <c r="K232" s="518"/>
      <c r="L232" s="518"/>
      <c r="M232" s="518"/>
      <c r="N232" s="518"/>
      <c r="O232" s="518"/>
      <c r="P232" s="518"/>
      <c r="Q232" s="518"/>
      <c r="R232" s="518"/>
      <c r="S232" s="518"/>
      <c r="T232" s="518"/>
      <c r="U232" s="518">
        <v>4</v>
      </c>
      <c r="V232" s="518">
        <v>4</v>
      </c>
      <c r="W232" s="518"/>
      <c r="X232" s="755"/>
      <c r="Y232" s="518"/>
      <c r="Z232" s="518"/>
      <c r="AA232" s="518"/>
      <c r="AB232" s="518"/>
      <c r="AC232" s="518"/>
      <c r="AD232" s="518"/>
      <c r="AE232" s="518"/>
      <c r="AF232" s="518"/>
      <c r="AG232" s="518"/>
      <c r="AH232" s="518"/>
      <c r="AI232" s="693"/>
      <c r="AJ232" s="518"/>
      <c r="AK232" s="518"/>
      <c r="AL232" s="518"/>
      <c r="AM232" s="518"/>
      <c r="AN232" s="518"/>
      <c r="AO232" s="518"/>
      <c r="AP232" s="693"/>
      <c r="AQ232" s="518"/>
      <c r="AR232" s="631"/>
      <c r="AS232" s="631"/>
      <c r="AT232" s="631"/>
      <c r="AU232" s="631"/>
      <c r="AV232" s="631"/>
      <c r="AW232" s="518"/>
      <c r="AX232" s="518"/>
      <c r="AY232" s="518"/>
      <c r="AZ232" s="518"/>
      <c r="BA232" s="518"/>
      <c r="BB232" s="518"/>
      <c r="BC232" s="518"/>
      <c r="BD232" s="518"/>
      <c r="BE232" s="518"/>
      <c r="BF232" s="518"/>
      <c r="BG232" s="495">
        <f t="shared" si="46"/>
        <v>8</v>
      </c>
      <c r="BH232" s="1056"/>
      <c r="BI232" s="496">
        <f t="shared" si="47"/>
        <v>2</v>
      </c>
    </row>
    <row r="233" spans="1:61" ht="175.15" customHeight="1" thickTop="1" thickBot="1" x14ac:dyDescent="1.3">
      <c r="A233" s="1050"/>
      <c r="B233" s="502" t="s">
        <v>345</v>
      </c>
      <c r="C233" s="1052" t="s">
        <v>711</v>
      </c>
      <c r="D233" s="1052"/>
      <c r="E233" s="693"/>
      <c r="F233" s="693"/>
      <c r="G233" s="693"/>
      <c r="H233" s="693"/>
      <c r="I233" s="693"/>
      <c r="J233" s="693"/>
      <c r="K233" s="693"/>
      <c r="L233" s="693"/>
      <c r="M233" s="693"/>
      <c r="N233" s="693"/>
      <c r="O233" s="693"/>
      <c r="P233" s="512"/>
      <c r="Q233" s="512"/>
      <c r="R233" s="512"/>
      <c r="S233" s="512"/>
      <c r="T233" s="512"/>
      <c r="U233" s="755">
        <v>4</v>
      </c>
      <c r="V233" s="755">
        <v>4</v>
      </c>
      <c r="W233" s="518"/>
      <c r="X233" s="755"/>
      <c r="Y233" s="734"/>
      <c r="Z233" s="734"/>
      <c r="AA233" s="734"/>
      <c r="AB233" s="734"/>
      <c r="AC233" s="734"/>
      <c r="AD233" s="734"/>
      <c r="AE233" s="734"/>
      <c r="AF233" s="734"/>
      <c r="AG233" s="734"/>
      <c r="AH233" s="734"/>
      <c r="AI233" s="693"/>
      <c r="AJ233" s="693"/>
      <c r="AK233" s="693"/>
      <c r="AL233" s="693"/>
      <c r="AM233" s="693"/>
      <c r="AN233" s="693"/>
      <c r="AO233" s="693"/>
      <c r="AP233" s="693"/>
      <c r="AQ233" s="693"/>
      <c r="AR233" s="518"/>
      <c r="AS233" s="518"/>
      <c r="AT233" s="518"/>
      <c r="AU233" s="518"/>
      <c r="AV233" s="518"/>
      <c r="AW233" s="565"/>
      <c r="AX233" s="565"/>
      <c r="AY233" s="565"/>
      <c r="AZ233" s="565"/>
      <c r="BA233" s="565"/>
      <c r="BB233" s="557"/>
      <c r="BC233" s="557"/>
      <c r="BD233" s="557"/>
      <c r="BE233" s="557"/>
      <c r="BF233" s="557"/>
      <c r="BG233" s="495">
        <f t="shared" si="46"/>
        <v>8</v>
      </c>
      <c r="BH233" s="1056"/>
      <c r="BI233" s="496">
        <f t="shared" si="47"/>
        <v>2</v>
      </c>
    </row>
    <row r="234" spans="1:61" ht="175.15" customHeight="1" thickTop="1" thickBot="1" x14ac:dyDescent="1.3">
      <c r="A234" s="1050"/>
      <c r="B234" s="502" t="s">
        <v>346</v>
      </c>
      <c r="C234" s="1052" t="s">
        <v>711</v>
      </c>
      <c r="D234" s="1052"/>
      <c r="E234" s="518"/>
      <c r="F234" s="518"/>
      <c r="G234" s="518"/>
      <c r="H234" s="518"/>
      <c r="I234" s="518"/>
      <c r="J234" s="518"/>
      <c r="K234" s="518"/>
      <c r="L234" s="518"/>
      <c r="M234" s="518"/>
      <c r="N234" s="518"/>
      <c r="O234" s="518"/>
      <c r="P234" s="518"/>
      <c r="Q234" s="518"/>
      <c r="R234" s="518"/>
      <c r="S234" s="518"/>
      <c r="T234" s="518"/>
      <c r="U234" s="518">
        <v>4</v>
      </c>
      <c r="V234" s="518">
        <v>4</v>
      </c>
      <c r="W234" s="518"/>
      <c r="X234" s="755"/>
      <c r="Y234" s="518"/>
      <c r="Z234" s="518"/>
      <c r="AA234" s="518"/>
      <c r="AB234" s="518"/>
      <c r="AC234" s="518"/>
      <c r="AD234" s="518"/>
      <c r="AE234" s="518"/>
      <c r="AF234" s="518"/>
      <c r="AG234" s="518"/>
      <c r="AH234" s="518"/>
      <c r="AI234" s="693"/>
      <c r="AJ234" s="518"/>
      <c r="AK234" s="518"/>
      <c r="AL234" s="518"/>
      <c r="AM234" s="518"/>
      <c r="AN234" s="518"/>
      <c r="AO234" s="518"/>
      <c r="AP234" s="693"/>
      <c r="AQ234" s="518"/>
      <c r="AR234" s="518"/>
      <c r="AS234" s="518"/>
      <c r="AT234" s="518"/>
      <c r="AU234" s="518"/>
      <c r="AV234" s="518"/>
      <c r="AW234" s="518"/>
      <c r="AX234" s="518"/>
      <c r="AY234" s="518"/>
      <c r="AZ234" s="518"/>
      <c r="BA234" s="518"/>
      <c r="BB234" s="518"/>
      <c r="BC234" s="518"/>
      <c r="BD234" s="518"/>
      <c r="BE234" s="518"/>
      <c r="BF234" s="518"/>
      <c r="BG234" s="495">
        <f t="shared" si="46"/>
        <v>8</v>
      </c>
      <c r="BH234" s="1056"/>
      <c r="BI234" s="496">
        <f t="shared" si="47"/>
        <v>2</v>
      </c>
    </row>
    <row r="235" spans="1:61" ht="175.15" customHeight="1" thickTop="1" thickBot="1" x14ac:dyDescent="1.3">
      <c r="A235" s="1050"/>
      <c r="B235" s="697" t="s">
        <v>341</v>
      </c>
      <c r="C235" s="1052" t="s">
        <v>768</v>
      </c>
      <c r="D235" s="1052"/>
      <c r="E235" s="734">
        <v>4</v>
      </c>
      <c r="F235" s="734">
        <v>4</v>
      </c>
      <c r="G235" s="734">
        <v>4</v>
      </c>
      <c r="H235" s="734">
        <v>4</v>
      </c>
      <c r="I235" s="734">
        <v>4</v>
      </c>
      <c r="J235" s="734">
        <v>4</v>
      </c>
      <c r="K235" s="734">
        <v>4</v>
      </c>
      <c r="L235" s="734">
        <v>4</v>
      </c>
      <c r="M235" s="734">
        <v>4</v>
      </c>
      <c r="N235" s="734">
        <v>4</v>
      </c>
      <c r="O235" s="734">
        <v>4</v>
      </c>
      <c r="P235" s="755">
        <v>4</v>
      </c>
      <c r="Q235" s="755">
        <v>4</v>
      </c>
      <c r="R235" s="755">
        <v>4</v>
      </c>
      <c r="S235" s="755">
        <v>4</v>
      </c>
      <c r="T235" s="755">
        <v>4</v>
      </c>
      <c r="U235" s="699"/>
      <c r="V235" s="699"/>
      <c r="W235" s="755">
        <v>4</v>
      </c>
      <c r="X235" s="755">
        <v>4</v>
      </c>
      <c r="Y235" s="734">
        <v>4</v>
      </c>
      <c r="Z235" s="734">
        <v>4</v>
      </c>
      <c r="AA235" s="734">
        <v>4</v>
      </c>
      <c r="AB235" s="734">
        <v>4</v>
      </c>
      <c r="AC235" s="734">
        <v>4</v>
      </c>
      <c r="AD235" s="734">
        <v>4</v>
      </c>
      <c r="AE235" s="734">
        <v>4</v>
      </c>
      <c r="AF235" s="734">
        <v>4</v>
      </c>
      <c r="AG235" s="734">
        <v>4</v>
      </c>
      <c r="AH235" s="734">
        <v>4</v>
      </c>
      <c r="AI235" s="699">
        <v>4</v>
      </c>
      <c r="AJ235" s="699">
        <v>4</v>
      </c>
      <c r="AK235" s="699">
        <v>4</v>
      </c>
      <c r="AL235" s="699">
        <v>4</v>
      </c>
      <c r="AM235" s="699">
        <v>4</v>
      </c>
      <c r="AN235" s="699">
        <v>4</v>
      </c>
      <c r="AO235" s="699">
        <v>4</v>
      </c>
      <c r="AP235" s="699">
        <v>4</v>
      </c>
      <c r="AQ235" s="699">
        <v>4</v>
      </c>
      <c r="AR235" s="699">
        <v>4</v>
      </c>
      <c r="AS235" s="699">
        <v>4</v>
      </c>
      <c r="AT235" s="699">
        <v>4</v>
      </c>
      <c r="AU235" s="699">
        <v>4</v>
      </c>
      <c r="AV235" s="699">
        <v>4</v>
      </c>
      <c r="AW235" s="699">
        <v>4</v>
      </c>
      <c r="AX235" s="699">
        <v>4</v>
      </c>
      <c r="AY235" s="699">
        <v>4</v>
      </c>
      <c r="AZ235" s="699">
        <v>4</v>
      </c>
      <c r="BA235" s="699">
        <v>4</v>
      </c>
      <c r="BB235" s="699">
        <v>4</v>
      </c>
      <c r="BC235" s="699">
        <v>4</v>
      </c>
      <c r="BD235" s="699">
        <v>4</v>
      </c>
      <c r="BE235" s="699">
        <v>4</v>
      </c>
      <c r="BF235" s="699">
        <v>4</v>
      </c>
      <c r="BG235" s="495">
        <f t="shared" si="46"/>
        <v>208</v>
      </c>
      <c r="BH235" s="698">
        <f>SUM(BG235:BG240)</f>
        <v>1248</v>
      </c>
      <c r="BI235" s="496">
        <f t="shared" ref="BI235:BI238" si="48">BG235/BF235</f>
        <v>52</v>
      </c>
    </row>
    <row r="236" spans="1:61" ht="175.15" customHeight="1" thickTop="1" thickBot="1" x14ac:dyDescent="1.3">
      <c r="A236" s="1050"/>
      <c r="B236" s="697" t="s">
        <v>342</v>
      </c>
      <c r="C236" s="1052" t="s">
        <v>768</v>
      </c>
      <c r="D236" s="1052"/>
      <c r="E236" s="734">
        <v>4</v>
      </c>
      <c r="F236" s="734">
        <v>4</v>
      </c>
      <c r="G236" s="734">
        <v>4</v>
      </c>
      <c r="H236" s="734">
        <v>4</v>
      </c>
      <c r="I236" s="734">
        <v>4</v>
      </c>
      <c r="J236" s="734">
        <v>4</v>
      </c>
      <c r="K236" s="734">
        <v>4</v>
      </c>
      <c r="L236" s="734">
        <v>4</v>
      </c>
      <c r="M236" s="734">
        <v>4</v>
      </c>
      <c r="N236" s="734">
        <v>4</v>
      </c>
      <c r="O236" s="734">
        <v>4</v>
      </c>
      <c r="P236" s="755">
        <v>4</v>
      </c>
      <c r="Q236" s="755">
        <v>4</v>
      </c>
      <c r="R236" s="755">
        <v>4</v>
      </c>
      <c r="S236" s="755">
        <v>4</v>
      </c>
      <c r="T236" s="755">
        <v>4</v>
      </c>
      <c r="U236" s="699"/>
      <c r="V236" s="699"/>
      <c r="W236" s="755">
        <v>4</v>
      </c>
      <c r="X236" s="755">
        <v>4</v>
      </c>
      <c r="Y236" s="734">
        <v>4</v>
      </c>
      <c r="Z236" s="734">
        <v>4</v>
      </c>
      <c r="AA236" s="734">
        <v>4</v>
      </c>
      <c r="AB236" s="734">
        <v>4</v>
      </c>
      <c r="AC236" s="734">
        <v>4</v>
      </c>
      <c r="AD236" s="734">
        <v>4</v>
      </c>
      <c r="AE236" s="734">
        <v>4</v>
      </c>
      <c r="AF236" s="734">
        <v>4</v>
      </c>
      <c r="AG236" s="734">
        <v>4</v>
      </c>
      <c r="AH236" s="734">
        <v>4</v>
      </c>
      <c r="AI236" s="699">
        <v>4</v>
      </c>
      <c r="AJ236" s="518">
        <v>4</v>
      </c>
      <c r="AK236" s="518">
        <v>4</v>
      </c>
      <c r="AL236" s="518">
        <v>4</v>
      </c>
      <c r="AM236" s="518">
        <v>4</v>
      </c>
      <c r="AN236" s="518">
        <v>4</v>
      </c>
      <c r="AO236" s="518">
        <v>4</v>
      </c>
      <c r="AP236" s="699">
        <v>4</v>
      </c>
      <c r="AQ236" s="518">
        <v>4</v>
      </c>
      <c r="AR236" s="699">
        <v>4</v>
      </c>
      <c r="AS236" s="699">
        <v>4</v>
      </c>
      <c r="AT236" s="699">
        <v>4</v>
      </c>
      <c r="AU236" s="699">
        <v>4</v>
      </c>
      <c r="AV236" s="699">
        <v>4</v>
      </c>
      <c r="AW236" s="699">
        <v>4</v>
      </c>
      <c r="AX236" s="699">
        <v>4</v>
      </c>
      <c r="AY236" s="699">
        <v>4</v>
      </c>
      <c r="AZ236" s="699">
        <v>4</v>
      </c>
      <c r="BA236" s="699">
        <v>4</v>
      </c>
      <c r="BB236" s="699">
        <v>4</v>
      </c>
      <c r="BC236" s="699">
        <v>4</v>
      </c>
      <c r="BD236" s="699">
        <v>4</v>
      </c>
      <c r="BE236" s="699">
        <v>4</v>
      </c>
      <c r="BF236" s="699">
        <v>4</v>
      </c>
      <c r="BG236" s="495">
        <f t="shared" si="46"/>
        <v>208</v>
      </c>
      <c r="BH236" s="1060"/>
      <c r="BI236" s="496">
        <f t="shared" si="48"/>
        <v>52</v>
      </c>
    </row>
    <row r="237" spans="1:61" ht="175.15" customHeight="1" thickTop="1" thickBot="1" x14ac:dyDescent="1.3">
      <c r="A237" s="1050"/>
      <c r="B237" s="697" t="s">
        <v>343</v>
      </c>
      <c r="C237" s="1052" t="s">
        <v>768</v>
      </c>
      <c r="D237" s="1052"/>
      <c r="E237" s="734">
        <v>4</v>
      </c>
      <c r="F237" s="734">
        <v>4</v>
      </c>
      <c r="G237" s="734">
        <v>4</v>
      </c>
      <c r="H237" s="734">
        <v>4</v>
      </c>
      <c r="I237" s="734">
        <v>4</v>
      </c>
      <c r="J237" s="734">
        <v>4</v>
      </c>
      <c r="K237" s="734">
        <v>4</v>
      </c>
      <c r="L237" s="734">
        <v>4</v>
      </c>
      <c r="M237" s="734">
        <v>4</v>
      </c>
      <c r="N237" s="734">
        <v>4</v>
      </c>
      <c r="O237" s="734">
        <v>4</v>
      </c>
      <c r="P237" s="755">
        <v>4</v>
      </c>
      <c r="Q237" s="755">
        <v>4</v>
      </c>
      <c r="R237" s="755">
        <v>4</v>
      </c>
      <c r="S237" s="755">
        <v>4</v>
      </c>
      <c r="T237" s="755">
        <v>4</v>
      </c>
      <c r="U237" s="699"/>
      <c r="V237" s="699"/>
      <c r="W237" s="755">
        <v>4</v>
      </c>
      <c r="X237" s="755">
        <v>4</v>
      </c>
      <c r="Y237" s="734">
        <v>4</v>
      </c>
      <c r="Z237" s="734">
        <v>4</v>
      </c>
      <c r="AA237" s="734">
        <v>4</v>
      </c>
      <c r="AB237" s="734">
        <v>4</v>
      </c>
      <c r="AC237" s="734">
        <v>4</v>
      </c>
      <c r="AD237" s="734">
        <v>4</v>
      </c>
      <c r="AE237" s="734">
        <v>4</v>
      </c>
      <c r="AF237" s="734">
        <v>4</v>
      </c>
      <c r="AG237" s="734">
        <v>4</v>
      </c>
      <c r="AH237" s="734">
        <v>4</v>
      </c>
      <c r="AI237" s="699">
        <v>4</v>
      </c>
      <c r="AJ237" s="699">
        <v>4</v>
      </c>
      <c r="AK237" s="699">
        <v>4</v>
      </c>
      <c r="AL237" s="699">
        <v>4</v>
      </c>
      <c r="AM237" s="699">
        <v>4</v>
      </c>
      <c r="AN237" s="699">
        <v>4</v>
      </c>
      <c r="AO237" s="699">
        <v>4</v>
      </c>
      <c r="AP237" s="699">
        <v>4</v>
      </c>
      <c r="AQ237" s="699">
        <v>4</v>
      </c>
      <c r="AR237" s="518">
        <v>4</v>
      </c>
      <c r="AS237" s="518">
        <v>4</v>
      </c>
      <c r="AT237" s="518">
        <v>4</v>
      </c>
      <c r="AU237" s="518">
        <v>4</v>
      </c>
      <c r="AV237" s="518">
        <v>4</v>
      </c>
      <c r="AW237" s="699">
        <v>4</v>
      </c>
      <c r="AX237" s="699">
        <v>4</v>
      </c>
      <c r="AY237" s="699">
        <v>4</v>
      </c>
      <c r="AZ237" s="699">
        <v>4</v>
      </c>
      <c r="BA237" s="699">
        <v>4</v>
      </c>
      <c r="BB237" s="699">
        <v>4</v>
      </c>
      <c r="BC237" s="699">
        <v>4</v>
      </c>
      <c r="BD237" s="699">
        <v>4</v>
      </c>
      <c r="BE237" s="699">
        <v>4</v>
      </c>
      <c r="BF237" s="699">
        <v>4</v>
      </c>
      <c r="BG237" s="495">
        <f t="shared" si="46"/>
        <v>208</v>
      </c>
      <c r="BH237" s="1061"/>
      <c r="BI237" s="496">
        <f t="shared" si="48"/>
        <v>52</v>
      </c>
    </row>
    <row r="238" spans="1:61" ht="175.15" customHeight="1" thickTop="1" thickBot="1" x14ac:dyDescent="1.3">
      <c r="A238" s="1050"/>
      <c r="B238" s="697" t="s">
        <v>344</v>
      </c>
      <c r="C238" s="1052" t="s">
        <v>768</v>
      </c>
      <c r="D238" s="1052"/>
      <c r="E238" s="518">
        <v>4</v>
      </c>
      <c r="F238" s="518">
        <v>4</v>
      </c>
      <c r="G238" s="518">
        <v>4</v>
      </c>
      <c r="H238" s="518">
        <v>4</v>
      </c>
      <c r="I238" s="518">
        <v>4</v>
      </c>
      <c r="J238" s="518">
        <v>4</v>
      </c>
      <c r="K238" s="518">
        <v>4</v>
      </c>
      <c r="L238" s="518">
        <v>4</v>
      </c>
      <c r="M238" s="518">
        <v>4</v>
      </c>
      <c r="N238" s="518">
        <v>4</v>
      </c>
      <c r="O238" s="518">
        <v>4</v>
      </c>
      <c r="P238" s="518">
        <v>4</v>
      </c>
      <c r="Q238" s="518">
        <v>4</v>
      </c>
      <c r="R238" s="518">
        <v>4</v>
      </c>
      <c r="S238" s="518">
        <v>4</v>
      </c>
      <c r="T238" s="518">
        <v>4</v>
      </c>
      <c r="U238" s="518"/>
      <c r="V238" s="518"/>
      <c r="W238" s="518">
        <v>4</v>
      </c>
      <c r="X238" s="518">
        <v>4</v>
      </c>
      <c r="Y238" s="518">
        <v>4</v>
      </c>
      <c r="Z238" s="518">
        <v>4</v>
      </c>
      <c r="AA238" s="518">
        <v>4</v>
      </c>
      <c r="AB238" s="518">
        <v>4</v>
      </c>
      <c r="AC238" s="518">
        <v>4</v>
      </c>
      <c r="AD238" s="518">
        <v>4</v>
      </c>
      <c r="AE238" s="518">
        <v>4</v>
      </c>
      <c r="AF238" s="518">
        <v>4</v>
      </c>
      <c r="AG238" s="518">
        <v>4</v>
      </c>
      <c r="AH238" s="518">
        <v>4</v>
      </c>
      <c r="AI238" s="699">
        <v>4</v>
      </c>
      <c r="AJ238" s="518">
        <v>4</v>
      </c>
      <c r="AK238" s="518">
        <v>4</v>
      </c>
      <c r="AL238" s="518">
        <v>4</v>
      </c>
      <c r="AM238" s="518">
        <v>4</v>
      </c>
      <c r="AN238" s="518">
        <v>4</v>
      </c>
      <c r="AO238" s="518">
        <v>4</v>
      </c>
      <c r="AP238" s="699">
        <v>4</v>
      </c>
      <c r="AQ238" s="518">
        <v>4</v>
      </c>
      <c r="AR238" s="699">
        <v>4</v>
      </c>
      <c r="AS238" s="699">
        <v>4</v>
      </c>
      <c r="AT238" s="699">
        <v>4</v>
      </c>
      <c r="AU238" s="699">
        <v>4</v>
      </c>
      <c r="AV238" s="699">
        <v>4</v>
      </c>
      <c r="AW238" s="518">
        <v>4</v>
      </c>
      <c r="AX238" s="518">
        <v>4</v>
      </c>
      <c r="AY238" s="518">
        <v>4</v>
      </c>
      <c r="AZ238" s="518">
        <v>4</v>
      </c>
      <c r="BA238" s="518">
        <v>4</v>
      </c>
      <c r="BB238" s="518">
        <v>4</v>
      </c>
      <c r="BC238" s="518">
        <v>4</v>
      </c>
      <c r="BD238" s="518">
        <v>4</v>
      </c>
      <c r="BE238" s="518">
        <v>4</v>
      </c>
      <c r="BF238" s="518">
        <v>4</v>
      </c>
      <c r="BG238" s="495">
        <f t="shared" ref="BG238:BG240" si="49">SUM(E238:BF238)</f>
        <v>208</v>
      </c>
      <c r="BH238" s="1061"/>
      <c r="BI238" s="496">
        <f t="shared" si="48"/>
        <v>52</v>
      </c>
    </row>
    <row r="239" spans="1:61" ht="175.15" customHeight="1" thickTop="1" thickBot="1" x14ac:dyDescent="1.3">
      <c r="A239" s="1050"/>
      <c r="B239" s="697" t="s">
        <v>345</v>
      </c>
      <c r="C239" s="1052" t="s">
        <v>768</v>
      </c>
      <c r="D239" s="1052"/>
      <c r="E239" s="734">
        <v>4</v>
      </c>
      <c r="F239" s="734">
        <v>4</v>
      </c>
      <c r="G239" s="734">
        <v>4</v>
      </c>
      <c r="H239" s="734">
        <v>4</v>
      </c>
      <c r="I239" s="734">
        <v>4</v>
      </c>
      <c r="J239" s="734">
        <v>4</v>
      </c>
      <c r="K239" s="734">
        <v>4</v>
      </c>
      <c r="L239" s="734">
        <v>4</v>
      </c>
      <c r="M239" s="734">
        <v>4</v>
      </c>
      <c r="N239" s="734">
        <v>4</v>
      </c>
      <c r="O239" s="734">
        <v>4</v>
      </c>
      <c r="P239" s="755">
        <v>4</v>
      </c>
      <c r="Q239" s="755">
        <v>4</v>
      </c>
      <c r="R239" s="755">
        <v>4</v>
      </c>
      <c r="S239" s="755">
        <v>4</v>
      </c>
      <c r="T239" s="755">
        <v>4</v>
      </c>
      <c r="U239" s="699"/>
      <c r="V239" s="699"/>
      <c r="W239" s="755">
        <v>4</v>
      </c>
      <c r="X239" s="755">
        <v>4</v>
      </c>
      <c r="Y239" s="734">
        <v>4</v>
      </c>
      <c r="Z239" s="734">
        <v>4</v>
      </c>
      <c r="AA239" s="734">
        <v>4</v>
      </c>
      <c r="AB239" s="734">
        <v>4</v>
      </c>
      <c r="AC239" s="734">
        <v>4</v>
      </c>
      <c r="AD239" s="734">
        <v>4</v>
      </c>
      <c r="AE239" s="734">
        <v>4</v>
      </c>
      <c r="AF239" s="734">
        <v>4</v>
      </c>
      <c r="AG239" s="734">
        <v>4</v>
      </c>
      <c r="AH239" s="734">
        <v>4</v>
      </c>
      <c r="AI239" s="699">
        <v>4</v>
      </c>
      <c r="AJ239" s="699">
        <v>4</v>
      </c>
      <c r="AK239" s="699">
        <v>4</v>
      </c>
      <c r="AL239" s="699">
        <v>4</v>
      </c>
      <c r="AM239" s="699">
        <v>4</v>
      </c>
      <c r="AN239" s="699">
        <v>4</v>
      </c>
      <c r="AO239" s="699">
        <v>4</v>
      </c>
      <c r="AP239" s="699">
        <v>4</v>
      </c>
      <c r="AQ239" s="699">
        <v>4</v>
      </c>
      <c r="AR239" s="518">
        <v>4</v>
      </c>
      <c r="AS239" s="518">
        <v>4</v>
      </c>
      <c r="AT239" s="518">
        <v>4</v>
      </c>
      <c r="AU239" s="518">
        <v>4</v>
      </c>
      <c r="AV239" s="518">
        <v>4</v>
      </c>
      <c r="AW239" s="699">
        <v>4</v>
      </c>
      <c r="AX239" s="699">
        <v>4</v>
      </c>
      <c r="AY239" s="699">
        <v>4</v>
      </c>
      <c r="AZ239" s="699">
        <v>4</v>
      </c>
      <c r="BA239" s="699">
        <v>4</v>
      </c>
      <c r="BB239" s="699">
        <v>4</v>
      </c>
      <c r="BC239" s="699">
        <v>4</v>
      </c>
      <c r="BD239" s="699">
        <v>4</v>
      </c>
      <c r="BE239" s="699">
        <v>4</v>
      </c>
      <c r="BF239" s="699">
        <v>4</v>
      </c>
      <c r="BG239" s="495">
        <f t="shared" si="49"/>
        <v>208</v>
      </c>
      <c r="BH239" s="1061"/>
      <c r="BI239" s="496">
        <f>BG239/BF239</f>
        <v>52</v>
      </c>
    </row>
    <row r="240" spans="1:61" ht="175.15" customHeight="1" thickTop="1" thickBot="1" x14ac:dyDescent="1.3">
      <c r="A240" s="1051"/>
      <c r="B240" s="697" t="s">
        <v>346</v>
      </c>
      <c r="C240" s="1052" t="s">
        <v>768</v>
      </c>
      <c r="D240" s="1052"/>
      <c r="E240" s="518">
        <v>4</v>
      </c>
      <c r="F240" s="518">
        <v>4</v>
      </c>
      <c r="G240" s="518">
        <v>4</v>
      </c>
      <c r="H240" s="518">
        <v>4</v>
      </c>
      <c r="I240" s="518">
        <v>4</v>
      </c>
      <c r="J240" s="518">
        <v>4</v>
      </c>
      <c r="K240" s="518">
        <v>4</v>
      </c>
      <c r="L240" s="518">
        <v>4</v>
      </c>
      <c r="M240" s="518">
        <v>4</v>
      </c>
      <c r="N240" s="518">
        <v>4</v>
      </c>
      <c r="O240" s="518">
        <v>4</v>
      </c>
      <c r="P240" s="518">
        <v>4</v>
      </c>
      <c r="Q240" s="518">
        <v>4</v>
      </c>
      <c r="R240" s="518">
        <v>4</v>
      </c>
      <c r="S240" s="518">
        <v>4</v>
      </c>
      <c r="T240" s="518">
        <v>4</v>
      </c>
      <c r="U240" s="518"/>
      <c r="V240" s="518"/>
      <c r="W240" s="518">
        <v>4</v>
      </c>
      <c r="X240" s="518">
        <v>4</v>
      </c>
      <c r="Y240" s="518">
        <v>4</v>
      </c>
      <c r="Z240" s="518">
        <v>4</v>
      </c>
      <c r="AA240" s="518">
        <v>4</v>
      </c>
      <c r="AB240" s="518">
        <v>4</v>
      </c>
      <c r="AC240" s="518">
        <v>4</v>
      </c>
      <c r="AD240" s="518">
        <v>4</v>
      </c>
      <c r="AE240" s="518">
        <v>4</v>
      </c>
      <c r="AF240" s="518">
        <v>4</v>
      </c>
      <c r="AG240" s="518">
        <v>4</v>
      </c>
      <c r="AH240" s="518">
        <v>4</v>
      </c>
      <c r="AI240" s="699">
        <v>4</v>
      </c>
      <c r="AJ240" s="518">
        <v>4</v>
      </c>
      <c r="AK240" s="518">
        <v>4</v>
      </c>
      <c r="AL240" s="518">
        <v>4</v>
      </c>
      <c r="AM240" s="518">
        <v>4</v>
      </c>
      <c r="AN240" s="518">
        <v>4</v>
      </c>
      <c r="AO240" s="518">
        <v>4</v>
      </c>
      <c r="AP240" s="699">
        <v>4</v>
      </c>
      <c r="AQ240" s="518">
        <v>4</v>
      </c>
      <c r="AR240" s="518">
        <v>4</v>
      </c>
      <c r="AS240" s="518">
        <v>4</v>
      </c>
      <c r="AT240" s="518">
        <v>4</v>
      </c>
      <c r="AU240" s="518">
        <v>4</v>
      </c>
      <c r="AV240" s="518">
        <v>4</v>
      </c>
      <c r="AW240" s="518">
        <v>4</v>
      </c>
      <c r="AX240" s="518">
        <v>4</v>
      </c>
      <c r="AY240" s="518">
        <v>4</v>
      </c>
      <c r="AZ240" s="518">
        <v>4</v>
      </c>
      <c r="BA240" s="518">
        <v>4</v>
      </c>
      <c r="BB240" s="518">
        <v>4</v>
      </c>
      <c r="BC240" s="518">
        <v>4</v>
      </c>
      <c r="BD240" s="518">
        <v>4</v>
      </c>
      <c r="BE240" s="518">
        <v>4</v>
      </c>
      <c r="BF240" s="518">
        <v>4</v>
      </c>
      <c r="BG240" s="495">
        <f t="shared" si="49"/>
        <v>208</v>
      </c>
      <c r="BH240" s="1062"/>
      <c r="BI240" s="496">
        <f t="shared" ref="BI240" si="50">BG240/BF240</f>
        <v>52</v>
      </c>
    </row>
    <row r="241" spans="1:61" s="511" customFormat="1" ht="132.6" customHeight="1" thickTop="1" thickBot="1" x14ac:dyDescent="1.3">
      <c r="A241" s="1049" t="s">
        <v>352</v>
      </c>
      <c r="B241" s="499" t="s">
        <v>347</v>
      </c>
      <c r="C241" s="1053" t="s">
        <v>127</v>
      </c>
      <c r="D241" s="1053"/>
      <c r="E241" s="508">
        <v>24</v>
      </c>
      <c r="F241" s="508">
        <v>24</v>
      </c>
      <c r="G241" s="508">
        <v>24</v>
      </c>
      <c r="H241" s="508">
        <v>24</v>
      </c>
      <c r="I241" s="508">
        <v>24</v>
      </c>
      <c r="J241" s="508">
        <v>24</v>
      </c>
      <c r="K241" s="508">
        <v>24</v>
      </c>
      <c r="L241" s="508">
        <v>24</v>
      </c>
      <c r="M241" s="508">
        <v>24</v>
      </c>
      <c r="N241" s="508">
        <v>24</v>
      </c>
      <c r="O241" s="508">
        <v>24</v>
      </c>
      <c r="P241" s="508">
        <v>24</v>
      </c>
      <c r="Q241" s="508">
        <v>24</v>
      </c>
      <c r="R241" s="508">
        <v>24</v>
      </c>
      <c r="S241" s="508">
        <v>24</v>
      </c>
      <c r="T241" s="508">
        <v>24</v>
      </c>
      <c r="U241" s="508">
        <v>24</v>
      </c>
      <c r="V241" s="508">
        <v>24</v>
      </c>
      <c r="W241" s="508">
        <v>24</v>
      </c>
      <c r="X241" s="508">
        <v>24</v>
      </c>
      <c r="Y241" s="508">
        <v>24</v>
      </c>
      <c r="Z241" s="508">
        <v>24</v>
      </c>
      <c r="AA241" s="508">
        <v>24</v>
      </c>
      <c r="AB241" s="508">
        <v>24</v>
      </c>
      <c r="AC241" s="508">
        <v>24</v>
      </c>
      <c r="AD241" s="508">
        <v>24</v>
      </c>
      <c r="AE241" s="508">
        <v>24</v>
      </c>
      <c r="AF241" s="508">
        <v>24</v>
      </c>
      <c r="AG241" s="508">
        <v>24</v>
      </c>
      <c r="AH241" s="508">
        <v>24</v>
      </c>
      <c r="AI241" s="508">
        <v>24</v>
      </c>
      <c r="AJ241" s="508">
        <v>24</v>
      </c>
      <c r="AK241" s="508">
        <v>24</v>
      </c>
      <c r="AL241" s="508">
        <v>24</v>
      </c>
      <c r="AM241" s="508">
        <v>24</v>
      </c>
      <c r="AN241" s="508">
        <v>24</v>
      </c>
      <c r="AO241" s="508">
        <v>24</v>
      </c>
      <c r="AP241" s="508">
        <v>24</v>
      </c>
      <c r="AQ241" s="508">
        <v>24</v>
      </c>
      <c r="AR241" s="508">
        <v>24</v>
      </c>
      <c r="AS241" s="508">
        <v>24</v>
      </c>
      <c r="AT241" s="508">
        <v>24</v>
      </c>
      <c r="AU241" s="508">
        <v>24</v>
      </c>
      <c r="AV241" s="508">
        <v>24</v>
      </c>
      <c r="AW241" s="508">
        <v>24</v>
      </c>
      <c r="AX241" s="508">
        <v>24</v>
      </c>
      <c r="AY241" s="508">
        <v>24</v>
      </c>
      <c r="AZ241" s="508">
        <v>24</v>
      </c>
      <c r="BA241" s="508">
        <v>24</v>
      </c>
      <c r="BB241" s="508">
        <v>24</v>
      </c>
      <c r="BC241" s="508">
        <v>24</v>
      </c>
      <c r="BD241" s="508">
        <v>24</v>
      </c>
      <c r="BE241" s="508">
        <v>24</v>
      </c>
      <c r="BF241" s="508">
        <v>24</v>
      </c>
      <c r="BG241" s="490">
        <f t="shared" si="44"/>
        <v>1296</v>
      </c>
      <c r="BH241" s="1056">
        <f>SUM(BG242:BG247)</f>
        <v>0</v>
      </c>
      <c r="BI241" s="491"/>
    </row>
    <row r="242" spans="1:61" ht="175.15" hidden="1" customHeight="1" thickTop="1" thickBot="1" x14ac:dyDescent="1.3">
      <c r="A242" s="1050"/>
      <c r="B242" s="502" t="s">
        <v>341</v>
      </c>
      <c r="C242" s="1052" t="s">
        <v>468</v>
      </c>
      <c r="D242" s="1052"/>
      <c r="E242" s="734"/>
      <c r="F242" s="734"/>
      <c r="G242" s="734"/>
      <c r="H242" s="734"/>
      <c r="I242" s="734"/>
      <c r="J242" s="734"/>
      <c r="K242" s="734"/>
      <c r="L242" s="734"/>
      <c r="M242" s="734"/>
      <c r="N242" s="734"/>
      <c r="O242" s="734"/>
      <c r="P242" s="734"/>
      <c r="Q242" s="734"/>
      <c r="R242" s="734"/>
      <c r="S242" s="734"/>
      <c r="T242" s="734"/>
      <c r="U242" s="734"/>
      <c r="V242" s="734"/>
      <c r="W242" s="518"/>
      <c r="X242" s="734"/>
      <c r="Y242" s="734"/>
      <c r="Z242" s="734"/>
      <c r="AA242" s="734"/>
      <c r="AB242" s="734"/>
      <c r="AC242" s="734"/>
      <c r="AD242" s="734"/>
      <c r="AE242" s="734"/>
      <c r="AF242" s="734"/>
      <c r="AG242" s="734"/>
      <c r="AH242" s="734"/>
      <c r="AI242" s="734"/>
      <c r="AJ242" s="734"/>
      <c r="AK242" s="734"/>
      <c r="AL242" s="734"/>
      <c r="AM242" s="734"/>
      <c r="AN242" s="734"/>
      <c r="AO242" s="734"/>
      <c r="AP242" s="734"/>
      <c r="AQ242" s="734"/>
      <c r="AR242" s="734"/>
      <c r="AS242" s="734"/>
      <c r="AT242" s="734"/>
      <c r="AU242" s="734"/>
      <c r="AV242" s="734"/>
      <c r="AW242" s="734"/>
      <c r="AX242" s="734"/>
      <c r="AY242" s="734"/>
      <c r="AZ242" s="734"/>
      <c r="BA242" s="734"/>
      <c r="BB242" s="734"/>
      <c r="BC242" s="734"/>
      <c r="BD242" s="734"/>
      <c r="BE242" s="734"/>
      <c r="BF242" s="734"/>
      <c r="BG242" s="495">
        <f t="shared" si="44"/>
        <v>0</v>
      </c>
      <c r="BH242" s="1056"/>
      <c r="BI242" s="496">
        <f>BG242/4</f>
        <v>0</v>
      </c>
    </row>
    <row r="243" spans="1:61" ht="175.15" hidden="1" customHeight="1" thickTop="1" thickBot="1" x14ac:dyDescent="1.3">
      <c r="A243" s="1050"/>
      <c r="B243" s="502" t="s">
        <v>342</v>
      </c>
      <c r="C243" s="1052" t="s">
        <v>468</v>
      </c>
      <c r="D243" s="1052"/>
      <c r="E243" s="734"/>
      <c r="F243" s="734"/>
      <c r="G243" s="734"/>
      <c r="H243" s="734"/>
      <c r="I243" s="734"/>
      <c r="J243" s="734"/>
      <c r="K243" s="734"/>
      <c r="L243" s="734"/>
      <c r="M243" s="734"/>
      <c r="N243" s="734"/>
      <c r="O243" s="734"/>
      <c r="P243" s="734"/>
      <c r="Q243" s="734"/>
      <c r="R243" s="734"/>
      <c r="S243" s="734"/>
      <c r="T243" s="734"/>
      <c r="U243" s="734"/>
      <c r="V243" s="734"/>
      <c r="W243" s="518"/>
      <c r="X243" s="734"/>
      <c r="Y243" s="734"/>
      <c r="Z243" s="734"/>
      <c r="AA243" s="734"/>
      <c r="AB243" s="734"/>
      <c r="AC243" s="734"/>
      <c r="AD243" s="734"/>
      <c r="AE243" s="734"/>
      <c r="AF243" s="734"/>
      <c r="AG243" s="734"/>
      <c r="AH243" s="734"/>
      <c r="AI243" s="734"/>
      <c r="AJ243" s="734"/>
      <c r="AK243" s="734"/>
      <c r="AL243" s="734"/>
      <c r="AM243" s="734"/>
      <c r="AN243" s="734"/>
      <c r="AO243" s="734"/>
      <c r="AP243" s="734"/>
      <c r="AQ243" s="734"/>
      <c r="AR243" s="734"/>
      <c r="AS243" s="734"/>
      <c r="AT243" s="734"/>
      <c r="AU243" s="734"/>
      <c r="AV243" s="734"/>
      <c r="AW243" s="734"/>
      <c r="AX243" s="734"/>
      <c r="AY243" s="734"/>
      <c r="AZ243" s="734"/>
      <c r="BA243" s="734"/>
      <c r="BB243" s="734"/>
      <c r="BC243" s="734"/>
      <c r="BD243" s="734"/>
      <c r="BE243" s="734"/>
      <c r="BF243" s="734"/>
      <c r="BG243" s="495">
        <f t="shared" si="44"/>
        <v>0</v>
      </c>
      <c r="BH243" s="1056"/>
      <c r="BI243" s="496">
        <f t="shared" ref="BI243:BI247" si="51">BG243/4</f>
        <v>0</v>
      </c>
    </row>
    <row r="244" spans="1:61" ht="175.15" hidden="1" customHeight="1" thickTop="1" thickBot="1" x14ac:dyDescent="1.3">
      <c r="A244" s="1050"/>
      <c r="B244" s="502" t="s">
        <v>343</v>
      </c>
      <c r="C244" s="1052" t="s">
        <v>468</v>
      </c>
      <c r="D244" s="1052"/>
      <c r="E244" s="734"/>
      <c r="F244" s="734"/>
      <c r="G244" s="734"/>
      <c r="H244" s="734"/>
      <c r="I244" s="734"/>
      <c r="J244" s="734"/>
      <c r="K244" s="734"/>
      <c r="L244" s="734"/>
      <c r="M244" s="734"/>
      <c r="N244" s="734"/>
      <c r="O244" s="734"/>
      <c r="P244" s="734"/>
      <c r="Q244" s="734"/>
      <c r="R244" s="734"/>
      <c r="S244" s="734"/>
      <c r="T244" s="734"/>
      <c r="U244" s="734"/>
      <c r="V244" s="734"/>
      <c r="W244" s="518"/>
      <c r="X244" s="734"/>
      <c r="Y244" s="734"/>
      <c r="Z244" s="734"/>
      <c r="AA244" s="734"/>
      <c r="AB244" s="734"/>
      <c r="AC244" s="734"/>
      <c r="AD244" s="734"/>
      <c r="AE244" s="734"/>
      <c r="AF244" s="734"/>
      <c r="AG244" s="734"/>
      <c r="AH244" s="734"/>
      <c r="AI244" s="734"/>
      <c r="AJ244" s="734"/>
      <c r="AK244" s="734"/>
      <c r="AL244" s="734"/>
      <c r="AM244" s="734"/>
      <c r="AN244" s="734"/>
      <c r="AO244" s="734"/>
      <c r="AP244" s="734"/>
      <c r="AQ244" s="734"/>
      <c r="AR244" s="734"/>
      <c r="AS244" s="734"/>
      <c r="AT244" s="734"/>
      <c r="AU244" s="734"/>
      <c r="AV244" s="734"/>
      <c r="AW244" s="734"/>
      <c r="AX244" s="734"/>
      <c r="AY244" s="734"/>
      <c r="AZ244" s="734"/>
      <c r="BA244" s="734"/>
      <c r="BB244" s="734"/>
      <c r="BC244" s="734"/>
      <c r="BD244" s="734"/>
      <c r="BE244" s="734"/>
      <c r="BF244" s="734"/>
      <c r="BG244" s="495">
        <f t="shared" si="44"/>
        <v>0</v>
      </c>
      <c r="BH244" s="1056"/>
      <c r="BI244" s="496">
        <f t="shared" si="51"/>
        <v>0</v>
      </c>
    </row>
    <row r="245" spans="1:61" ht="175.15" hidden="1" customHeight="1" thickTop="1" thickBot="1" x14ac:dyDescent="1.3">
      <c r="A245" s="1050"/>
      <c r="B245" s="502" t="s">
        <v>344</v>
      </c>
      <c r="C245" s="1052" t="s">
        <v>468</v>
      </c>
      <c r="D245" s="1052"/>
      <c r="E245" s="518"/>
      <c r="F245" s="518"/>
      <c r="G245" s="518"/>
      <c r="H245" s="518"/>
      <c r="I245" s="518"/>
      <c r="J245" s="518"/>
      <c r="K245" s="518"/>
      <c r="L245" s="518"/>
      <c r="M245" s="518"/>
      <c r="N245" s="518"/>
      <c r="O245" s="518"/>
      <c r="P245" s="518"/>
      <c r="Q245" s="518"/>
      <c r="R245" s="518"/>
      <c r="S245" s="518"/>
      <c r="T245" s="518"/>
      <c r="U245" s="518"/>
      <c r="V245" s="518"/>
      <c r="W245" s="518"/>
      <c r="X245" s="734"/>
      <c r="Y245" s="518"/>
      <c r="Z245" s="518"/>
      <c r="AA245" s="518"/>
      <c r="AB245" s="518"/>
      <c r="AC245" s="518"/>
      <c r="AD245" s="518"/>
      <c r="AE245" s="518"/>
      <c r="AF245" s="518"/>
      <c r="AG245" s="518"/>
      <c r="AH245" s="518"/>
      <c r="AI245" s="734"/>
      <c r="AJ245" s="518"/>
      <c r="AK245" s="518"/>
      <c r="AL245" s="518"/>
      <c r="AM245" s="518"/>
      <c r="AN245" s="518"/>
      <c r="AO245" s="518"/>
      <c r="AP245" s="734"/>
      <c r="AQ245" s="518"/>
      <c r="AR245" s="518"/>
      <c r="AS245" s="518"/>
      <c r="AT245" s="518"/>
      <c r="AU245" s="518"/>
      <c r="AV245" s="518"/>
      <c r="AW245" s="518"/>
      <c r="AX245" s="518"/>
      <c r="AY245" s="518"/>
      <c r="AZ245" s="518"/>
      <c r="BA245" s="518"/>
      <c r="BB245" s="518"/>
      <c r="BC245" s="518"/>
      <c r="BD245" s="518"/>
      <c r="BE245" s="518"/>
      <c r="BF245" s="518"/>
      <c r="BG245" s="495">
        <f t="shared" si="44"/>
        <v>0</v>
      </c>
      <c r="BH245" s="1056"/>
      <c r="BI245" s="496">
        <f t="shared" si="51"/>
        <v>0</v>
      </c>
    </row>
    <row r="246" spans="1:61" ht="175.15" hidden="1" customHeight="1" thickTop="1" thickBot="1" x14ac:dyDescent="1.3">
      <c r="A246" s="1050"/>
      <c r="B246" s="502" t="s">
        <v>345</v>
      </c>
      <c r="C246" s="1052" t="s">
        <v>468</v>
      </c>
      <c r="D246" s="1052"/>
      <c r="E246" s="734"/>
      <c r="F246" s="734"/>
      <c r="G246" s="734"/>
      <c r="H246" s="734"/>
      <c r="I246" s="734"/>
      <c r="J246" s="734"/>
      <c r="K246" s="734"/>
      <c r="L246" s="734"/>
      <c r="M246" s="734"/>
      <c r="N246" s="734"/>
      <c r="O246" s="734"/>
      <c r="P246" s="734"/>
      <c r="Q246" s="734"/>
      <c r="R246" s="734"/>
      <c r="S246" s="734"/>
      <c r="T246" s="734"/>
      <c r="U246" s="734"/>
      <c r="V246" s="734"/>
      <c r="W246" s="518"/>
      <c r="X246" s="734"/>
      <c r="Y246" s="734"/>
      <c r="Z246" s="734"/>
      <c r="AA246" s="734"/>
      <c r="AB246" s="734"/>
      <c r="AC246" s="734"/>
      <c r="AD246" s="734"/>
      <c r="AE246" s="734"/>
      <c r="AF246" s="734"/>
      <c r="AG246" s="734"/>
      <c r="AH246" s="734"/>
      <c r="AI246" s="734"/>
      <c r="AJ246" s="734"/>
      <c r="AK246" s="734"/>
      <c r="AL246" s="734"/>
      <c r="AM246" s="734"/>
      <c r="AN246" s="734"/>
      <c r="AO246" s="734"/>
      <c r="AP246" s="734"/>
      <c r="AQ246" s="734"/>
      <c r="AR246" s="734"/>
      <c r="AS246" s="734"/>
      <c r="AT246" s="734"/>
      <c r="AU246" s="734"/>
      <c r="AV246" s="734"/>
      <c r="AW246" s="734"/>
      <c r="AX246" s="734"/>
      <c r="AY246" s="734"/>
      <c r="AZ246" s="734"/>
      <c r="BA246" s="734"/>
      <c r="BB246" s="734"/>
      <c r="BC246" s="734"/>
      <c r="BD246" s="734"/>
      <c r="BE246" s="734"/>
      <c r="BF246" s="734"/>
      <c r="BG246" s="495">
        <f t="shared" si="44"/>
        <v>0</v>
      </c>
      <c r="BH246" s="1056"/>
      <c r="BI246" s="496">
        <f t="shared" si="51"/>
        <v>0</v>
      </c>
    </row>
    <row r="247" spans="1:61" ht="175.15" hidden="1" customHeight="1" thickTop="1" thickBot="1" x14ac:dyDescent="1.3">
      <c r="A247" s="1050"/>
      <c r="B247" s="502" t="s">
        <v>346</v>
      </c>
      <c r="C247" s="1052" t="s">
        <v>468</v>
      </c>
      <c r="D247" s="1052"/>
      <c r="E247" s="518"/>
      <c r="F247" s="518"/>
      <c r="G247" s="518"/>
      <c r="H247" s="518"/>
      <c r="I247" s="518"/>
      <c r="J247" s="518"/>
      <c r="K247" s="518"/>
      <c r="L247" s="518"/>
      <c r="M247" s="518"/>
      <c r="N247" s="518"/>
      <c r="O247" s="518"/>
      <c r="P247" s="518"/>
      <c r="Q247" s="518"/>
      <c r="R247" s="518"/>
      <c r="S247" s="518"/>
      <c r="T247" s="518"/>
      <c r="U247" s="518"/>
      <c r="V247" s="518"/>
      <c r="W247" s="518"/>
      <c r="X247" s="734"/>
      <c r="Y247" s="518"/>
      <c r="Z247" s="518"/>
      <c r="AA247" s="518"/>
      <c r="AB247" s="518"/>
      <c r="AC247" s="518"/>
      <c r="AD247" s="518"/>
      <c r="AE247" s="518"/>
      <c r="AF247" s="518"/>
      <c r="AG247" s="518"/>
      <c r="AH247" s="518"/>
      <c r="AI247" s="734"/>
      <c r="AJ247" s="518"/>
      <c r="AK247" s="518"/>
      <c r="AL247" s="518"/>
      <c r="AM247" s="518"/>
      <c r="AN247" s="518"/>
      <c r="AO247" s="518"/>
      <c r="AP247" s="734"/>
      <c r="AQ247" s="518"/>
      <c r="AR247" s="518"/>
      <c r="AS247" s="518"/>
      <c r="AT247" s="518"/>
      <c r="AU247" s="518"/>
      <c r="AV247" s="518"/>
      <c r="AW247" s="518"/>
      <c r="AX247" s="518"/>
      <c r="AY247" s="518"/>
      <c r="AZ247" s="518"/>
      <c r="BA247" s="518"/>
      <c r="BB247" s="518"/>
      <c r="BC247" s="518"/>
      <c r="BD247" s="518"/>
      <c r="BE247" s="518"/>
      <c r="BF247" s="518"/>
      <c r="BG247" s="495">
        <f>SUM(E247:BF247)</f>
        <v>0</v>
      </c>
      <c r="BH247" s="1056"/>
      <c r="BI247" s="496">
        <f t="shared" si="51"/>
        <v>0</v>
      </c>
    </row>
    <row r="248" spans="1:61" ht="175.15" customHeight="1" thickTop="1" thickBot="1" x14ac:dyDescent="1.3">
      <c r="A248" s="1050"/>
      <c r="B248" s="502" t="s">
        <v>341</v>
      </c>
      <c r="C248" s="1052" t="s">
        <v>711</v>
      </c>
      <c r="D248" s="1052"/>
      <c r="E248" s="734"/>
      <c r="F248" s="734"/>
      <c r="G248" s="734"/>
      <c r="H248" s="734"/>
      <c r="I248" s="734"/>
      <c r="J248" s="734"/>
      <c r="K248" s="734"/>
      <c r="L248" s="734"/>
      <c r="M248" s="734"/>
      <c r="N248" s="734"/>
      <c r="O248" s="734"/>
      <c r="P248" s="734"/>
      <c r="Q248" s="734"/>
      <c r="R248" s="734"/>
      <c r="S248" s="734"/>
      <c r="T248" s="734"/>
      <c r="U248" s="755">
        <v>4</v>
      </c>
      <c r="V248" s="755">
        <v>4</v>
      </c>
      <c r="W248" s="518"/>
      <c r="X248" s="755"/>
      <c r="Y248" s="734"/>
      <c r="Z248" s="734"/>
      <c r="AA248" s="734"/>
      <c r="AB248" s="734"/>
      <c r="AC248" s="734"/>
      <c r="AD248" s="734"/>
      <c r="AE248" s="734"/>
      <c r="AF248" s="734"/>
      <c r="AG248" s="734"/>
      <c r="AH248" s="734"/>
      <c r="AI248" s="734"/>
      <c r="AJ248" s="734"/>
      <c r="AK248" s="734"/>
      <c r="AL248" s="734"/>
      <c r="AM248" s="734"/>
      <c r="AN248" s="734"/>
      <c r="AO248" s="734"/>
      <c r="AP248" s="734"/>
      <c r="AQ248" s="734"/>
      <c r="AR248" s="734"/>
      <c r="AS248" s="734"/>
      <c r="AT248" s="734"/>
      <c r="AU248" s="734"/>
      <c r="AV248" s="734"/>
      <c r="AW248" s="734"/>
      <c r="AX248" s="734"/>
      <c r="AY248" s="734"/>
      <c r="AZ248" s="734"/>
      <c r="BA248" s="734"/>
      <c r="BB248" s="734"/>
      <c r="BC248" s="734"/>
      <c r="BD248" s="734"/>
      <c r="BE248" s="734"/>
      <c r="BF248" s="734"/>
      <c r="BG248" s="495">
        <f t="shared" ref="BG248:BG253" si="52">SUM(E248:BF248)</f>
        <v>8</v>
      </c>
      <c r="BH248" s="1056">
        <f>SUM(BG248:BG253)</f>
        <v>48</v>
      </c>
      <c r="BI248" s="496">
        <f>BG248/4</f>
        <v>2</v>
      </c>
    </row>
    <row r="249" spans="1:61" ht="175.15" customHeight="1" thickTop="1" thickBot="1" x14ac:dyDescent="1.3">
      <c r="A249" s="1050"/>
      <c r="B249" s="502" t="s">
        <v>342</v>
      </c>
      <c r="C249" s="1052" t="s">
        <v>711</v>
      </c>
      <c r="D249" s="1052"/>
      <c r="E249" s="734"/>
      <c r="F249" s="734"/>
      <c r="G249" s="734"/>
      <c r="H249" s="734"/>
      <c r="I249" s="734"/>
      <c r="J249" s="734"/>
      <c r="K249" s="734"/>
      <c r="L249" s="734"/>
      <c r="M249" s="734"/>
      <c r="N249" s="734"/>
      <c r="O249" s="734"/>
      <c r="P249" s="734"/>
      <c r="Q249" s="734"/>
      <c r="R249" s="734"/>
      <c r="S249" s="734"/>
      <c r="T249" s="734"/>
      <c r="U249" s="755">
        <v>4</v>
      </c>
      <c r="V249" s="755">
        <v>4</v>
      </c>
      <c r="W249" s="518"/>
      <c r="X249" s="755"/>
      <c r="Y249" s="734"/>
      <c r="Z249" s="734"/>
      <c r="AA249" s="734"/>
      <c r="AB249" s="734"/>
      <c r="AC249" s="734"/>
      <c r="AD249" s="734"/>
      <c r="AE249" s="734"/>
      <c r="AF249" s="734"/>
      <c r="AG249" s="734"/>
      <c r="AH249" s="734"/>
      <c r="AI249" s="734"/>
      <c r="AJ249" s="518"/>
      <c r="AK249" s="518"/>
      <c r="AL249" s="518"/>
      <c r="AM249" s="518"/>
      <c r="AN249" s="518"/>
      <c r="AO249" s="518"/>
      <c r="AP249" s="734"/>
      <c r="AQ249" s="518"/>
      <c r="AR249" s="734"/>
      <c r="AS249" s="734"/>
      <c r="AT249" s="734"/>
      <c r="AU249" s="734"/>
      <c r="AV249" s="734"/>
      <c r="AW249" s="734"/>
      <c r="AX249" s="734"/>
      <c r="AY249" s="734"/>
      <c r="AZ249" s="734"/>
      <c r="BA249" s="734"/>
      <c r="BB249" s="734"/>
      <c r="BC249" s="734"/>
      <c r="BD249" s="734"/>
      <c r="BE249" s="734"/>
      <c r="BF249" s="734"/>
      <c r="BG249" s="495">
        <f t="shared" si="52"/>
        <v>8</v>
      </c>
      <c r="BH249" s="1056"/>
      <c r="BI249" s="496">
        <f t="shared" ref="BI249:BI253" si="53">BG249/4</f>
        <v>2</v>
      </c>
    </row>
    <row r="250" spans="1:61" ht="175.15" customHeight="1" thickTop="1" thickBot="1" x14ac:dyDescent="1.3">
      <c r="A250" s="1050"/>
      <c r="B250" s="502" t="s">
        <v>343</v>
      </c>
      <c r="C250" s="1052" t="s">
        <v>711</v>
      </c>
      <c r="D250" s="1052"/>
      <c r="E250" s="734"/>
      <c r="F250" s="734"/>
      <c r="G250" s="734"/>
      <c r="H250" s="734"/>
      <c r="I250" s="734"/>
      <c r="J250" s="734"/>
      <c r="K250" s="734"/>
      <c r="L250" s="734"/>
      <c r="M250" s="734"/>
      <c r="N250" s="734"/>
      <c r="O250" s="734"/>
      <c r="P250" s="734"/>
      <c r="Q250" s="734"/>
      <c r="R250" s="734"/>
      <c r="S250" s="734"/>
      <c r="T250" s="734"/>
      <c r="U250" s="755">
        <v>4</v>
      </c>
      <c r="V250" s="755">
        <v>4</v>
      </c>
      <c r="W250" s="518"/>
      <c r="X250" s="755"/>
      <c r="Y250" s="734"/>
      <c r="Z250" s="734"/>
      <c r="AA250" s="734"/>
      <c r="AB250" s="734"/>
      <c r="AC250" s="734"/>
      <c r="AD250" s="734"/>
      <c r="AE250" s="734"/>
      <c r="AF250" s="734"/>
      <c r="AG250" s="734"/>
      <c r="AH250" s="734"/>
      <c r="AI250" s="734"/>
      <c r="AJ250" s="734"/>
      <c r="AK250" s="734"/>
      <c r="AL250" s="734"/>
      <c r="AM250" s="734"/>
      <c r="AN250" s="734"/>
      <c r="AO250" s="734"/>
      <c r="AP250" s="734"/>
      <c r="AQ250" s="734"/>
      <c r="AR250" s="518"/>
      <c r="AS250" s="518"/>
      <c r="AT250" s="518"/>
      <c r="AU250" s="518"/>
      <c r="AV250" s="518"/>
      <c r="AW250" s="734"/>
      <c r="AX250" s="734"/>
      <c r="AY250" s="734"/>
      <c r="AZ250" s="734"/>
      <c r="BA250" s="734"/>
      <c r="BB250" s="734"/>
      <c r="BC250" s="734"/>
      <c r="BD250" s="734"/>
      <c r="BE250" s="734"/>
      <c r="BF250" s="734"/>
      <c r="BG250" s="495">
        <f t="shared" si="52"/>
        <v>8</v>
      </c>
      <c r="BH250" s="1056"/>
      <c r="BI250" s="496">
        <f t="shared" si="53"/>
        <v>2</v>
      </c>
    </row>
    <row r="251" spans="1:61" ht="175.15" customHeight="1" thickTop="1" thickBot="1" x14ac:dyDescent="1.3">
      <c r="A251" s="1050"/>
      <c r="B251" s="502" t="s">
        <v>344</v>
      </c>
      <c r="C251" s="1052" t="s">
        <v>711</v>
      </c>
      <c r="D251" s="1052"/>
      <c r="E251" s="518"/>
      <c r="F251" s="518"/>
      <c r="G251" s="518"/>
      <c r="H251" s="518"/>
      <c r="I251" s="518"/>
      <c r="J251" s="518"/>
      <c r="K251" s="518"/>
      <c r="L251" s="518"/>
      <c r="M251" s="518"/>
      <c r="N251" s="518"/>
      <c r="O251" s="518"/>
      <c r="P251" s="518"/>
      <c r="Q251" s="518"/>
      <c r="R251" s="518"/>
      <c r="S251" s="518"/>
      <c r="T251" s="518"/>
      <c r="U251" s="518">
        <v>4</v>
      </c>
      <c r="V251" s="518">
        <v>4</v>
      </c>
      <c r="W251" s="518"/>
      <c r="X251" s="755"/>
      <c r="Y251" s="518"/>
      <c r="Z251" s="518"/>
      <c r="AA251" s="518"/>
      <c r="AB251" s="518"/>
      <c r="AC251" s="518"/>
      <c r="AD251" s="518"/>
      <c r="AE251" s="518"/>
      <c r="AF251" s="518"/>
      <c r="AG251" s="518"/>
      <c r="AH251" s="518"/>
      <c r="AI251" s="734"/>
      <c r="AJ251" s="518"/>
      <c r="AK251" s="518"/>
      <c r="AL251" s="518"/>
      <c r="AM251" s="518"/>
      <c r="AN251" s="518"/>
      <c r="AO251" s="518"/>
      <c r="AP251" s="734"/>
      <c r="AQ251" s="518"/>
      <c r="AR251" s="734"/>
      <c r="AS251" s="734"/>
      <c r="AT251" s="734"/>
      <c r="AU251" s="734"/>
      <c r="AV251" s="734"/>
      <c r="AW251" s="518"/>
      <c r="AX251" s="518"/>
      <c r="AY251" s="518"/>
      <c r="AZ251" s="518"/>
      <c r="BA251" s="518"/>
      <c r="BB251" s="518"/>
      <c r="BC251" s="518"/>
      <c r="BD251" s="518"/>
      <c r="BE251" s="518"/>
      <c r="BF251" s="518"/>
      <c r="BG251" s="495">
        <f t="shared" si="52"/>
        <v>8</v>
      </c>
      <c r="BH251" s="1056"/>
      <c r="BI251" s="496">
        <f t="shared" si="53"/>
        <v>2</v>
      </c>
    </row>
    <row r="252" spans="1:61" ht="175.15" customHeight="1" thickTop="1" thickBot="1" x14ac:dyDescent="1.3">
      <c r="A252" s="1050"/>
      <c r="B252" s="502" t="s">
        <v>345</v>
      </c>
      <c r="C252" s="1052" t="s">
        <v>711</v>
      </c>
      <c r="D252" s="1052"/>
      <c r="E252" s="734"/>
      <c r="F252" s="734"/>
      <c r="G252" s="734"/>
      <c r="H252" s="734"/>
      <c r="I252" s="734"/>
      <c r="J252" s="734"/>
      <c r="K252" s="734"/>
      <c r="L252" s="734"/>
      <c r="M252" s="734"/>
      <c r="N252" s="734"/>
      <c r="O252" s="734"/>
      <c r="P252" s="734"/>
      <c r="Q252" s="734"/>
      <c r="R252" s="734"/>
      <c r="S252" s="734"/>
      <c r="T252" s="734"/>
      <c r="U252" s="755">
        <v>4</v>
      </c>
      <c r="V252" s="755">
        <v>4</v>
      </c>
      <c r="W252" s="518"/>
      <c r="X252" s="755"/>
      <c r="Y252" s="734"/>
      <c r="Z252" s="734"/>
      <c r="AA252" s="734"/>
      <c r="AB252" s="734"/>
      <c r="AC252" s="734"/>
      <c r="AD252" s="734"/>
      <c r="AE252" s="734"/>
      <c r="AF252" s="734"/>
      <c r="AG252" s="734"/>
      <c r="AH252" s="734"/>
      <c r="AI252" s="734"/>
      <c r="AJ252" s="734"/>
      <c r="AK252" s="734"/>
      <c r="AL252" s="734"/>
      <c r="AM252" s="734"/>
      <c r="AN252" s="734"/>
      <c r="AO252" s="734"/>
      <c r="AP252" s="734"/>
      <c r="AQ252" s="734"/>
      <c r="AR252" s="518"/>
      <c r="AS252" s="518"/>
      <c r="AT252" s="518"/>
      <c r="AU252" s="518"/>
      <c r="AV252" s="518"/>
      <c r="AW252" s="734"/>
      <c r="AX252" s="734"/>
      <c r="AY252" s="734"/>
      <c r="AZ252" s="734"/>
      <c r="BA252" s="734"/>
      <c r="BB252" s="734"/>
      <c r="BC252" s="734"/>
      <c r="BD252" s="734"/>
      <c r="BE252" s="734"/>
      <c r="BF252" s="734"/>
      <c r="BG252" s="495">
        <f t="shared" si="52"/>
        <v>8</v>
      </c>
      <c r="BH252" s="1056"/>
      <c r="BI252" s="496">
        <f t="shared" si="53"/>
        <v>2</v>
      </c>
    </row>
    <row r="253" spans="1:61" ht="175.15" customHeight="1" thickTop="1" thickBot="1" x14ac:dyDescent="1.3">
      <c r="A253" s="1050"/>
      <c r="B253" s="502" t="s">
        <v>346</v>
      </c>
      <c r="C253" s="1052" t="s">
        <v>711</v>
      </c>
      <c r="D253" s="1052"/>
      <c r="E253" s="518"/>
      <c r="F253" s="518"/>
      <c r="G253" s="518"/>
      <c r="H253" s="518"/>
      <c r="I253" s="518"/>
      <c r="J253" s="518"/>
      <c r="K253" s="518"/>
      <c r="L253" s="518"/>
      <c r="M253" s="518"/>
      <c r="N253" s="518"/>
      <c r="O253" s="518"/>
      <c r="P253" s="518"/>
      <c r="Q253" s="518"/>
      <c r="R253" s="518"/>
      <c r="S253" s="518"/>
      <c r="T253" s="518"/>
      <c r="U253" s="518">
        <v>4</v>
      </c>
      <c r="V253" s="518">
        <v>4</v>
      </c>
      <c r="W253" s="518"/>
      <c r="X253" s="755"/>
      <c r="Y253" s="518"/>
      <c r="Z253" s="518"/>
      <c r="AA253" s="518"/>
      <c r="AB253" s="518"/>
      <c r="AC253" s="518"/>
      <c r="AD253" s="518"/>
      <c r="AE253" s="518"/>
      <c r="AF253" s="518"/>
      <c r="AG253" s="518"/>
      <c r="AH253" s="518"/>
      <c r="AI253" s="734"/>
      <c r="AJ253" s="518"/>
      <c r="AK253" s="518"/>
      <c r="AL253" s="518"/>
      <c r="AM253" s="518"/>
      <c r="AN253" s="518"/>
      <c r="AO253" s="518"/>
      <c r="AP253" s="734"/>
      <c r="AQ253" s="518"/>
      <c r="AR253" s="518"/>
      <c r="AS253" s="518"/>
      <c r="AT253" s="518"/>
      <c r="AU253" s="518"/>
      <c r="AV253" s="518"/>
      <c r="AW253" s="518"/>
      <c r="AX253" s="518"/>
      <c r="AY253" s="518"/>
      <c r="AZ253" s="518"/>
      <c r="BA253" s="518"/>
      <c r="BB253" s="518"/>
      <c r="BC253" s="518"/>
      <c r="BD253" s="518"/>
      <c r="BE253" s="518"/>
      <c r="BF253" s="518"/>
      <c r="BG253" s="495">
        <f t="shared" si="52"/>
        <v>8</v>
      </c>
      <c r="BH253" s="1056"/>
      <c r="BI253" s="496">
        <f t="shared" si="53"/>
        <v>2</v>
      </c>
    </row>
    <row r="254" spans="1:61" ht="175.15" customHeight="1" thickTop="1" thickBot="1" x14ac:dyDescent="1.3">
      <c r="A254" s="1050"/>
      <c r="B254" s="697" t="s">
        <v>341</v>
      </c>
      <c r="C254" s="1052" t="s">
        <v>768</v>
      </c>
      <c r="D254" s="1052"/>
      <c r="E254" s="734">
        <v>4</v>
      </c>
      <c r="F254" s="734">
        <v>4</v>
      </c>
      <c r="G254" s="734">
        <v>4</v>
      </c>
      <c r="H254" s="734">
        <v>4</v>
      </c>
      <c r="I254" s="734">
        <v>4</v>
      </c>
      <c r="J254" s="734">
        <v>4</v>
      </c>
      <c r="K254" s="734">
        <v>4</v>
      </c>
      <c r="L254" s="734">
        <v>4</v>
      </c>
      <c r="M254" s="734">
        <v>4</v>
      </c>
      <c r="N254" s="734">
        <v>4</v>
      </c>
      <c r="O254" s="734">
        <v>4</v>
      </c>
      <c r="P254" s="755">
        <v>4</v>
      </c>
      <c r="Q254" s="755">
        <v>4</v>
      </c>
      <c r="R254" s="755">
        <v>4</v>
      </c>
      <c r="S254" s="755">
        <v>4</v>
      </c>
      <c r="T254" s="755">
        <v>4</v>
      </c>
      <c r="U254" s="734"/>
      <c r="V254" s="734"/>
      <c r="W254" s="755">
        <v>4</v>
      </c>
      <c r="X254" s="755">
        <v>4</v>
      </c>
      <c r="Y254" s="734">
        <v>4</v>
      </c>
      <c r="Z254" s="734">
        <v>4</v>
      </c>
      <c r="AA254" s="734">
        <v>4</v>
      </c>
      <c r="AB254" s="734">
        <v>4</v>
      </c>
      <c r="AC254" s="734">
        <v>4</v>
      </c>
      <c r="AD254" s="734">
        <v>4</v>
      </c>
      <c r="AE254" s="734">
        <v>4</v>
      </c>
      <c r="AF254" s="734">
        <v>4</v>
      </c>
      <c r="AG254" s="734">
        <v>4</v>
      </c>
      <c r="AH254" s="734">
        <v>4</v>
      </c>
      <c r="AI254" s="734">
        <v>4</v>
      </c>
      <c r="AJ254" s="734">
        <v>4</v>
      </c>
      <c r="AK254" s="734">
        <v>4</v>
      </c>
      <c r="AL254" s="734">
        <v>4</v>
      </c>
      <c r="AM254" s="734">
        <v>4</v>
      </c>
      <c r="AN254" s="734">
        <v>4</v>
      </c>
      <c r="AO254" s="734">
        <v>4</v>
      </c>
      <c r="AP254" s="734">
        <v>4</v>
      </c>
      <c r="AQ254" s="734">
        <v>4</v>
      </c>
      <c r="AR254" s="734">
        <v>4</v>
      </c>
      <c r="AS254" s="734">
        <v>4</v>
      </c>
      <c r="AT254" s="734">
        <v>4</v>
      </c>
      <c r="AU254" s="734">
        <v>4</v>
      </c>
      <c r="AV254" s="734">
        <v>4</v>
      </c>
      <c r="AW254" s="734">
        <v>4</v>
      </c>
      <c r="AX254" s="734">
        <v>4</v>
      </c>
      <c r="AY254" s="734">
        <v>4</v>
      </c>
      <c r="AZ254" s="734">
        <v>4</v>
      </c>
      <c r="BA254" s="734">
        <v>4</v>
      </c>
      <c r="BB254" s="734">
        <v>4</v>
      </c>
      <c r="BC254" s="734">
        <v>4</v>
      </c>
      <c r="BD254" s="734">
        <v>4</v>
      </c>
      <c r="BE254" s="734">
        <v>4</v>
      </c>
      <c r="BF254" s="734">
        <v>4</v>
      </c>
      <c r="BG254" s="495">
        <f>SUM(E254:BF254)</f>
        <v>208</v>
      </c>
      <c r="BH254" s="698">
        <f>SUM(BG254:BG259)</f>
        <v>1248</v>
      </c>
      <c r="BI254" s="496">
        <f t="shared" ref="BI254:BI259" si="54">BG254/BF254</f>
        <v>52</v>
      </c>
    </row>
    <row r="255" spans="1:61" ht="175.15" customHeight="1" thickTop="1" thickBot="1" x14ac:dyDescent="1.3">
      <c r="A255" s="1050"/>
      <c r="B255" s="697" t="s">
        <v>342</v>
      </c>
      <c r="C255" s="1052" t="s">
        <v>768</v>
      </c>
      <c r="D255" s="1052"/>
      <c r="E255" s="734">
        <v>4</v>
      </c>
      <c r="F255" s="734">
        <v>4</v>
      </c>
      <c r="G255" s="734">
        <v>4</v>
      </c>
      <c r="H255" s="734">
        <v>4</v>
      </c>
      <c r="I255" s="734">
        <v>4</v>
      </c>
      <c r="J255" s="734">
        <v>4</v>
      </c>
      <c r="K255" s="734">
        <v>4</v>
      </c>
      <c r="L255" s="734">
        <v>4</v>
      </c>
      <c r="M255" s="734">
        <v>4</v>
      </c>
      <c r="N255" s="734">
        <v>4</v>
      </c>
      <c r="O255" s="734">
        <v>4</v>
      </c>
      <c r="P255" s="755">
        <v>4</v>
      </c>
      <c r="Q255" s="755">
        <v>4</v>
      </c>
      <c r="R255" s="755">
        <v>4</v>
      </c>
      <c r="S255" s="755">
        <v>4</v>
      </c>
      <c r="T255" s="755">
        <v>4</v>
      </c>
      <c r="U255" s="734"/>
      <c r="V255" s="734"/>
      <c r="W255" s="755">
        <v>4</v>
      </c>
      <c r="X255" s="755">
        <v>4</v>
      </c>
      <c r="Y255" s="734">
        <v>4</v>
      </c>
      <c r="Z255" s="734">
        <v>4</v>
      </c>
      <c r="AA255" s="734">
        <v>4</v>
      </c>
      <c r="AB255" s="734">
        <v>4</v>
      </c>
      <c r="AC255" s="734">
        <v>4</v>
      </c>
      <c r="AD255" s="734">
        <v>4</v>
      </c>
      <c r="AE255" s="734">
        <v>4</v>
      </c>
      <c r="AF255" s="734">
        <v>4</v>
      </c>
      <c r="AG255" s="734">
        <v>4</v>
      </c>
      <c r="AH255" s="734">
        <v>4</v>
      </c>
      <c r="AI255" s="734">
        <v>4</v>
      </c>
      <c r="AJ255" s="518">
        <v>4</v>
      </c>
      <c r="AK255" s="518">
        <v>4</v>
      </c>
      <c r="AL255" s="518">
        <v>4</v>
      </c>
      <c r="AM255" s="518">
        <v>4</v>
      </c>
      <c r="AN255" s="518">
        <v>4</v>
      </c>
      <c r="AO255" s="518">
        <v>4</v>
      </c>
      <c r="AP255" s="734">
        <v>4</v>
      </c>
      <c r="AQ255" s="518">
        <v>4</v>
      </c>
      <c r="AR255" s="734">
        <v>4</v>
      </c>
      <c r="AS255" s="734">
        <v>4</v>
      </c>
      <c r="AT255" s="734">
        <v>4</v>
      </c>
      <c r="AU255" s="734">
        <v>4</v>
      </c>
      <c r="AV255" s="734">
        <v>4</v>
      </c>
      <c r="AW255" s="734">
        <v>4</v>
      </c>
      <c r="AX255" s="734">
        <v>4</v>
      </c>
      <c r="AY255" s="734">
        <v>4</v>
      </c>
      <c r="AZ255" s="734">
        <v>4</v>
      </c>
      <c r="BA255" s="734">
        <v>4</v>
      </c>
      <c r="BB255" s="734">
        <v>4</v>
      </c>
      <c r="BC255" s="734">
        <v>4</v>
      </c>
      <c r="BD255" s="734">
        <v>4</v>
      </c>
      <c r="BE255" s="734">
        <v>4</v>
      </c>
      <c r="BF255" s="734">
        <v>4</v>
      </c>
      <c r="BG255" s="495">
        <f t="shared" ref="BG255:BG259" si="55">SUM(E255:BF255)</f>
        <v>208</v>
      </c>
      <c r="BH255" s="1060"/>
      <c r="BI255" s="496">
        <f t="shared" si="54"/>
        <v>52</v>
      </c>
    </row>
    <row r="256" spans="1:61" ht="175.15" customHeight="1" thickTop="1" thickBot="1" x14ac:dyDescent="1.3">
      <c r="A256" s="1050"/>
      <c r="B256" s="697" t="s">
        <v>343</v>
      </c>
      <c r="C256" s="1052" t="s">
        <v>768</v>
      </c>
      <c r="D256" s="1052"/>
      <c r="E256" s="734">
        <v>4</v>
      </c>
      <c r="F256" s="734">
        <v>4</v>
      </c>
      <c r="G256" s="734">
        <v>4</v>
      </c>
      <c r="H256" s="734">
        <v>4</v>
      </c>
      <c r="I256" s="734">
        <v>4</v>
      </c>
      <c r="J256" s="734">
        <v>4</v>
      </c>
      <c r="K256" s="734">
        <v>4</v>
      </c>
      <c r="L256" s="734">
        <v>4</v>
      </c>
      <c r="M256" s="734">
        <v>4</v>
      </c>
      <c r="N256" s="734">
        <v>4</v>
      </c>
      <c r="O256" s="734">
        <v>4</v>
      </c>
      <c r="P256" s="755">
        <v>4</v>
      </c>
      <c r="Q256" s="755">
        <v>4</v>
      </c>
      <c r="R256" s="755">
        <v>4</v>
      </c>
      <c r="S256" s="755">
        <v>4</v>
      </c>
      <c r="T256" s="755">
        <v>4</v>
      </c>
      <c r="U256" s="734"/>
      <c r="V256" s="734"/>
      <c r="W256" s="755">
        <v>4</v>
      </c>
      <c r="X256" s="755">
        <v>4</v>
      </c>
      <c r="Y256" s="734">
        <v>4</v>
      </c>
      <c r="Z256" s="734">
        <v>4</v>
      </c>
      <c r="AA256" s="734">
        <v>4</v>
      </c>
      <c r="AB256" s="734">
        <v>4</v>
      </c>
      <c r="AC256" s="734">
        <v>4</v>
      </c>
      <c r="AD256" s="734">
        <v>4</v>
      </c>
      <c r="AE256" s="734">
        <v>4</v>
      </c>
      <c r="AF256" s="734">
        <v>4</v>
      </c>
      <c r="AG256" s="734">
        <v>4</v>
      </c>
      <c r="AH256" s="734">
        <v>4</v>
      </c>
      <c r="AI256" s="734">
        <v>4</v>
      </c>
      <c r="AJ256" s="734">
        <v>4</v>
      </c>
      <c r="AK256" s="734">
        <v>4</v>
      </c>
      <c r="AL256" s="734">
        <v>4</v>
      </c>
      <c r="AM256" s="734">
        <v>4</v>
      </c>
      <c r="AN256" s="734">
        <v>4</v>
      </c>
      <c r="AO256" s="734">
        <v>4</v>
      </c>
      <c r="AP256" s="734">
        <v>4</v>
      </c>
      <c r="AQ256" s="734">
        <v>4</v>
      </c>
      <c r="AR256" s="518">
        <v>4</v>
      </c>
      <c r="AS256" s="518">
        <v>4</v>
      </c>
      <c r="AT256" s="518">
        <v>4</v>
      </c>
      <c r="AU256" s="518">
        <v>4</v>
      </c>
      <c r="AV256" s="518">
        <v>4</v>
      </c>
      <c r="AW256" s="734">
        <v>4</v>
      </c>
      <c r="AX256" s="734">
        <v>4</v>
      </c>
      <c r="AY256" s="734">
        <v>4</v>
      </c>
      <c r="AZ256" s="734">
        <v>4</v>
      </c>
      <c r="BA256" s="734">
        <v>4</v>
      </c>
      <c r="BB256" s="734">
        <v>4</v>
      </c>
      <c r="BC256" s="734">
        <v>4</v>
      </c>
      <c r="BD256" s="734">
        <v>4</v>
      </c>
      <c r="BE256" s="734">
        <v>4</v>
      </c>
      <c r="BF256" s="734">
        <v>4</v>
      </c>
      <c r="BG256" s="495">
        <f t="shared" si="55"/>
        <v>208</v>
      </c>
      <c r="BH256" s="1061"/>
      <c r="BI256" s="496">
        <f t="shared" si="54"/>
        <v>52</v>
      </c>
    </row>
    <row r="257" spans="1:61" ht="175.15" customHeight="1" thickTop="1" thickBot="1" x14ac:dyDescent="1.3">
      <c r="A257" s="1050"/>
      <c r="B257" s="697" t="s">
        <v>344</v>
      </c>
      <c r="C257" s="1052" t="s">
        <v>768</v>
      </c>
      <c r="D257" s="1052"/>
      <c r="E257" s="518">
        <v>4</v>
      </c>
      <c r="F257" s="518">
        <v>4</v>
      </c>
      <c r="G257" s="518">
        <v>4</v>
      </c>
      <c r="H257" s="518">
        <v>4</v>
      </c>
      <c r="I257" s="518">
        <v>4</v>
      </c>
      <c r="J257" s="518">
        <v>4</v>
      </c>
      <c r="K257" s="518">
        <v>4</v>
      </c>
      <c r="L257" s="518">
        <v>4</v>
      </c>
      <c r="M257" s="518">
        <v>4</v>
      </c>
      <c r="N257" s="518">
        <v>4</v>
      </c>
      <c r="O257" s="518">
        <v>4</v>
      </c>
      <c r="P257" s="518">
        <v>4</v>
      </c>
      <c r="Q257" s="518">
        <v>4</v>
      </c>
      <c r="R257" s="518">
        <v>4</v>
      </c>
      <c r="S257" s="518">
        <v>4</v>
      </c>
      <c r="T257" s="518">
        <v>4</v>
      </c>
      <c r="U257" s="518"/>
      <c r="V257" s="518"/>
      <c r="W257" s="518">
        <v>4</v>
      </c>
      <c r="X257" s="518">
        <v>4</v>
      </c>
      <c r="Y257" s="518">
        <v>4</v>
      </c>
      <c r="Z257" s="518">
        <v>4</v>
      </c>
      <c r="AA257" s="518">
        <v>4</v>
      </c>
      <c r="AB257" s="518">
        <v>4</v>
      </c>
      <c r="AC257" s="518">
        <v>4</v>
      </c>
      <c r="AD257" s="518">
        <v>4</v>
      </c>
      <c r="AE257" s="518">
        <v>4</v>
      </c>
      <c r="AF257" s="518">
        <v>4</v>
      </c>
      <c r="AG257" s="518">
        <v>4</v>
      </c>
      <c r="AH257" s="518">
        <v>4</v>
      </c>
      <c r="AI257" s="734">
        <v>4</v>
      </c>
      <c r="AJ257" s="518">
        <v>4</v>
      </c>
      <c r="AK257" s="518">
        <v>4</v>
      </c>
      <c r="AL257" s="518">
        <v>4</v>
      </c>
      <c r="AM257" s="518">
        <v>4</v>
      </c>
      <c r="AN257" s="518">
        <v>4</v>
      </c>
      <c r="AO257" s="518">
        <v>4</v>
      </c>
      <c r="AP257" s="734">
        <v>4</v>
      </c>
      <c r="AQ257" s="518">
        <v>4</v>
      </c>
      <c r="AR257" s="734">
        <v>4</v>
      </c>
      <c r="AS257" s="734">
        <v>4</v>
      </c>
      <c r="AT257" s="734">
        <v>4</v>
      </c>
      <c r="AU257" s="734">
        <v>4</v>
      </c>
      <c r="AV257" s="734">
        <v>4</v>
      </c>
      <c r="AW257" s="518">
        <v>4</v>
      </c>
      <c r="AX257" s="518">
        <v>4</v>
      </c>
      <c r="AY257" s="518">
        <v>4</v>
      </c>
      <c r="AZ257" s="518">
        <v>4</v>
      </c>
      <c r="BA257" s="518">
        <v>4</v>
      </c>
      <c r="BB257" s="518">
        <v>4</v>
      </c>
      <c r="BC257" s="518">
        <v>4</v>
      </c>
      <c r="BD257" s="518">
        <v>4</v>
      </c>
      <c r="BE257" s="518">
        <v>4</v>
      </c>
      <c r="BF257" s="518">
        <v>4</v>
      </c>
      <c r="BG257" s="495">
        <f t="shared" si="55"/>
        <v>208</v>
      </c>
      <c r="BH257" s="1061"/>
      <c r="BI257" s="496">
        <f t="shared" si="54"/>
        <v>52</v>
      </c>
    </row>
    <row r="258" spans="1:61" ht="175.15" customHeight="1" thickTop="1" thickBot="1" x14ac:dyDescent="1.3">
      <c r="A258" s="1050"/>
      <c r="B258" s="697" t="s">
        <v>345</v>
      </c>
      <c r="C258" s="1052" t="s">
        <v>768</v>
      </c>
      <c r="D258" s="1052"/>
      <c r="E258" s="734">
        <v>4</v>
      </c>
      <c r="F258" s="734">
        <v>4</v>
      </c>
      <c r="G258" s="734">
        <v>4</v>
      </c>
      <c r="H258" s="734">
        <v>4</v>
      </c>
      <c r="I258" s="734">
        <v>4</v>
      </c>
      <c r="J258" s="734">
        <v>4</v>
      </c>
      <c r="K258" s="734">
        <v>4</v>
      </c>
      <c r="L258" s="734">
        <v>4</v>
      </c>
      <c r="M258" s="734">
        <v>4</v>
      </c>
      <c r="N258" s="734">
        <v>4</v>
      </c>
      <c r="O258" s="734">
        <v>4</v>
      </c>
      <c r="P258" s="755">
        <v>4</v>
      </c>
      <c r="Q258" s="755">
        <v>4</v>
      </c>
      <c r="R258" s="755">
        <v>4</v>
      </c>
      <c r="S258" s="755">
        <v>4</v>
      </c>
      <c r="T258" s="755">
        <v>4</v>
      </c>
      <c r="U258" s="734"/>
      <c r="V258" s="734"/>
      <c r="W258" s="755">
        <v>4</v>
      </c>
      <c r="X258" s="755">
        <v>4</v>
      </c>
      <c r="Y258" s="734">
        <v>4</v>
      </c>
      <c r="Z258" s="734">
        <v>4</v>
      </c>
      <c r="AA258" s="734">
        <v>4</v>
      </c>
      <c r="AB258" s="734">
        <v>4</v>
      </c>
      <c r="AC258" s="734">
        <v>4</v>
      </c>
      <c r="AD258" s="734">
        <v>4</v>
      </c>
      <c r="AE258" s="734">
        <v>4</v>
      </c>
      <c r="AF258" s="734">
        <v>4</v>
      </c>
      <c r="AG258" s="734">
        <v>4</v>
      </c>
      <c r="AH258" s="734">
        <v>4</v>
      </c>
      <c r="AI258" s="734">
        <v>4</v>
      </c>
      <c r="AJ258" s="734">
        <v>4</v>
      </c>
      <c r="AK258" s="734">
        <v>4</v>
      </c>
      <c r="AL258" s="734">
        <v>4</v>
      </c>
      <c r="AM258" s="734">
        <v>4</v>
      </c>
      <c r="AN258" s="734">
        <v>4</v>
      </c>
      <c r="AO258" s="734">
        <v>4</v>
      </c>
      <c r="AP258" s="734">
        <v>4</v>
      </c>
      <c r="AQ258" s="734">
        <v>4</v>
      </c>
      <c r="AR258" s="518">
        <v>4</v>
      </c>
      <c r="AS258" s="518">
        <v>4</v>
      </c>
      <c r="AT258" s="518">
        <v>4</v>
      </c>
      <c r="AU258" s="518">
        <v>4</v>
      </c>
      <c r="AV258" s="518">
        <v>4</v>
      </c>
      <c r="AW258" s="734">
        <v>4</v>
      </c>
      <c r="AX258" s="734">
        <v>4</v>
      </c>
      <c r="AY258" s="734">
        <v>4</v>
      </c>
      <c r="AZ258" s="734">
        <v>4</v>
      </c>
      <c r="BA258" s="734">
        <v>4</v>
      </c>
      <c r="BB258" s="734">
        <v>4</v>
      </c>
      <c r="BC258" s="734">
        <v>4</v>
      </c>
      <c r="BD258" s="734">
        <v>4</v>
      </c>
      <c r="BE258" s="734">
        <v>4</v>
      </c>
      <c r="BF258" s="734">
        <v>4</v>
      </c>
      <c r="BG258" s="495">
        <f t="shared" si="55"/>
        <v>208</v>
      </c>
      <c r="BH258" s="1061"/>
      <c r="BI258" s="496">
        <f t="shared" si="54"/>
        <v>52</v>
      </c>
    </row>
    <row r="259" spans="1:61" ht="175.15" customHeight="1" thickTop="1" thickBot="1" x14ac:dyDescent="1.3">
      <c r="A259" s="1051"/>
      <c r="B259" s="697" t="s">
        <v>346</v>
      </c>
      <c r="C259" s="1052" t="s">
        <v>768</v>
      </c>
      <c r="D259" s="1052"/>
      <c r="E259" s="518">
        <v>4</v>
      </c>
      <c r="F259" s="518">
        <v>4</v>
      </c>
      <c r="G259" s="518">
        <v>4</v>
      </c>
      <c r="H259" s="518">
        <v>4</v>
      </c>
      <c r="I259" s="518">
        <v>4</v>
      </c>
      <c r="J259" s="518">
        <v>4</v>
      </c>
      <c r="K259" s="518">
        <v>4</v>
      </c>
      <c r="L259" s="518">
        <v>4</v>
      </c>
      <c r="M259" s="518">
        <v>4</v>
      </c>
      <c r="N259" s="518">
        <v>4</v>
      </c>
      <c r="O259" s="518">
        <v>4</v>
      </c>
      <c r="P259" s="518">
        <v>4</v>
      </c>
      <c r="Q259" s="518">
        <v>4</v>
      </c>
      <c r="R259" s="518">
        <v>4</v>
      </c>
      <c r="S259" s="518">
        <v>4</v>
      </c>
      <c r="T259" s="518">
        <v>4</v>
      </c>
      <c r="U259" s="518"/>
      <c r="V259" s="518"/>
      <c r="W259" s="518">
        <v>4</v>
      </c>
      <c r="X259" s="518">
        <v>4</v>
      </c>
      <c r="Y259" s="518">
        <v>4</v>
      </c>
      <c r="Z259" s="518">
        <v>4</v>
      </c>
      <c r="AA259" s="518">
        <v>4</v>
      </c>
      <c r="AB259" s="518">
        <v>4</v>
      </c>
      <c r="AC259" s="518">
        <v>4</v>
      </c>
      <c r="AD259" s="518">
        <v>4</v>
      </c>
      <c r="AE259" s="518">
        <v>4</v>
      </c>
      <c r="AF259" s="518">
        <v>4</v>
      </c>
      <c r="AG259" s="518">
        <v>4</v>
      </c>
      <c r="AH259" s="518">
        <v>4</v>
      </c>
      <c r="AI259" s="734">
        <v>4</v>
      </c>
      <c r="AJ259" s="518">
        <v>4</v>
      </c>
      <c r="AK259" s="518">
        <v>4</v>
      </c>
      <c r="AL259" s="518">
        <v>4</v>
      </c>
      <c r="AM259" s="518">
        <v>4</v>
      </c>
      <c r="AN259" s="518">
        <v>4</v>
      </c>
      <c r="AO259" s="518">
        <v>4</v>
      </c>
      <c r="AP259" s="734">
        <v>4</v>
      </c>
      <c r="AQ259" s="518">
        <v>4</v>
      </c>
      <c r="AR259" s="518">
        <v>4</v>
      </c>
      <c r="AS259" s="518">
        <v>4</v>
      </c>
      <c r="AT259" s="518">
        <v>4</v>
      </c>
      <c r="AU259" s="518">
        <v>4</v>
      </c>
      <c r="AV259" s="518">
        <v>4</v>
      </c>
      <c r="AW259" s="518">
        <v>4</v>
      </c>
      <c r="AX259" s="518">
        <v>4</v>
      </c>
      <c r="AY259" s="518">
        <v>4</v>
      </c>
      <c r="AZ259" s="518">
        <v>4</v>
      </c>
      <c r="BA259" s="518">
        <v>4</v>
      </c>
      <c r="BB259" s="518">
        <v>4</v>
      </c>
      <c r="BC259" s="518">
        <v>4</v>
      </c>
      <c r="BD259" s="518">
        <v>4</v>
      </c>
      <c r="BE259" s="518">
        <v>4</v>
      </c>
      <c r="BF259" s="518">
        <v>4</v>
      </c>
      <c r="BG259" s="495">
        <f t="shared" si="55"/>
        <v>208</v>
      </c>
      <c r="BH259" s="1062"/>
      <c r="BI259" s="496">
        <f t="shared" si="54"/>
        <v>52</v>
      </c>
    </row>
    <row r="260" spans="1:61" ht="211.9" customHeight="1" thickTop="1" thickBot="1" x14ac:dyDescent="1.3">
      <c r="A260" s="540"/>
      <c r="B260" s="541" t="s">
        <v>162</v>
      </c>
      <c r="C260" s="542"/>
      <c r="D260" s="542"/>
      <c r="E260" s="543"/>
      <c r="F260" s="543"/>
      <c r="G260" s="543"/>
      <c r="H260" s="543"/>
      <c r="I260" s="543"/>
      <c r="J260" s="543"/>
      <c r="K260" s="543"/>
      <c r="L260" s="543"/>
      <c r="M260" s="543"/>
      <c r="N260" s="543"/>
      <c r="O260" s="543"/>
      <c r="P260" s="543"/>
      <c r="Q260" s="543"/>
      <c r="R260" s="543"/>
      <c r="S260" s="1059" t="s">
        <v>150</v>
      </c>
      <c r="T260" s="1059"/>
      <c r="U260" s="543"/>
      <c r="V260" s="543"/>
      <c r="W260" s="543"/>
      <c r="X260" s="543"/>
      <c r="Y260" s="543"/>
      <c r="Z260" s="543"/>
      <c r="AA260" s="543"/>
      <c r="AB260" s="543"/>
      <c r="AC260" s="543"/>
      <c r="AD260" s="543"/>
      <c r="AE260" s="543"/>
      <c r="AF260" s="543"/>
      <c r="AG260" s="543"/>
      <c r="AH260" s="543"/>
      <c r="AI260" s="543"/>
      <c r="AJ260" s="543"/>
      <c r="AK260" s="1059" t="s">
        <v>162</v>
      </c>
      <c r="AL260" s="1059"/>
      <c r="AM260" s="543"/>
      <c r="AN260" s="543"/>
      <c r="AO260" s="543"/>
      <c r="AP260" s="543"/>
      <c r="AQ260" s="543"/>
      <c r="AR260" s="543"/>
      <c r="AS260" s="543"/>
      <c r="AT260" s="543"/>
      <c r="AU260" s="543"/>
      <c r="AV260" s="543"/>
      <c r="AW260" s="543"/>
      <c r="AX260" s="543"/>
      <c r="AY260" s="543"/>
      <c r="AZ260" s="543"/>
      <c r="BA260" s="543"/>
      <c r="BB260" s="543"/>
      <c r="BC260" s="543"/>
      <c r="BD260" s="543"/>
      <c r="BE260" s="543"/>
      <c r="BF260" s="1059" t="s">
        <v>150</v>
      </c>
      <c r="BG260" s="1059"/>
      <c r="BH260" s="544"/>
      <c r="BI260" s="530"/>
    </row>
    <row r="261" spans="1:61" ht="199.9" customHeight="1" thickTop="1" thickBot="1" x14ac:dyDescent="1.3">
      <c r="A261" s="1057" t="s">
        <v>125</v>
      </c>
      <c r="B261" s="1058"/>
      <c r="C261" s="1058"/>
      <c r="D261" s="1058"/>
      <c r="E261" s="512">
        <v>300</v>
      </c>
      <c r="F261" s="512">
        <v>301</v>
      </c>
      <c r="G261" s="512">
        <v>302</v>
      </c>
      <c r="H261" s="512">
        <v>303</v>
      </c>
      <c r="I261" s="512">
        <v>304</v>
      </c>
      <c r="J261" s="512">
        <v>305</v>
      </c>
      <c r="K261" s="512">
        <v>306</v>
      </c>
      <c r="L261" s="512">
        <v>307</v>
      </c>
      <c r="M261" s="512">
        <v>308</v>
      </c>
      <c r="N261" s="512">
        <v>309</v>
      </c>
      <c r="O261" s="512">
        <v>310</v>
      </c>
      <c r="P261" s="512">
        <v>311</v>
      </c>
      <c r="Q261" s="512">
        <v>312</v>
      </c>
      <c r="R261" s="512">
        <v>313</v>
      </c>
      <c r="S261" s="512">
        <v>314</v>
      </c>
      <c r="T261" s="512">
        <v>315</v>
      </c>
      <c r="U261" s="512">
        <v>316</v>
      </c>
      <c r="V261" s="512">
        <v>317</v>
      </c>
      <c r="W261" s="512">
        <v>318</v>
      </c>
      <c r="X261" s="512">
        <v>319</v>
      </c>
      <c r="Y261" s="512">
        <v>320</v>
      </c>
      <c r="Z261" s="512">
        <v>321</v>
      </c>
      <c r="AA261" s="512">
        <v>322</v>
      </c>
      <c r="AB261" s="512">
        <v>323</v>
      </c>
      <c r="AC261" s="512">
        <v>324</v>
      </c>
      <c r="AD261" s="512">
        <v>325</v>
      </c>
      <c r="AE261" s="524">
        <v>326</v>
      </c>
      <c r="AF261" s="524">
        <v>327</v>
      </c>
      <c r="AG261" s="524">
        <v>328</v>
      </c>
      <c r="AH261" s="524">
        <v>329</v>
      </c>
      <c r="AI261" s="524">
        <v>330</v>
      </c>
      <c r="AJ261" s="524">
        <v>331</v>
      </c>
      <c r="AK261" s="524">
        <v>332</v>
      </c>
      <c r="AL261" s="524">
        <v>333</v>
      </c>
      <c r="AM261" s="524">
        <v>334</v>
      </c>
      <c r="AN261" s="524">
        <v>335</v>
      </c>
      <c r="AO261" s="524">
        <v>336</v>
      </c>
      <c r="AP261" s="524">
        <v>337</v>
      </c>
      <c r="AQ261" s="524">
        <v>338</v>
      </c>
      <c r="AR261" s="524">
        <v>339</v>
      </c>
      <c r="AS261" s="524">
        <v>340</v>
      </c>
      <c r="AT261" s="524">
        <v>341</v>
      </c>
      <c r="AU261" s="524">
        <v>342</v>
      </c>
      <c r="AV261" s="524">
        <v>343</v>
      </c>
      <c r="AW261" s="524">
        <v>344</v>
      </c>
      <c r="AX261" s="524">
        <v>345</v>
      </c>
      <c r="AY261" s="524">
        <v>346</v>
      </c>
      <c r="AZ261" s="524">
        <v>347</v>
      </c>
      <c r="BA261" s="524">
        <v>348</v>
      </c>
      <c r="BB261" s="524">
        <v>349</v>
      </c>
      <c r="BC261" s="524">
        <v>350</v>
      </c>
      <c r="BD261" s="524">
        <v>351</v>
      </c>
      <c r="BE261" s="524">
        <v>352</v>
      </c>
      <c r="BF261" s="524">
        <v>353</v>
      </c>
      <c r="BG261" s="485" t="s">
        <v>160</v>
      </c>
      <c r="BH261" s="486" t="s">
        <v>161</v>
      </c>
      <c r="BI261" s="496"/>
    </row>
    <row r="262" spans="1:61" s="511" customFormat="1" ht="199.9" customHeight="1" thickTop="1" thickBot="1" x14ac:dyDescent="1.3">
      <c r="A262" s="1049" t="s">
        <v>349</v>
      </c>
      <c r="B262" s="499" t="s">
        <v>348</v>
      </c>
      <c r="C262" s="1053" t="s">
        <v>127</v>
      </c>
      <c r="D262" s="1053"/>
      <c r="E262" s="508">
        <v>24</v>
      </c>
      <c r="F262" s="508">
        <v>24</v>
      </c>
      <c r="G262" s="508">
        <v>24</v>
      </c>
      <c r="H262" s="508">
        <v>24</v>
      </c>
      <c r="I262" s="508">
        <v>24</v>
      </c>
      <c r="J262" s="508">
        <v>24</v>
      </c>
      <c r="K262" s="508">
        <v>24</v>
      </c>
      <c r="L262" s="508">
        <v>24</v>
      </c>
      <c r="M262" s="508">
        <v>24</v>
      </c>
      <c r="N262" s="508">
        <v>24</v>
      </c>
      <c r="O262" s="508">
        <v>24</v>
      </c>
      <c r="P262" s="508">
        <v>24</v>
      </c>
      <c r="Q262" s="508">
        <v>24</v>
      </c>
      <c r="R262" s="508">
        <v>24</v>
      </c>
      <c r="S262" s="508">
        <v>24</v>
      </c>
      <c r="T262" s="508">
        <v>24</v>
      </c>
      <c r="U262" s="508">
        <v>24</v>
      </c>
      <c r="V262" s="508">
        <v>24</v>
      </c>
      <c r="W262" s="508">
        <v>24</v>
      </c>
      <c r="X262" s="508">
        <v>24</v>
      </c>
      <c r="Y262" s="508">
        <v>24</v>
      </c>
      <c r="Z262" s="508">
        <v>24</v>
      </c>
      <c r="AA262" s="508">
        <v>24</v>
      </c>
      <c r="AB262" s="508">
        <v>24</v>
      </c>
      <c r="AC262" s="508">
        <v>24</v>
      </c>
      <c r="AD262" s="508">
        <v>24</v>
      </c>
      <c r="AE262" s="508"/>
      <c r="AF262" s="508">
        <v>24</v>
      </c>
      <c r="AG262" s="508">
        <v>24</v>
      </c>
      <c r="AH262" s="508">
        <v>24</v>
      </c>
      <c r="AI262" s="508">
        <v>24</v>
      </c>
      <c r="AJ262" s="508">
        <v>24</v>
      </c>
      <c r="AK262" s="508">
        <v>24</v>
      </c>
      <c r="AL262" s="508">
        <v>24</v>
      </c>
      <c r="AM262" s="508">
        <v>24</v>
      </c>
      <c r="AN262" s="508">
        <v>24</v>
      </c>
      <c r="AO262" s="508">
        <v>24</v>
      </c>
      <c r="AP262" s="508">
        <v>24</v>
      </c>
      <c r="AQ262" s="508">
        <v>24</v>
      </c>
      <c r="AR262" s="508">
        <v>24</v>
      </c>
      <c r="AS262" s="508">
        <v>24</v>
      </c>
      <c r="AT262" s="508">
        <v>24</v>
      </c>
      <c r="AU262" s="508">
        <v>24</v>
      </c>
      <c r="AV262" s="508">
        <v>24</v>
      </c>
      <c r="AW262" s="508">
        <v>24</v>
      </c>
      <c r="AX262" s="508">
        <v>24</v>
      </c>
      <c r="AY262" s="508">
        <v>24</v>
      </c>
      <c r="AZ262" s="508">
        <v>24</v>
      </c>
      <c r="BA262" s="508">
        <v>24</v>
      </c>
      <c r="BB262" s="508">
        <v>24</v>
      </c>
      <c r="BC262" s="508">
        <v>24</v>
      </c>
      <c r="BD262" s="508">
        <v>24</v>
      </c>
      <c r="BE262" s="508">
        <v>24</v>
      </c>
      <c r="BF262" s="508">
        <v>24</v>
      </c>
      <c r="BG262" s="490">
        <f t="shared" ref="BG262:BG299" si="56">SUM(E262:BF262)</f>
        <v>1272</v>
      </c>
      <c r="BH262" s="1056">
        <f>SUM(BG263:BG268)</f>
        <v>0</v>
      </c>
      <c r="BI262" s="491"/>
    </row>
    <row r="263" spans="1:61" ht="199.9" hidden="1" customHeight="1" thickTop="1" thickBot="1" x14ac:dyDescent="1.3">
      <c r="A263" s="1050"/>
      <c r="B263" s="502" t="s">
        <v>341</v>
      </c>
      <c r="C263" s="1052" t="s">
        <v>467</v>
      </c>
      <c r="D263" s="1052"/>
      <c r="E263" s="512"/>
      <c r="F263" s="512"/>
      <c r="G263" s="512"/>
      <c r="H263" s="512"/>
      <c r="I263" s="512"/>
      <c r="J263" s="512"/>
      <c r="K263" s="512"/>
      <c r="L263" s="512"/>
      <c r="M263" s="512"/>
      <c r="N263" s="512"/>
      <c r="O263" s="512"/>
      <c r="P263" s="512"/>
      <c r="Q263" s="512"/>
      <c r="R263" s="512"/>
      <c r="S263" s="512"/>
      <c r="T263" s="512"/>
      <c r="U263" s="512"/>
      <c r="V263" s="512"/>
      <c r="W263" s="512"/>
      <c r="X263" s="512"/>
      <c r="Y263" s="512"/>
      <c r="Z263" s="512"/>
      <c r="AA263" s="512"/>
      <c r="AB263" s="512"/>
      <c r="AC263" s="512"/>
      <c r="AD263" s="512"/>
      <c r="AE263" s="512"/>
      <c r="AF263" s="512"/>
      <c r="AG263" s="512"/>
      <c r="AH263" s="512"/>
      <c r="AI263" s="512"/>
      <c r="AJ263" s="512"/>
      <c r="AK263" s="512"/>
      <c r="AL263" s="512"/>
      <c r="AM263" s="512"/>
      <c r="AN263" s="512"/>
      <c r="AO263" s="512"/>
      <c r="AP263" s="512"/>
      <c r="AQ263" s="512"/>
      <c r="AR263" s="512"/>
      <c r="AS263" s="512"/>
      <c r="AT263" s="512"/>
      <c r="AU263" s="512"/>
      <c r="AV263" s="512"/>
      <c r="AW263" s="512"/>
      <c r="AX263" s="512"/>
      <c r="AY263" s="512"/>
      <c r="AZ263" s="512"/>
      <c r="BA263" s="512"/>
      <c r="BB263" s="512"/>
      <c r="BC263" s="512"/>
      <c r="BD263" s="512"/>
      <c r="BE263" s="512"/>
      <c r="BF263" s="512"/>
      <c r="BG263" s="495">
        <f t="shared" si="56"/>
        <v>0</v>
      </c>
      <c r="BH263" s="1056"/>
      <c r="BI263" s="496"/>
    </row>
    <row r="264" spans="1:61" ht="199.9" hidden="1" customHeight="1" thickTop="1" thickBot="1" x14ac:dyDescent="1.3">
      <c r="A264" s="1050"/>
      <c r="B264" s="502" t="s">
        <v>342</v>
      </c>
      <c r="C264" s="1052" t="s">
        <v>467</v>
      </c>
      <c r="D264" s="1052"/>
      <c r="E264" s="512"/>
      <c r="F264" s="512"/>
      <c r="G264" s="512"/>
      <c r="H264" s="512"/>
      <c r="I264" s="512"/>
      <c r="J264" s="512"/>
      <c r="K264" s="512"/>
      <c r="L264" s="512"/>
      <c r="M264" s="512"/>
      <c r="N264" s="512"/>
      <c r="O264" s="512"/>
      <c r="P264" s="512"/>
      <c r="Q264" s="512"/>
      <c r="R264" s="512"/>
      <c r="S264" s="512"/>
      <c r="T264" s="512"/>
      <c r="U264" s="512"/>
      <c r="V264" s="512"/>
      <c r="W264" s="512"/>
      <c r="X264" s="512"/>
      <c r="Y264" s="512"/>
      <c r="Z264" s="512"/>
      <c r="AA264" s="512"/>
      <c r="AB264" s="512"/>
      <c r="AC264" s="512"/>
      <c r="AD264" s="512"/>
      <c r="AE264" s="512"/>
      <c r="AF264" s="512"/>
      <c r="AG264" s="512"/>
      <c r="AH264" s="512"/>
      <c r="AI264" s="512"/>
      <c r="AJ264" s="512"/>
      <c r="AK264" s="512"/>
      <c r="AL264" s="512"/>
      <c r="AM264" s="518"/>
      <c r="AN264" s="512"/>
      <c r="AO264" s="512"/>
      <c r="AP264" s="512"/>
      <c r="AQ264" s="512"/>
      <c r="AR264" s="512"/>
      <c r="AS264" s="512"/>
      <c r="AT264" s="512"/>
      <c r="AU264" s="512"/>
      <c r="AV264" s="512"/>
      <c r="AW264" s="512"/>
      <c r="AX264" s="512"/>
      <c r="AY264" s="512"/>
      <c r="AZ264" s="512"/>
      <c r="BA264" s="512"/>
      <c r="BB264" s="512"/>
      <c r="BC264" s="512"/>
      <c r="BD264" s="512"/>
      <c r="BE264" s="512"/>
      <c r="BF264" s="512"/>
      <c r="BG264" s="495">
        <f t="shared" si="56"/>
        <v>0</v>
      </c>
      <c r="BH264" s="1056"/>
      <c r="BI264" s="496"/>
    </row>
    <row r="265" spans="1:61" ht="199.9" hidden="1" customHeight="1" thickTop="1" thickBot="1" x14ac:dyDescent="1.3">
      <c r="A265" s="1050"/>
      <c r="B265" s="502" t="s">
        <v>343</v>
      </c>
      <c r="C265" s="1052" t="s">
        <v>467</v>
      </c>
      <c r="D265" s="1052"/>
      <c r="E265" s="512"/>
      <c r="F265" s="512"/>
      <c r="G265" s="512"/>
      <c r="H265" s="512"/>
      <c r="I265" s="512"/>
      <c r="J265" s="512"/>
      <c r="K265" s="512"/>
      <c r="L265" s="512"/>
      <c r="M265" s="512"/>
      <c r="N265" s="512"/>
      <c r="O265" s="512"/>
      <c r="P265" s="512"/>
      <c r="Q265" s="512"/>
      <c r="R265" s="512"/>
      <c r="S265" s="512"/>
      <c r="T265" s="512"/>
      <c r="U265" s="512"/>
      <c r="V265" s="512"/>
      <c r="W265" s="512"/>
      <c r="X265" s="512"/>
      <c r="Y265" s="512"/>
      <c r="Z265" s="512"/>
      <c r="AA265" s="512"/>
      <c r="AB265" s="512"/>
      <c r="AC265" s="512"/>
      <c r="AD265" s="512"/>
      <c r="AE265" s="512"/>
      <c r="AF265" s="512"/>
      <c r="AG265" s="512"/>
      <c r="AH265" s="512"/>
      <c r="AI265" s="512"/>
      <c r="AJ265" s="518"/>
      <c r="AK265" s="512"/>
      <c r="AL265" s="512"/>
      <c r="AM265" s="512"/>
      <c r="AN265" s="512"/>
      <c r="AO265" s="512"/>
      <c r="AP265" s="512"/>
      <c r="AQ265" s="512"/>
      <c r="AR265" s="512"/>
      <c r="AS265" s="512"/>
      <c r="AT265" s="512"/>
      <c r="AU265" s="512"/>
      <c r="AV265" s="512"/>
      <c r="AW265" s="518"/>
      <c r="AX265" s="512"/>
      <c r="AY265" s="512"/>
      <c r="AZ265" s="512"/>
      <c r="BA265" s="512"/>
      <c r="BB265" s="512"/>
      <c r="BC265" s="512"/>
      <c r="BD265" s="512"/>
      <c r="BE265" s="512"/>
      <c r="BF265" s="512"/>
      <c r="BG265" s="495">
        <f t="shared" si="56"/>
        <v>0</v>
      </c>
      <c r="BH265" s="1056"/>
      <c r="BI265" s="496"/>
    </row>
    <row r="266" spans="1:61" ht="199.9" hidden="1" customHeight="1" thickTop="1" thickBot="1" x14ac:dyDescent="1.3">
      <c r="A266" s="1050"/>
      <c r="B266" s="502" t="s">
        <v>344</v>
      </c>
      <c r="C266" s="1052" t="s">
        <v>467</v>
      </c>
      <c r="D266" s="1052"/>
      <c r="E266" s="512"/>
      <c r="F266" s="512"/>
      <c r="G266" s="512"/>
      <c r="H266" s="518"/>
      <c r="I266" s="512"/>
      <c r="J266" s="512"/>
      <c r="K266" s="512"/>
      <c r="L266" s="512"/>
      <c r="M266" s="518"/>
      <c r="N266" s="512"/>
      <c r="O266" s="512"/>
      <c r="P266" s="512"/>
      <c r="Q266" s="512"/>
      <c r="R266" s="512"/>
      <c r="S266" s="512"/>
      <c r="T266" s="512"/>
      <c r="U266" s="512"/>
      <c r="V266" s="512"/>
      <c r="W266" s="512"/>
      <c r="X266" s="512"/>
      <c r="Y266" s="512"/>
      <c r="Z266" s="512"/>
      <c r="AA266" s="512"/>
      <c r="AB266" s="512"/>
      <c r="AC266" s="512"/>
      <c r="AD266" s="512"/>
      <c r="AE266" s="512"/>
      <c r="AF266" s="512"/>
      <c r="AG266" s="512"/>
      <c r="AH266" s="512"/>
      <c r="AI266" s="518"/>
      <c r="AJ266" s="512"/>
      <c r="AK266" s="512"/>
      <c r="AL266" s="512"/>
      <c r="AM266" s="518"/>
      <c r="AN266" s="512"/>
      <c r="AO266" s="512"/>
      <c r="AP266" s="512"/>
      <c r="AQ266" s="512"/>
      <c r="AR266" s="512"/>
      <c r="AS266" s="518"/>
      <c r="AT266" s="512"/>
      <c r="AU266" s="512"/>
      <c r="AV266" s="512"/>
      <c r="AW266" s="512"/>
      <c r="AX266" s="512"/>
      <c r="AY266" s="512"/>
      <c r="AZ266" s="518"/>
      <c r="BA266" s="518"/>
      <c r="BB266" s="512"/>
      <c r="BC266" s="518"/>
      <c r="BD266" s="518"/>
      <c r="BE266" s="518"/>
      <c r="BF266" s="512"/>
      <c r="BG266" s="495">
        <f t="shared" si="56"/>
        <v>0</v>
      </c>
      <c r="BH266" s="1056"/>
      <c r="BI266" s="496"/>
    </row>
    <row r="267" spans="1:61" ht="199.9" hidden="1" customHeight="1" thickTop="1" thickBot="1" x14ac:dyDescent="1.3">
      <c r="A267" s="1050"/>
      <c r="B267" s="502" t="s">
        <v>345</v>
      </c>
      <c r="C267" s="1052" t="s">
        <v>467</v>
      </c>
      <c r="D267" s="1052"/>
      <c r="E267" s="512"/>
      <c r="F267" s="512"/>
      <c r="G267" s="512"/>
      <c r="H267" s="512"/>
      <c r="I267" s="512"/>
      <c r="J267" s="512"/>
      <c r="K267" s="512"/>
      <c r="L267" s="512"/>
      <c r="M267" s="512"/>
      <c r="N267" s="512"/>
      <c r="O267" s="512"/>
      <c r="P267" s="512"/>
      <c r="Q267" s="512"/>
      <c r="R267" s="512"/>
      <c r="S267" s="512"/>
      <c r="T267" s="512"/>
      <c r="U267" s="512"/>
      <c r="V267" s="512"/>
      <c r="W267" s="512"/>
      <c r="X267" s="512"/>
      <c r="Y267" s="512"/>
      <c r="Z267" s="512"/>
      <c r="AA267" s="512"/>
      <c r="AB267" s="512"/>
      <c r="AC267" s="512"/>
      <c r="AD267" s="512"/>
      <c r="AE267" s="512"/>
      <c r="AF267" s="512"/>
      <c r="AG267" s="512"/>
      <c r="AH267" s="512"/>
      <c r="AI267" s="512"/>
      <c r="AJ267" s="512"/>
      <c r="AK267" s="512"/>
      <c r="AL267" s="512"/>
      <c r="AM267" s="518"/>
      <c r="AN267" s="512"/>
      <c r="AO267" s="512"/>
      <c r="AP267" s="512"/>
      <c r="AQ267" s="512"/>
      <c r="AR267" s="512"/>
      <c r="AS267" s="512"/>
      <c r="AT267" s="512"/>
      <c r="AU267" s="512"/>
      <c r="AV267" s="512"/>
      <c r="AW267" s="518"/>
      <c r="AX267" s="512"/>
      <c r="AY267" s="512"/>
      <c r="AZ267" s="512"/>
      <c r="BA267" s="512"/>
      <c r="BB267" s="512"/>
      <c r="BC267" s="512"/>
      <c r="BD267" s="512"/>
      <c r="BE267" s="512"/>
      <c r="BF267" s="512"/>
      <c r="BG267" s="495">
        <f t="shared" si="56"/>
        <v>0</v>
      </c>
      <c r="BH267" s="1056"/>
      <c r="BI267" s="496"/>
    </row>
    <row r="268" spans="1:61" ht="199.9" hidden="1" customHeight="1" thickTop="1" thickBot="1" x14ac:dyDescent="1.3">
      <c r="A268" s="1050"/>
      <c r="B268" s="502" t="s">
        <v>346</v>
      </c>
      <c r="C268" s="1052" t="s">
        <v>467</v>
      </c>
      <c r="D268" s="1052"/>
      <c r="E268" s="512"/>
      <c r="F268" s="512"/>
      <c r="G268" s="512"/>
      <c r="H268" s="518"/>
      <c r="I268" s="512"/>
      <c r="J268" s="512"/>
      <c r="K268" s="512"/>
      <c r="L268" s="512"/>
      <c r="M268" s="518"/>
      <c r="N268" s="518"/>
      <c r="O268" s="512"/>
      <c r="P268" s="512"/>
      <c r="Q268" s="512"/>
      <c r="R268" s="512"/>
      <c r="S268" s="512"/>
      <c r="T268" s="512"/>
      <c r="U268" s="512"/>
      <c r="V268" s="512"/>
      <c r="W268" s="512"/>
      <c r="X268" s="512"/>
      <c r="Y268" s="512"/>
      <c r="Z268" s="512"/>
      <c r="AA268" s="512"/>
      <c r="AB268" s="512"/>
      <c r="AC268" s="512"/>
      <c r="AD268" s="512"/>
      <c r="AE268" s="512"/>
      <c r="AF268" s="512"/>
      <c r="AG268" s="512"/>
      <c r="AH268" s="512"/>
      <c r="AI268" s="518"/>
      <c r="AJ268" s="512"/>
      <c r="AK268" s="512"/>
      <c r="AL268" s="512"/>
      <c r="AM268" s="518"/>
      <c r="AN268" s="512"/>
      <c r="AO268" s="512"/>
      <c r="AP268" s="512"/>
      <c r="AQ268" s="512"/>
      <c r="AR268" s="512"/>
      <c r="AS268" s="518"/>
      <c r="AT268" s="512"/>
      <c r="AU268" s="512"/>
      <c r="AV268" s="512"/>
      <c r="AW268" s="518"/>
      <c r="AX268" s="512"/>
      <c r="AY268" s="512"/>
      <c r="AZ268" s="518"/>
      <c r="BA268" s="518"/>
      <c r="BB268" s="512"/>
      <c r="BC268" s="512"/>
      <c r="BD268" s="518"/>
      <c r="BE268" s="518"/>
      <c r="BF268" s="512"/>
      <c r="BG268" s="495">
        <f t="shared" si="56"/>
        <v>0</v>
      </c>
      <c r="BH268" s="1056"/>
      <c r="BI268" s="496"/>
    </row>
    <row r="269" spans="1:61" ht="199.9" hidden="1" customHeight="1" thickTop="1" thickBot="1" x14ac:dyDescent="1.3">
      <c r="A269" s="1050"/>
      <c r="B269" s="502" t="s">
        <v>341</v>
      </c>
      <c r="C269" s="1052" t="s">
        <v>468</v>
      </c>
      <c r="D269" s="1052"/>
      <c r="E269" s="512"/>
      <c r="F269" s="512"/>
      <c r="G269" s="512"/>
      <c r="H269" s="512"/>
      <c r="I269" s="512"/>
      <c r="J269" s="512"/>
      <c r="K269" s="512"/>
      <c r="L269" s="512"/>
      <c r="M269" s="512"/>
      <c r="N269" s="512"/>
      <c r="O269" s="512"/>
      <c r="P269" s="512"/>
      <c r="Q269" s="512"/>
      <c r="R269" s="512"/>
      <c r="S269" s="512"/>
      <c r="T269" s="512"/>
      <c r="U269" s="512"/>
      <c r="V269" s="512"/>
      <c r="W269" s="518"/>
      <c r="X269" s="512"/>
      <c r="Y269" s="518"/>
      <c r="Z269" s="512"/>
      <c r="AA269" s="518"/>
      <c r="AB269" s="518"/>
      <c r="AC269" s="518"/>
      <c r="AD269" s="512"/>
      <c r="AE269" s="512"/>
      <c r="AF269" s="512"/>
      <c r="AG269" s="512"/>
      <c r="AH269" s="512"/>
      <c r="AI269" s="518"/>
      <c r="AJ269" s="518"/>
      <c r="AK269" s="512"/>
      <c r="AL269" s="512"/>
      <c r="AM269" s="512"/>
      <c r="AN269" s="512"/>
      <c r="AO269" s="512"/>
      <c r="AP269" s="512"/>
      <c r="AQ269" s="512"/>
      <c r="AR269" s="512"/>
      <c r="AS269" s="512"/>
      <c r="AT269" s="512"/>
      <c r="AU269" s="512"/>
      <c r="AV269" s="518"/>
      <c r="AW269" s="512"/>
      <c r="AX269" s="512"/>
      <c r="AY269" s="518"/>
      <c r="BB269" s="512"/>
      <c r="BC269" s="512"/>
      <c r="BD269" s="512"/>
      <c r="BE269" s="512"/>
      <c r="BF269" s="512"/>
      <c r="BG269" s="495">
        <f t="shared" si="56"/>
        <v>0</v>
      </c>
      <c r="BH269" s="1056">
        <f>SUM(BG269:BG274)</f>
        <v>0</v>
      </c>
      <c r="BI269" s="496">
        <f>BG269/4</f>
        <v>0</v>
      </c>
    </row>
    <row r="270" spans="1:61" ht="199.9" hidden="1" customHeight="1" thickTop="1" thickBot="1" x14ac:dyDescent="1.3">
      <c r="A270" s="1050"/>
      <c r="B270" s="502" t="s">
        <v>342</v>
      </c>
      <c r="C270" s="1052" t="s">
        <v>468</v>
      </c>
      <c r="D270" s="1052"/>
      <c r="E270" s="512"/>
      <c r="F270" s="512"/>
      <c r="G270" s="512"/>
      <c r="H270" s="512"/>
      <c r="I270" s="512"/>
      <c r="J270" s="512"/>
      <c r="K270" s="512"/>
      <c r="L270" s="512"/>
      <c r="M270" s="512"/>
      <c r="N270" s="512"/>
      <c r="O270" s="512"/>
      <c r="P270" s="512"/>
      <c r="Q270" s="512"/>
      <c r="R270" s="512"/>
      <c r="S270" s="512"/>
      <c r="T270" s="512"/>
      <c r="U270" s="512"/>
      <c r="V270" s="512"/>
      <c r="W270" s="518"/>
      <c r="X270" s="512"/>
      <c r="Y270" s="518"/>
      <c r="Z270" s="512"/>
      <c r="AA270" s="518"/>
      <c r="AB270" s="518"/>
      <c r="AC270" s="518"/>
      <c r="AD270" s="512"/>
      <c r="AE270" s="512"/>
      <c r="AF270" s="512"/>
      <c r="AG270" s="512"/>
      <c r="AH270" s="512"/>
      <c r="AI270" s="518"/>
      <c r="AJ270" s="518"/>
      <c r="AK270" s="512"/>
      <c r="AL270" s="512"/>
      <c r="AM270" s="512"/>
      <c r="AN270" s="512"/>
      <c r="AO270" s="512"/>
      <c r="AP270" s="512"/>
      <c r="AQ270" s="512"/>
      <c r="AR270" s="512"/>
      <c r="AS270" s="512"/>
      <c r="AT270" s="512"/>
      <c r="AU270" s="512"/>
      <c r="AV270" s="518"/>
      <c r="AW270" s="512"/>
      <c r="AX270" s="512"/>
      <c r="AY270" s="518"/>
      <c r="BB270" s="512"/>
      <c r="BC270" s="512"/>
      <c r="BD270" s="512"/>
      <c r="BE270" s="512"/>
      <c r="BF270" s="512"/>
      <c r="BG270" s="495">
        <f t="shared" si="56"/>
        <v>0</v>
      </c>
      <c r="BH270" s="1056"/>
      <c r="BI270" s="496">
        <f t="shared" ref="BI270:BI274" si="57">BG270/4</f>
        <v>0</v>
      </c>
    </row>
    <row r="271" spans="1:61" ht="199.9" hidden="1" customHeight="1" thickTop="1" thickBot="1" x14ac:dyDescent="1.3">
      <c r="A271" s="1050"/>
      <c r="B271" s="502" t="s">
        <v>343</v>
      </c>
      <c r="C271" s="1052" t="s">
        <v>468</v>
      </c>
      <c r="D271" s="1052"/>
      <c r="E271" s="512"/>
      <c r="F271" s="512"/>
      <c r="G271" s="512"/>
      <c r="H271" s="512"/>
      <c r="I271" s="512"/>
      <c r="J271" s="512"/>
      <c r="K271" s="512"/>
      <c r="L271" s="512"/>
      <c r="M271" s="512"/>
      <c r="N271" s="512"/>
      <c r="O271" s="512"/>
      <c r="P271" s="512"/>
      <c r="Q271" s="512"/>
      <c r="R271" s="512"/>
      <c r="S271" s="512"/>
      <c r="T271" s="512"/>
      <c r="U271" s="512"/>
      <c r="V271" s="512"/>
      <c r="W271" s="518"/>
      <c r="X271" s="512"/>
      <c r="Y271" s="518"/>
      <c r="Z271" s="512"/>
      <c r="AA271" s="518"/>
      <c r="AB271" s="518"/>
      <c r="AC271" s="518"/>
      <c r="AD271" s="512"/>
      <c r="AE271" s="512"/>
      <c r="AF271" s="512"/>
      <c r="AG271" s="512"/>
      <c r="AH271" s="512"/>
      <c r="AI271" s="518"/>
      <c r="AJ271" s="518"/>
      <c r="AK271" s="512"/>
      <c r="AL271" s="512"/>
      <c r="AM271" s="512"/>
      <c r="AN271" s="512"/>
      <c r="AO271" s="512"/>
      <c r="AP271" s="512"/>
      <c r="AQ271" s="512"/>
      <c r="AR271" s="512"/>
      <c r="AS271" s="512"/>
      <c r="AT271" s="512"/>
      <c r="AU271" s="512"/>
      <c r="AV271" s="518"/>
      <c r="AW271" s="512"/>
      <c r="AX271" s="512"/>
      <c r="AY271" s="518"/>
      <c r="BB271" s="512"/>
      <c r="BC271" s="512"/>
      <c r="BD271" s="512"/>
      <c r="BE271" s="512"/>
      <c r="BF271" s="512"/>
      <c r="BG271" s="495">
        <f t="shared" si="56"/>
        <v>0</v>
      </c>
      <c r="BH271" s="1056"/>
      <c r="BI271" s="496">
        <f t="shared" si="57"/>
        <v>0</v>
      </c>
    </row>
    <row r="272" spans="1:61" ht="199.9" hidden="1" customHeight="1" thickTop="1" thickBot="1" x14ac:dyDescent="1.3">
      <c r="A272" s="1050"/>
      <c r="B272" s="502" t="s">
        <v>344</v>
      </c>
      <c r="C272" s="1052" t="s">
        <v>468</v>
      </c>
      <c r="D272" s="1052"/>
      <c r="E272" s="518"/>
      <c r="F272" s="518"/>
      <c r="G272" s="512"/>
      <c r="H272" s="518"/>
      <c r="I272" s="512"/>
      <c r="J272" s="512"/>
      <c r="K272" s="512"/>
      <c r="L272" s="512"/>
      <c r="M272" s="512"/>
      <c r="N272" s="512"/>
      <c r="O272" s="512"/>
      <c r="P272" s="512"/>
      <c r="Q272" s="518"/>
      <c r="R272" s="512"/>
      <c r="S272" s="512"/>
      <c r="T272" s="518"/>
      <c r="U272" s="518"/>
      <c r="V272" s="518"/>
      <c r="W272" s="518"/>
      <c r="X272" s="512"/>
      <c r="Y272" s="518"/>
      <c r="Z272" s="512"/>
      <c r="AA272" s="518"/>
      <c r="AB272" s="518"/>
      <c r="AC272" s="518"/>
      <c r="AD272" s="512"/>
      <c r="AE272" s="512"/>
      <c r="AF272" s="512"/>
      <c r="AG272" s="512"/>
      <c r="AH272" s="512"/>
      <c r="AI272" s="518"/>
      <c r="AJ272" s="518"/>
      <c r="AK272" s="512"/>
      <c r="AL272" s="512"/>
      <c r="AM272" s="512"/>
      <c r="AN272" s="512"/>
      <c r="AO272" s="512"/>
      <c r="AP272" s="512"/>
      <c r="AQ272" s="518"/>
      <c r="AR272" s="518"/>
      <c r="AS272" s="518"/>
      <c r="AT272" s="518"/>
      <c r="AU272" s="518"/>
      <c r="AV272" s="518"/>
      <c r="AW272" s="518"/>
      <c r="AX272" s="512"/>
      <c r="AY272" s="518"/>
      <c r="BB272" s="518"/>
      <c r="BC272" s="518"/>
      <c r="BD272" s="518"/>
      <c r="BE272" s="518"/>
      <c r="BF272" s="518"/>
      <c r="BG272" s="495">
        <f t="shared" si="56"/>
        <v>0</v>
      </c>
      <c r="BH272" s="1056"/>
      <c r="BI272" s="496">
        <f t="shared" si="57"/>
        <v>0</v>
      </c>
    </row>
    <row r="273" spans="1:61" ht="199.9" hidden="1" customHeight="1" thickTop="1" thickBot="1" x14ac:dyDescent="1.3">
      <c r="A273" s="1050"/>
      <c r="B273" s="502" t="s">
        <v>345</v>
      </c>
      <c r="C273" s="1052" t="s">
        <v>468</v>
      </c>
      <c r="D273" s="1052"/>
      <c r="E273" s="512"/>
      <c r="F273" s="512"/>
      <c r="G273" s="512"/>
      <c r="H273" s="512"/>
      <c r="I273" s="512"/>
      <c r="J273" s="512"/>
      <c r="K273" s="512"/>
      <c r="L273" s="512"/>
      <c r="M273" s="512"/>
      <c r="N273" s="512"/>
      <c r="O273" s="512"/>
      <c r="P273" s="512"/>
      <c r="Q273" s="512"/>
      <c r="R273" s="512"/>
      <c r="S273" s="512"/>
      <c r="T273" s="512"/>
      <c r="U273" s="512"/>
      <c r="V273" s="512"/>
      <c r="W273" s="518"/>
      <c r="X273" s="512"/>
      <c r="Y273" s="518"/>
      <c r="Z273" s="512"/>
      <c r="AA273" s="518"/>
      <c r="AB273" s="518"/>
      <c r="AC273" s="518"/>
      <c r="AD273" s="512"/>
      <c r="AE273" s="512"/>
      <c r="AF273" s="512"/>
      <c r="AG273" s="512"/>
      <c r="AH273" s="512"/>
      <c r="AI273" s="518"/>
      <c r="AJ273" s="518"/>
      <c r="AK273" s="512"/>
      <c r="AL273" s="512"/>
      <c r="AM273" s="512"/>
      <c r="AN273" s="512"/>
      <c r="AO273" s="512"/>
      <c r="AP273" s="512"/>
      <c r="AQ273" s="512"/>
      <c r="AR273" s="512"/>
      <c r="AS273" s="512"/>
      <c r="AT273" s="512"/>
      <c r="AU273" s="512"/>
      <c r="AV273" s="518"/>
      <c r="AW273" s="512"/>
      <c r="AX273" s="512"/>
      <c r="AY273" s="518"/>
      <c r="BB273" s="512"/>
      <c r="BC273" s="512"/>
      <c r="BD273" s="512"/>
      <c r="BE273" s="512"/>
      <c r="BF273" s="512"/>
      <c r="BG273" s="495">
        <f t="shared" si="56"/>
        <v>0</v>
      </c>
      <c r="BH273" s="1056"/>
      <c r="BI273" s="496">
        <f t="shared" si="57"/>
        <v>0</v>
      </c>
    </row>
    <row r="274" spans="1:61" ht="199.9" hidden="1" customHeight="1" thickTop="1" thickBot="1" x14ac:dyDescent="1.3">
      <c r="A274" s="1050"/>
      <c r="B274" s="502" t="s">
        <v>346</v>
      </c>
      <c r="C274" s="1052" t="s">
        <v>468</v>
      </c>
      <c r="D274" s="1052"/>
      <c r="E274" s="518"/>
      <c r="F274" s="518"/>
      <c r="G274" s="512"/>
      <c r="H274" s="518"/>
      <c r="I274" s="512"/>
      <c r="J274" s="512"/>
      <c r="K274" s="512"/>
      <c r="L274" s="512"/>
      <c r="M274" s="512"/>
      <c r="N274" s="512"/>
      <c r="O274" s="512"/>
      <c r="P274" s="512"/>
      <c r="Q274" s="518"/>
      <c r="R274" s="512"/>
      <c r="S274" s="512"/>
      <c r="T274" s="518"/>
      <c r="U274" s="518"/>
      <c r="V274" s="518"/>
      <c r="W274" s="518"/>
      <c r="X274" s="512"/>
      <c r="Y274" s="518"/>
      <c r="Z274" s="512"/>
      <c r="AA274" s="518"/>
      <c r="AB274" s="518"/>
      <c r="AC274" s="518"/>
      <c r="AD274" s="512"/>
      <c r="AE274" s="512"/>
      <c r="AF274" s="512"/>
      <c r="AG274" s="512"/>
      <c r="AH274" s="512"/>
      <c r="AI274" s="518"/>
      <c r="AJ274" s="518"/>
      <c r="AK274" s="512"/>
      <c r="AL274" s="512"/>
      <c r="AM274" s="512"/>
      <c r="AN274" s="512"/>
      <c r="AO274" s="512"/>
      <c r="AP274" s="512"/>
      <c r="AQ274" s="518"/>
      <c r="AR274" s="518"/>
      <c r="AS274" s="518"/>
      <c r="AT274" s="518"/>
      <c r="AU274" s="518"/>
      <c r="AV274" s="518"/>
      <c r="AW274" s="518"/>
      <c r="AX274" s="512"/>
      <c r="AY274" s="518"/>
      <c r="BB274" s="518"/>
      <c r="BC274" s="518"/>
      <c r="BD274" s="518"/>
      <c r="BE274" s="518"/>
      <c r="BF274" s="518"/>
      <c r="BG274" s="495">
        <f t="shared" si="56"/>
        <v>0</v>
      </c>
      <c r="BH274" s="1056"/>
      <c r="BI274" s="496">
        <f t="shared" si="57"/>
        <v>0</v>
      </c>
    </row>
    <row r="275" spans="1:61" ht="199.9" customHeight="1" thickTop="1" thickBot="1" x14ac:dyDescent="1.3">
      <c r="A275" s="1050"/>
      <c r="B275" s="502" t="s">
        <v>341</v>
      </c>
      <c r="C275" s="1052" t="s">
        <v>533</v>
      </c>
      <c r="D275" s="1052"/>
      <c r="E275" s="734"/>
      <c r="F275" s="734"/>
      <c r="G275" s="734"/>
      <c r="H275" s="734"/>
      <c r="I275" s="734"/>
      <c r="J275" s="734"/>
      <c r="K275" s="734"/>
      <c r="L275" s="734"/>
      <c r="M275" s="734"/>
      <c r="N275" s="734"/>
      <c r="O275" s="734"/>
      <c r="P275" s="734"/>
      <c r="Q275" s="734"/>
      <c r="R275" s="734"/>
      <c r="S275" s="734"/>
      <c r="T275" s="734"/>
      <c r="U275" s="758">
        <v>4</v>
      </c>
      <c r="V275" s="758">
        <v>4</v>
      </c>
      <c r="W275" s="734"/>
      <c r="X275" s="734"/>
      <c r="Y275" s="734"/>
      <c r="Z275" s="734"/>
      <c r="AA275" s="734"/>
      <c r="AB275" s="734"/>
      <c r="AC275" s="734"/>
      <c r="AD275" s="734"/>
      <c r="AE275" s="734"/>
      <c r="AF275" s="734"/>
      <c r="AG275" s="734"/>
      <c r="AH275" s="734"/>
      <c r="AI275" s="734"/>
      <c r="AJ275" s="734"/>
      <c r="AK275" s="734"/>
      <c r="AL275" s="734"/>
      <c r="AM275" s="734"/>
      <c r="AN275" s="734"/>
      <c r="AO275" s="734"/>
      <c r="AP275" s="734"/>
      <c r="AQ275" s="734"/>
      <c r="AR275" s="734"/>
      <c r="AS275" s="734"/>
      <c r="AT275" s="734"/>
      <c r="AU275" s="734"/>
      <c r="AV275" s="734"/>
      <c r="AW275" s="734"/>
      <c r="AX275" s="734"/>
      <c r="AY275" s="734"/>
      <c r="AZ275" s="734"/>
      <c r="BA275" s="734"/>
      <c r="BB275" s="734"/>
      <c r="BC275" s="734"/>
      <c r="BD275" s="734"/>
      <c r="BE275" s="734"/>
      <c r="BF275" s="734"/>
      <c r="BG275" s="495">
        <f>SUM(E275:BF275)</f>
        <v>8</v>
      </c>
      <c r="BH275" s="1056">
        <f>SUM(BG275:BG280)</f>
        <v>48</v>
      </c>
      <c r="BI275" s="496">
        <f>BG275/4</f>
        <v>2</v>
      </c>
    </row>
    <row r="276" spans="1:61" ht="199.9" customHeight="1" thickTop="1" thickBot="1" x14ac:dyDescent="1.3">
      <c r="A276" s="1050"/>
      <c r="B276" s="502" t="s">
        <v>342</v>
      </c>
      <c r="C276" s="1052" t="s">
        <v>533</v>
      </c>
      <c r="D276" s="1052"/>
      <c r="E276" s="734"/>
      <c r="F276" s="734"/>
      <c r="G276" s="734"/>
      <c r="H276" s="734"/>
      <c r="I276" s="734"/>
      <c r="J276" s="734"/>
      <c r="K276" s="734"/>
      <c r="L276" s="734"/>
      <c r="M276" s="734"/>
      <c r="N276" s="734"/>
      <c r="O276" s="734"/>
      <c r="P276" s="734"/>
      <c r="Q276" s="734"/>
      <c r="R276" s="734"/>
      <c r="S276" s="734"/>
      <c r="T276" s="734"/>
      <c r="U276" s="758">
        <v>4</v>
      </c>
      <c r="V276" s="758">
        <v>4</v>
      </c>
      <c r="W276" s="734"/>
      <c r="X276" s="734"/>
      <c r="Y276" s="734"/>
      <c r="Z276" s="734"/>
      <c r="AA276" s="734"/>
      <c r="AB276" s="734"/>
      <c r="AC276" s="734"/>
      <c r="AD276" s="734"/>
      <c r="AE276" s="734"/>
      <c r="AF276" s="734"/>
      <c r="AG276" s="734"/>
      <c r="AH276" s="734"/>
      <c r="AI276" s="734"/>
      <c r="AJ276" s="518"/>
      <c r="AK276" s="518"/>
      <c r="AL276" s="518"/>
      <c r="AM276" s="518"/>
      <c r="AN276" s="518"/>
      <c r="AO276" s="518"/>
      <c r="AP276" s="734"/>
      <c r="AQ276" s="518"/>
      <c r="AR276" s="734"/>
      <c r="AS276" s="734"/>
      <c r="AT276" s="734"/>
      <c r="AU276" s="734"/>
      <c r="AV276" s="734"/>
      <c r="AW276" s="734"/>
      <c r="AX276" s="734"/>
      <c r="AY276" s="734"/>
      <c r="AZ276" s="734"/>
      <c r="BA276" s="734"/>
      <c r="BB276" s="734"/>
      <c r="BC276" s="734"/>
      <c r="BD276" s="734"/>
      <c r="BE276" s="734"/>
      <c r="BF276" s="734"/>
      <c r="BG276" s="495">
        <f>SUM(E276:BF276)</f>
        <v>8</v>
      </c>
      <c r="BH276" s="1056"/>
      <c r="BI276" s="496">
        <f t="shared" ref="BI276:BI280" si="58">BG276/4</f>
        <v>2</v>
      </c>
    </row>
    <row r="277" spans="1:61" ht="199.9" customHeight="1" thickTop="1" thickBot="1" x14ac:dyDescent="1.3">
      <c r="A277" s="1050"/>
      <c r="B277" s="502" t="s">
        <v>343</v>
      </c>
      <c r="C277" s="1052" t="s">
        <v>533</v>
      </c>
      <c r="D277" s="1052"/>
      <c r="E277" s="734"/>
      <c r="F277" s="734"/>
      <c r="G277" s="734"/>
      <c r="H277" s="734"/>
      <c r="I277" s="734"/>
      <c r="J277" s="734"/>
      <c r="K277" s="734"/>
      <c r="L277" s="734"/>
      <c r="M277" s="734"/>
      <c r="N277" s="734"/>
      <c r="O277" s="734"/>
      <c r="P277" s="734"/>
      <c r="Q277" s="734"/>
      <c r="R277" s="734"/>
      <c r="S277" s="734"/>
      <c r="T277" s="734"/>
      <c r="U277" s="758">
        <v>4</v>
      </c>
      <c r="V277" s="758">
        <v>4</v>
      </c>
      <c r="W277" s="734"/>
      <c r="X277" s="734"/>
      <c r="Y277" s="734"/>
      <c r="Z277" s="734"/>
      <c r="AA277" s="734"/>
      <c r="AB277" s="734"/>
      <c r="AC277" s="734"/>
      <c r="AD277" s="734"/>
      <c r="AE277" s="734"/>
      <c r="AF277" s="734"/>
      <c r="AG277" s="734"/>
      <c r="AH277" s="734"/>
      <c r="AI277" s="734"/>
      <c r="AJ277" s="734"/>
      <c r="AK277" s="734"/>
      <c r="AL277" s="734"/>
      <c r="AM277" s="734"/>
      <c r="AN277" s="734"/>
      <c r="AO277" s="734"/>
      <c r="AP277" s="734"/>
      <c r="AQ277" s="734"/>
      <c r="AR277" s="518"/>
      <c r="AS277" s="518"/>
      <c r="AT277" s="518"/>
      <c r="AU277" s="518"/>
      <c r="AV277" s="518"/>
      <c r="AW277" s="734"/>
      <c r="AX277" s="734"/>
      <c r="AY277" s="734"/>
      <c r="AZ277" s="734"/>
      <c r="BA277" s="734"/>
      <c r="BB277" s="734"/>
      <c r="BC277" s="734"/>
      <c r="BD277" s="734"/>
      <c r="BE277" s="734"/>
      <c r="BF277" s="734"/>
      <c r="BG277" s="495">
        <f t="shared" ref="BG277:BG280" si="59">SUM(E277:BF277)</f>
        <v>8</v>
      </c>
      <c r="BH277" s="1056"/>
      <c r="BI277" s="496">
        <f t="shared" si="58"/>
        <v>2</v>
      </c>
    </row>
    <row r="278" spans="1:61" ht="199.9" customHeight="1" thickTop="1" thickBot="1" x14ac:dyDescent="1.3">
      <c r="A278" s="1050"/>
      <c r="B278" s="502" t="s">
        <v>344</v>
      </c>
      <c r="C278" s="1052" t="s">
        <v>533</v>
      </c>
      <c r="D278" s="1052"/>
      <c r="E278" s="518"/>
      <c r="F278" s="518"/>
      <c r="G278" s="518"/>
      <c r="H278" s="518"/>
      <c r="I278" s="518"/>
      <c r="J278" s="518"/>
      <c r="K278" s="518"/>
      <c r="L278" s="518"/>
      <c r="M278" s="518"/>
      <c r="N278" s="518"/>
      <c r="O278" s="518"/>
      <c r="P278" s="518"/>
      <c r="Q278" s="518"/>
      <c r="R278" s="518"/>
      <c r="S278" s="518"/>
      <c r="T278" s="518"/>
      <c r="U278" s="518">
        <v>4</v>
      </c>
      <c r="V278" s="518">
        <v>4</v>
      </c>
      <c r="W278" s="518"/>
      <c r="X278" s="518"/>
      <c r="Y278" s="518"/>
      <c r="Z278" s="518"/>
      <c r="AA278" s="518"/>
      <c r="AB278" s="518"/>
      <c r="AC278" s="518"/>
      <c r="AD278" s="518"/>
      <c r="AE278" s="518"/>
      <c r="AF278" s="518"/>
      <c r="AG278" s="518"/>
      <c r="AH278" s="518"/>
      <c r="AI278" s="734"/>
      <c r="AJ278" s="518"/>
      <c r="AK278" s="518"/>
      <c r="AL278" s="518"/>
      <c r="AM278" s="518"/>
      <c r="AN278" s="518"/>
      <c r="AO278" s="518"/>
      <c r="AP278" s="734"/>
      <c r="AQ278" s="518"/>
      <c r="AR278" s="734"/>
      <c r="AS278" s="734"/>
      <c r="AT278" s="734"/>
      <c r="AU278" s="734"/>
      <c r="AV278" s="734"/>
      <c r="AW278" s="518"/>
      <c r="AX278" s="518"/>
      <c r="AY278" s="518"/>
      <c r="AZ278" s="518"/>
      <c r="BA278" s="518"/>
      <c r="BB278" s="518"/>
      <c r="BC278" s="518"/>
      <c r="BD278" s="518"/>
      <c r="BE278" s="518"/>
      <c r="BF278" s="518"/>
      <c r="BG278" s="495">
        <f t="shared" si="59"/>
        <v>8</v>
      </c>
      <c r="BH278" s="1056"/>
      <c r="BI278" s="496">
        <f t="shared" si="58"/>
        <v>2</v>
      </c>
    </row>
    <row r="279" spans="1:61" ht="199.9" customHeight="1" thickTop="1" thickBot="1" x14ac:dyDescent="1.3">
      <c r="A279" s="1050"/>
      <c r="B279" s="502" t="s">
        <v>345</v>
      </c>
      <c r="C279" s="1052" t="s">
        <v>533</v>
      </c>
      <c r="D279" s="1052"/>
      <c r="E279" s="734"/>
      <c r="F279" s="734"/>
      <c r="G279" s="734"/>
      <c r="H279" s="734"/>
      <c r="I279" s="734"/>
      <c r="J279" s="734"/>
      <c r="K279" s="734"/>
      <c r="L279" s="734"/>
      <c r="M279" s="734"/>
      <c r="N279" s="734"/>
      <c r="O279" s="734"/>
      <c r="P279" s="734"/>
      <c r="Q279" s="734"/>
      <c r="R279" s="734"/>
      <c r="S279" s="734"/>
      <c r="T279" s="734"/>
      <c r="U279" s="758">
        <v>4</v>
      </c>
      <c r="V279" s="758">
        <v>4</v>
      </c>
      <c r="W279" s="734"/>
      <c r="X279" s="734"/>
      <c r="Y279" s="734"/>
      <c r="Z279" s="734"/>
      <c r="AA279" s="734"/>
      <c r="AB279" s="734"/>
      <c r="AC279" s="734"/>
      <c r="AD279" s="734"/>
      <c r="AE279" s="734"/>
      <c r="AF279" s="734"/>
      <c r="AG279" s="734"/>
      <c r="AH279" s="734"/>
      <c r="AI279" s="734"/>
      <c r="AJ279" s="734"/>
      <c r="AK279" s="734"/>
      <c r="AL279" s="734"/>
      <c r="AM279" s="734"/>
      <c r="AN279" s="734"/>
      <c r="AO279" s="734"/>
      <c r="AP279" s="734"/>
      <c r="AQ279" s="734"/>
      <c r="AR279" s="518"/>
      <c r="AS279" s="518"/>
      <c r="AT279" s="518"/>
      <c r="AU279" s="518"/>
      <c r="AV279" s="518"/>
      <c r="AW279" s="734"/>
      <c r="AX279" s="734"/>
      <c r="AY279" s="734"/>
      <c r="AZ279" s="734"/>
      <c r="BA279" s="734"/>
      <c r="BB279" s="734"/>
      <c r="BC279" s="734"/>
      <c r="BD279" s="734"/>
      <c r="BE279" s="734"/>
      <c r="BF279" s="734"/>
      <c r="BG279" s="495">
        <f t="shared" si="59"/>
        <v>8</v>
      </c>
      <c r="BH279" s="1056"/>
      <c r="BI279" s="496">
        <f t="shared" si="58"/>
        <v>2</v>
      </c>
    </row>
    <row r="280" spans="1:61" ht="199.9" customHeight="1" thickTop="1" thickBot="1" x14ac:dyDescent="1.3">
      <c r="A280" s="1050"/>
      <c r="B280" s="502" t="s">
        <v>346</v>
      </c>
      <c r="C280" s="1052" t="s">
        <v>533</v>
      </c>
      <c r="D280" s="1052"/>
      <c r="E280" s="518"/>
      <c r="F280" s="518"/>
      <c r="G280" s="518"/>
      <c r="H280" s="518"/>
      <c r="I280" s="518"/>
      <c r="J280" s="518"/>
      <c r="K280" s="518"/>
      <c r="L280" s="518"/>
      <c r="M280" s="518"/>
      <c r="N280" s="518"/>
      <c r="O280" s="518"/>
      <c r="P280" s="518"/>
      <c r="Q280" s="518"/>
      <c r="R280" s="518"/>
      <c r="S280" s="518"/>
      <c r="T280" s="518"/>
      <c r="U280" s="518">
        <v>4</v>
      </c>
      <c r="V280" s="518">
        <v>4</v>
      </c>
      <c r="W280" s="518"/>
      <c r="X280" s="518"/>
      <c r="Y280" s="518"/>
      <c r="Z280" s="518"/>
      <c r="AA280" s="518"/>
      <c r="AB280" s="518"/>
      <c r="AC280" s="518"/>
      <c r="AD280" s="518"/>
      <c r="AE280" s="518"/>
      <c r="AF280" s="518"/>
      <c r="AG280" s="518"/>
      <c r="AH280" s="518"/>
      <c r="AI280" s="734"/>
      <c r="AJ280" s="518"/>
      <c r="AK280" s="518"/>
      <c r="AL280" s="518"/>
      <c r="AM280" s="518"/>
      <c r="AN280" s="518"/>
      <c r="AO280" s="518"/>
      <c r="AP280" s="734"/>
      <c r="AQ280" s="518"/>
      <c r="AR280" s="518"/>
      <c r="AS280" s="518"/>
      <c r="AT280" s="518"/>
      <c r="AU280" s="518"/>
      <c r="AV280" s="518"/>
      <c r="AW280" s="518"/>
      <c r="AX280" s="518"/>
      <c r="AY280" s="518"/>
      <c r="AZ280" s="518"/>
      <c r="BA280" s="518"/>
      <c r="BB280" s="518"/>
      <c r="BC280" s="518"/>
      <c r="BD280" s="518"/>
      <c r="BE280" s="518"/>
      <c r="BF280" s="518"/>
      <c r="BG280" s="495">
        <f t="shared" si="59"/>
        <v>8</v>
      </c>
      <c r="BH280" s="1056"/>
      <c r="BI280" s="496">
        <f t="shared" si="58"/>
        <v>2</v>
      </c>
    </row>
    <row r="281" spans="1:61" ht="199.9" customHeight="1" thickTop="1" thickBot="1" x14ac:dyDescent="1.3">
      <c r="A281" s="1050"/>
      <c r="B281" s="697" t="s">
        <v>341</v>
      </c>
      <c r="C281" s="1052" t="s">
        <v>769</v>
      </c>
      <c r="D281" s="1052"/>
      <c r="E281" s="734">
        <v>4</v>
      </c>
      <c r="F281" s="734">
        <v>4</v>
      </c>
      <c r="G281" s="734">
        <v>4</v>
      </c>
      <c r="H281" s="734">
        <v>4</v>
      </c>
      <c r="I281" s="734">
        <v>4</v>
      </c>
      <c r="J281" s="734">
        <v>4</v>
      </c>
      <c r="K281" s="734">
        <v>4</v>
      </c>
      <c r="L281" s="734">
        <v>4</v>
      </c>
      <c r="M281" s="734">
        <v>4</v>
      </c>
      <c r="N281" s="734">
        <v>4</v>
      </c>
      <c r="O281" s="734">
        <v>4</v>
      </c>
      <c r="P281" s="755">
        <v>4</v>
      </c>
      <c r="Q281" s="755">
        <v>4</v>
      </c>
      <c r="R281" s="755">
        <v>4</v>
      </c>
      <c r="S281" s="755">
        <v>4</v>
      </c>
      <c r="T281" s="755">
        <v>4</v>
      </c>
      <c r="U281" s="755"/>
      <c r="V281" s="755"/>
      <c r="W281" s="755">
        <v>4</v>
      </c>
      <c r="X281" s="755">
        <v>4</v>
      </c>
      <c r="Y281" s="734">
        <v>4</v>
      </c>
      <c r="Z281" s="734">
        <v>4</v>
      </c>
      <c r="AA281" s="734">
        <v>4</v>
      </c>
      <c r="AB281" s="734">
        <v>4</v>
      </c>
      <c r="AC281" s="734">
        <v>4</v>
      </c>
      <c r="AD281" s="734">
        <v>4</v>
      </c>
      <c r="AE281" s="734">
        <v>4</v>
      </c>
      <c r="AF281" s="734">
        <v>4</v>
      </c>
      <c r="AG281" s="734">
        <v>4</v>
      </c>
      <c r="AH281" s="734">
        <v>4</v>
      </c>
      <c r="AI281" s="734">
        <v>4</v>
      </c>
      <c r="AJ281" s="734">
        <v>4</v>
      </c>
      <c r="AK281" s="734">
        <v>4</v>
      </c>
      <c r="AL281" s="734">
        <v>4</v>
      </c>
      <c r="AM281" s="734">
        <v>4</v>
      </c>
      <c r="AN281" s="734">
        <v>4</v>
      </c>
      <c r="AO281" s="734">
        <v>4</v>
      </c>
      <c r="AP281" s="734">
        <v>4</v>
      </c>
      <c r="AQ281" s="734">
        <v>4</v>
      </c>
      <c r="AR281" s="734">
        <v>4</v>
      </c>
      <c r="AS281" s="734">
        <v>4</v>
      </c>
      <c r="AT281" s="734">
        <v>4</v>
      </c>
      <c r="AU281" s="734">
        <v>4</v>
      </c>
      <c r="AV281" s="734">
        <v>4</v>
      </c>
      <c r="AW281" s="734">
        <v>4</v>
      </c>
      <c r="AX281" s="734">
        <v>4</v>
      </c>
      <c r="AY281" s="734">
        <v>4</v>
      </c>
      <c r="AZ281" s="734">
        <v>4</v>
      </c>
      <c r="BA281" s="734">
        <v>4</v>
      </c>
      <c r="BB281" s="734">
        <v>4</v>
      </c>
      <c r="BC281" s="734">
        <v>4</v>
      </c>
      <c r="BD281" s="734">
        <v>4</v>
      </c>
      <c r="BE281" s="734">
        <v>4</v>
      </c>
      <c r="BF281" s="734">
        <v>4</v>
      </c>
      <c r="BG281" s="495">
        <f t="shared" ref="BG281:BG286" si="60">SUM(E281:BF281)</f>
        <v>208</v>
      </c>
      <c r="BH281" s="767">
        <f>SUM(BG281:BG286)</f>
        <v>1248</v>
      </c>
      <c r="BI281" s="496">
        <f>BG281/BF281</f>
        <v>52</v>
      </c>
    </row>
    <row r="282" spans="1:61" ht="199.9" customHeight="1" thickTop="1" thickBot="1" x14ac:dyDescent="1.3">
      <c r="A282" s="1050"/>
      <c r="B282" s="697" t="s">
        <v>342</v>
      </c>
      <c r="C282" s="1052" t="s">
        <v>769</v>
      </c>
      <c r="D282" s="1052"/>
      <c r="E282" s="734">
        <v>4</v>
      </c>
      <c r="F282" s="734">
        <v>4</v>
      </c>
      <c r="G282" s="734">
        <v>4</v>
      </c>
      <c r="H282" s="734">
        <v>4</v>
      </c>
      <c r="I282" s="734">
        <v>4</v>
      </c>
      <c r="J282" s="734">
        <v>4</v>
      </c>
      <c r="K282" s="734">
        <v>4</v>
      </c>
      <c r="L282" s="734">
        <v>4</v>
      </c>
      <c r="M282" s="734">
        <v>4</v>
      </c>
      <c r="N282" s="734">
        <v>4</v>
      </c>
      <c r="O282" s="734">
        <v>4</v>
      </c>
      <c r="P282" s="755">
        <v>4</v>
      </c>
      <c r="Q282" s="755">
        <v>4</v>
      </c>
      <c r="R282" s="755">
        <v>4</v>
      </c>
      <c r="S282" s="755">
        <v>4</v>
      </c>
      <c r="T282" s="755">
        <v>4</v>
      </c>
      <c r="U282" s="755"/>
      <c r="V282" s="755"/>
      <c r="W282" s="755">
        <v>4</v>
      </c>
      <c r="X282" s="755">
        <v>4</v>
      </c>
      <c r="Y282" s="734">
        <v>4</v>
      </c>
      <c r="Z282" s="734">
        <v>4</v>
      </c>
      <c r="AA282" s="734">
        <v>4</v>
      </c>
      <c r="AB282" s="734">
        <v>4</v>
      </c>
      <c r="AC282" s="734">
        <v>4</v>
      </c>
      <c r="AD282" s="734">
        <v>4</v>
      </c>
      <c r="AE282" s="734">
        <v>4</v>
      </c>
      <c r="AF282" s="734">
        <v>4</v>
      </c>
      <c r="AG282" s="734">
        <v>4</v>
      </c>
      <c r="AH282" s="734">
        <v>4</v>
      </c>
      <c r="AI282" s="734">
        <v>4</v>
      </c>
      <c r="AJ282" s="518">
        <v>4</v>
      </c>
      <c r="AK282" s="518">
        <v>4</v>
      </c>
      <c r="AL282" s="518">
        <v>4</v>
      </c>
      <c r="AM282" s="518">
        <v>4</v>
      </c>
      <c r="AN282" s="518">
        <v>4</v>
      </c>
      <c r="AO282" s="518">
        <v>4</v>
      </c>
      <c r="AP282" s="734">
        <v>4</v>
      </c>
      <c r="AQ282" s="518">
        <v>4</v>
      </c>
      <c r="AR282" s="734">
        <v>4</v>
      </c>
      <c r="AS282" s="734">
        <v>4</v>
      </c>
      <c r="AT282" s="734">
        <v>4</v>
      </c>
      <c r="AU282" s="734">
        <v>4</v>
      </c>
      <c r="AV282" s="734">
        <v>4</v>
      </c>
      <c r="AW282" s="734">
        <v>4</v>
      </c>
      <c r="AX282" s="734">
        <v>4</v>
      </c>
      <c r="AY282" s="734">
        <v>4</v>
      </c>
      <c r="AZ282" s="734">
        <v>4</v>
      </c>
      <c r="BA282" s="734">
        <v>4</v>
      </c>
      <c r="BB282" s="734">
        <v>4</v>
      </c>
      <c r="BC282" s="734">
        <v>4</v>
      </c>
      <c r="BD282" s="734">
        <v>4</v>
      </c>
      <c r="BE282" s="734">
        <v>4</v>
      </c>
      <c r="BF282" s="734">
        <v>4</v>
      </c>
      <c r="BG282" s="495">
        <f t="shared" si="60"/>
        <v>208</v>
      </c>
      <c r="BH282" s="768"/>
      <c r="BI282" s="496">
        <f t="shared" ref="BI282:BI286" si="61">BG282/BF282</f>
        <v>52</v>
      </c>
    </row>
    <row r="283" spans="1:61" ht="199.9" customHeight="1" thickTop="1" thickBot="1" x14ac:dyDescent="1.3">
      <c r="A283" s="1050"/>
      <c r="B283" s="697" t="s">
        <v>343</v>
      </c>
      <c r="C283" s="1052" t="s">
        <v>769</v>
      </c>
      <c r="D283" s="1052"/>
      <c r="E283" s="734">
        <v>4</v>
      </c>
      <c r="F283" s="734">
        <v>4</v>
      </c>
      <c r="G283" s="734">
        <v>4</v>
      </c>
      <c r="H283" s="734">
        <v>4</v>
      </c>
      <c r="I283" s="734">
        <v>4</v>
      </c>
      <c r="J283" s="734">
        <v>4</v>
      </c>
      <c r="K283" s="734">
        <v>4</v>
      </c>
      <c r="L283" s="734">
        <v>4</v>
      </c>
      <c r="M283" s="734">
        <v>4</v>
      </c>
      <c r="N283" s="734">
        <v>4</v>
      </c>
      <c r="O283" s="734">
        <v>4</v>
      </c>
      <c r="P283" s="755">
        <v>4</v>
      </c>
      <c r="Q283" s="755">
        <v>4</v>
      </c>
      <c r="R283" s="755">
        <v>4</v>
      </c>
      <c r="S283" s="755">
        <v>4</v>
      </c>
      <c r="T283" s="755">
        <v>4</v>
      </c>
      <c r="U283" s="755"/>
      <c r="V283" s="755"/>
      <c r="W283" s="755">
        <v>4</v>
      </c>
      <c r="X283" s="755">
        <v>4</v>
      </c>
      <c r="Y283" s="734">
        <v>4</v>
      </c>
      <c r="Z283" s="734">
        <v>4</v>
      </c>
      <c r="AA283" s="734">
        <v>4</v>
      </c>
      <c r="AB283" s="734">
        <v>4</v>
      </c>
      <c r="AC283" s="734">
        <v>4</v>
      </c>
      <c r="AD283" s="734">
        <v>4</v>
      </c>
      <c r="AE283" s="734">
        <v>4</v>
      </c>
      <c r="AF283" s="734">
        <v>4</v>
      </c>
      <c r="AG283" s="734">
        <v>4</v>
      </c>
      <c r="AH283" s="734">
        <v>4</v>
      </c>
      <c r="AI283" s="734">
        <v>4</v>
      </c>
      <c r="AJ283" s="734">
        <v>4</v>
      </c>
      <c r="AK283" s="734">
        <v>4</v>
      </c>
      <c r="AL283" s="734">
        <v>4</v>
      </c>
      <c r="AM283" s="734">
        <v>4</v>
      </c>
      <c r="AN283" s="734">
        <v>4</v>
      </c>
      <c r="AO283" s="734">
        <v>4</v>
      </c>
      <c r="AP283" s="734">
        <v>4</v>
      </c>
      <c r="AQ283" s="734">
        <v>4</v>
      </c>
      <c r="AR283" s="518">
        <v>4</v>
      </c>
      <c r="AS283" s="518">
        <v>4</v>
      </c>
      <c r="AT283" s="518">
        <v>4</v>
      </c>
      <c r="AU283" s="518">
        <v>4</v>
      </c>
      <c r="AV283" s="518">
        <v>4</v>
      </c>
      <c r="AW283" s="734">
        <v>4</v>
      </c>
      <c r="AX283" s="734">
        <v>4</v>
      </c>
      <c r="AY283" s="734">
        <v>4</v>
      </c>
      <c r="AZ283" s="734">
        <v>4</v>
      </c>
      <c r="BA283" s="734">
        <v>4</v>
      </c>
      <c r="BB283" s="734">
        <v>4</v>
      </c>
      <c r="BC283" s="734">
        <v>4</v>
      </c>
      <c r="BD283" s="734">
        <v>4</v>
      </c>
      <c r="BE283" s="734">
        <v>4</v>
      </c>
      <c r="BF283" s="734">
        <v>4</v>
      </c>
      <c r="BG283" s="495">
        <f t="shared" si="60"/>
        <v>208</v>
      </c>
      <c r="BH283" s="768"/>
      <c r="BI283" s="496">
        <f t="shared" si="61"/>
        <v>52</v>
      </c>
    </row>
    <row r="284" spans="1:61" ht="199.9" customHeight="1" thickTop="1" thickBot="1" x14ac:dyDescent="1.3">
      <c r="A284" s="1050"/>
      <c r="B284" s="697" t="s">
        <v>344</v>
      </c>
      <c r="C284" s="1052" t="s">
        <v>769</v>
      </c>
      <c r="D284" s="1052"/>
      <c r="E284" s="518">
        <v>4</v>
      </c>
      <c r="F284" s="518">
        <v>4</v>
      </c>
      <c r="G284" s="518">
        <v>4</v>
      </c>
      <c r="H284" s="518">
        <v>4</v>
      </c>
      <c r="I284" s="518">
        <v>4</v>
      </c>
      <c r="J284" s="518">
        <v>4</v>
      </c>
      <c r="K284" s="518">
        <v>4</v>
      </c>
      <c r="L284" s="518">
        <v>4</v>
      </c>
      <c r="M284" s="518">
        <v>4</v>
      </c>
      <c r="N284" s="518">
        <v>4</v>
      </c>
      <c r="O284" s="518">
        <v>4</v>
      </c>
      <c r="P284" s="518">
        <v>4</v>
      </c>
      <c r="Q284" s="518">
        <v>4</v>
      </c>
      <c r="R284" s="518">
        <v>4</v>
      </c>
      <c r="S284" s="518">
        <v>4</v>
      </c>
      <c r="T284" s="518">
        <v>4</v>
      </c>
      <c r="U284" s="518"/>
      <c r="V284" s="518"/>
      <c r="W284" s="518">
        <v>4</v>
      </c>
      <c r="X284" s="518">
        <v>4</v>
      </c>
      <c r="Y284" s="518">
        <v>4</v>
      </c>
      <c r="Z284" s="518">
        <v>4</v>
      </c>
      <c r="AA284" s="518">
        <v>4</v>
      </c>
      <c r="AB284" s="518">
        <v>4</v>
      </c>
      <c r="AC284" s="518">
        <v>4</v>
      </c>
      <c r="AD284" s="518">
        <v>4</v>
      </c>
      <c r="AE284" s="518">
        <v>4</v>
      </c>
      <c r="AF284" s="518">
        <v>4</v>
      </c>
      <c r="AG284" s="518">
        <v>4</v>
      </c>
      <c r="AH284" s="518">
        <v>4</v>
      </c>
      <c r="AI284" s="734">
        <v>4</v>
      </c>
      <c r="AJ284" s="518">
        <v>4</v>
      </c>
      <c r="AK284" s="518">
        <v>4</v>
      </c>
      <c r="AL284" s="518">
        <v>4</v>
      </c>
      <c r="AM284" s="518">
        <v>4</v>
      </c>
      <c r="AN284" s="518">
        <v>4</v>
      </c>
      <c r="AO284" s="518">
        <v>4</v>
      </c>
      <c r="AP284" s="734">
        <v>4</v>
      </c>
      <c r="AQ284" s="518">
        <v>4</v>
      </c>
      <c r="AR284" s="734">
        <v>4</v>
      </c>
      <c r="AS284" s="734">
        <v>4</v>
      </c>
      <c r="AT284" s="734">
        <v>4</v>
      </c>
      <c r="AU284" s="734">
        <v>4</v>
      </c>
      <c r="AV284" s="734">
        <v>4</v>
      </c>
      <c r="AW284" s="518">
        <v>4</v>
      </c>
      <c r="AX284" s="518">
        <v>4</v>
      </c>
      <c r="AY284" s="518">
        <v>4</v>
      </c>
      <c r="AZ284" s="518">
        <v>4</v>
      </c>
      <c r="BA284" s="518">
        <v>4</v>
      </c>
      <c r="BB284" s="518">
        <v>4</v>
      </c>
      <c r="BC284" s="518">
        <v>4</v>
      </c>
      <c r="BD284" s="518">
        <v>4</v>
      </c>
      <c r="BE284" s="518">
        <v>4</v>
      </c>
      <c r="BF284" s="518">
        <v>4</v>
      </c>
      <c r="BG284" s="495">
        <f t="shared" si="60"/>
        <v>208</v>
      </c>
      <c r="BH284" s="768"/>
      <c r="BI284" s="496">
        <f t="shared" si="61"/>
        <v>52</v>
      </c>
    </row>
    <row r="285" spans="1:61" ht="199.9" customHeight="1" thickTop="1" thickBot="1" x14ac:dyDescent="1.3">
      <c r="A285" s="1050"/>
      <c r="B285" s="697" t="s">
        <v>345</v>
      </c>
      <c r="C285" s="1052" t="s">
        <v>769</v>
      </c>
      <c r="D285" s="1052"/>
      <c r="E285" s="734">
        <v>4</v>
      </c>
      <c r="F285" s="734">
        <v>4</v>
      </c>
      <c r="G285" s="734">
        <v>4</v>
      </c>
      <c r="H285" s="734">
        <v>4</v>
      </c>
      <c r="I285" s="734">
        <v>4</v>
      </c>
      <c r="J285" s="734">
        <v>4</v>
      </c>
      <c r="K285" s="734">
        <v>4</v>
      </c>
      <c r="L285" s="734">
        <v>4</v>
      </c>
      <c r="M285" s="734">
        <v>4</v>
      </c>
      <c r="N285" s="734">
        <v>4</v>
      </c>
      <c r="O285" s="734">
        <v>4</v>
      </c>
      <c r="P285" s="755">
        <v>4</v>
      </c>
      <c r="Q285" s="755">
        <v>4</v>
      </c>
      <c r="R285" s="755">
        <v>4</v>
      </c>
      <c r="S285" s="755">
        <v>4</v>
      </c>
      <c r="T285" s="755">
        <v>4</v>
      </c>
      <c r="U285" s="755"/>
      <c r="V285" s="755"/>
      <c r="W285" s="755">
        <v>4</v>
      </c>
      <c r="X285" s="755">
        <v>4</v>
      </c>
      <c r="Y285" s="734">
        <v>4</v>
      </c>
      <c r="Z285" s="734">
        <v>4</v>
      </c>
      <c r="AA285" s="734">
        <v>4</v>
      </c>
      <c r="AB285" s="734">
        <v>4</v>
      </c>
      <c r="AC285" s="734">
        <v>4</v>
      </c>
      <c r="AD285" s="734">
        <v>4</v>
      </c>
      <c r="AE285" s="734">
        <v>4</v>
      </c>
      <c r="AF285" s="734">
        <v>4</v>
      </c>
      <c r="AG285" s="734">
        <v>4</v>
      </c>
      <c r="AH285" s="734">
        <v>4</v>
      </c>
      <c r="AI285" s="734">
        <v>4</v>
      </c>
      <c r="AJ285" s="734">
        <v>4</v>
      </c>
      <c r="AK285" s="734">
        <v>4</v>
      </c>
      <c r="AL285" s="734">
        <v>4</v>
      </c>
      <c r="AM285" s="734">
        <v>4</v>
      </c>
      <c r="AN285" s="734">
        <v>4</v>
      </c>
      <c r="AO285" s="734">
        <v>4</v>
      </c>
      <c r="AP285" s="734">
        <v>4</v>
      </c>
      <c r="AQ285" s="734">
        <v>4</v>
      </c>
      <c r="AR285" s="518">
        <v>4</v>
      </c>
      <c r="AS285" s="518">
        <v>4</v>
      </c>
      <c r="AT285" s="518">
        <v>4</v>
      </c>
      <c r="AU285" s="518">
        <v>4</v>
      </c>
      <c r="AV285" s="518">
        <v>4</v>
      </c>
      <c r="AW285" s="734">
        <v>4</v>
      </c>
      <c r="AX285" s="734">
        <v>4</v>
      </c>
      <c r="AY285" s="734">
        <v>4</v>
      </c>
      <c r="AZ285" s="734">
        <v>4</v>
      </c>
      <c r="BA285" s="734">
        <v>4</v>
      </c>
      <c r="BB285" s="734">
        <v>4</v>
      </c>
      <c r="BC285" s="734">
        <v>4</v>
      </c>
      <c r="BD285" s="734">
        <v>4</v>
      </c>
      <c r="BE285" s="734">
        <v>4</v>
      </c>
      <c r="BF285" s="734">
        <v>4</v>
      </c>
      <c r="BG285" s="495">
        <f t="shared" si="60"/>
        <v>208</v>
      </c>
      <c r="BH285" s="768"/>
      <c r="BI285" s="496">
        <f t="shared" si="61"/>
        <v>52</v>
      </c>
    </row>
    <row r="286" spans="1:61" ht="199.9" customHeight="1" thickTop="1" thickBot="1" x14ac:dyDescent="1.3">
      <c r="A286" s="1051"/>
      <c r="B286" s="697" t="s">
        <v>346</v>
      </c>
      <c r="C286" s="1052" t="s">
        <v>769</v>
      </c>
      <c r="D286" s="1052"/>
      <c r="E286" s="518">
        <v>4</v>
      </c>
      <c r="F286" s="518">
        <v>4</v>
      </c>
      <c r="G286" s="518">
        <v>4</v>
      </c>
      <c r="H286" s="518">
        <v>4</v>
      </c>
      <c r="I286" s="518">
        <v>4</v>
      </c>
      <c r="J286" s="518">
        <v>4</v>
      </c>
      <c r="K286" s="518">
        <v>4</v>
      </c>
      <c r="L286" s="518">
        <v>4</v>
      </c>
      <c r="M286" s="518">
        <v>4</v>
      </c>
      <c r="N286" s="518">
        <v>4</v>
      </c>
      <c r="O286" s="518">
        <v>4</v>
      </c>
      <c r="P286" s="518">
        <v>4</v>
      </c>
      <c r="Q286" s="518">
        <v>4</v>
      </c>
      <c r="R286" s="518">
        <v>4</v>
      </c>
      <c r="S286" s="518">
        <v>4</v>
      </c>
      <c r="T286" s="518">
        <v>4</v>
      </c>
      <c r="U286" s="518"/>
      <c r="V286" s="518"/>
      <c r="W286" s="518">
        <v>4</v>
      </c>
      <c r="X286" s="518">
        <v>4</v>
      </c>
      <c r="Y286" s="518">
        <v>4</v>
      </c>
      <c r="Z286" s="518">
        <v>4</v>
      </c>
      <c r="AA286" s="518">
        <v>4</v>
      </c>
      <c r="AB286" s="518">
        <v>4</v>
      </c>
      <c r="AC286" s="518">
        <v>4</v>
      </c>
      <c r="AD286" s="518">
        <v>4</v>
      </c>
      <c r="AE286" s="518">
        <v>4</v>
      </c>
      <c r="AF286" s="518">
        <v>4</v>
      </c>
      <c r="AG286" s="518">
        <v>4</v>
      </c>
      <c r="AH286" s="518">
        <v>4</v>
      </c>
      <c r="AI286" s="734">
        <v>4</v>
      </c>
      <c r="AJ286" s="518">
        <v>4</v>
      </c>
      <c r="AK286" s="518">
        <v>4</v>
      </c>
      <c r="AL286" s="518">
        <v>4</v>
      </c>
      <c r="AM286" s="518">
        <v>4</v>
      </c>
      <c r="AN286" s="518">
        <v>4</v>
      </c>
      <c r="AO286" s="518">
        <v>4</v>
      </c>
      <c r="AP286" s="734">
        <v>4</v>
      </c>
      <c r="AQ286" s="518">
        <v>4</v>
      </c>
      <c r="AR286" s="518">
        <v>4</v>
      </c>
      <c r="AS286" s="518">
        <v>4</v>
      </c>
      <c r="AT286" s="518">
        <v>4</v>
      </c>
      <c r="AU286" s="518">
        <v>4</v>
      </c>
      <c r="AV286" s="518">
        <v>4</v>
      </c>
      <c r="AW286" s="518">
        <v>4</v>
      </c>
      <c r="AX286" s="518">
        <v>4</v>
      </c>
      <c r="AY286" s="518">
        <v>4</v>
      </c>
      <c r="AZ286" s="518">
        <v>4</v>
      </c>
      <c r="BA286" s="518">
        <v>4</v>
      </c>
      <c r="BB286" s="518">
        <v>4</v>
      </c>
      <c r="BC286" s="518">
        <v>4</v>
      </c>
      <c r="BD286" s="518">
        <v>4</v>
      </c>
      <c r="BE286" s="518">
        <v>4</v>
      </c>
      <c r="BF286" s="518">
        <v>4</v>
      </c>
      <c r="BG286" s="495">
        <f t="shared" si="60"/>
        <v>208</v>
      </c>
      <c r="BH286" s="769"/>
      <c r="BI286" s="496">
        <f t="shared" si="61"/>
        <v>52</v>
      </c>
    </row>
    <row r="287" spans="1:61" s="511" customFormat="1" ht="199.9" customHeight="1" thickTop="1" thickBot="1" x14ac:dyDescent="1.3">
      <c r="A287" s="1049" t="s">
        <v>351</v>
      </c>
      <c r="B287" s="499" t="s">
        <v>350</v>
      </c>
      <c r="C287" s="1053" t="s">
        <v>127</v>
      </c>
      <c r="D287" s="1053"/>
      <c r="E287" s="508">
        <v>24</v>
      </c>
      <c r="F287" s="508">
        <v>24</v>
      </c>
      <c r="G287" s="508">
        <v>24</v>
      </c>
      <c r="H287" s="508">
        <v>24</v>
      </c>
      <c r="I287" s="508">
        <v>24</v>
      </c>
      <c r="J287" s="508">
        <v>24</v>
      </c>
      <c r="K287" s="508">
        <v>24</v>
      </c>
      <c r="L287" s="508">
        <v>24</v>
      </c>
      <c r="M287" s="508">
        <v>24</v>
      </c>
      <c r="N287" s="508">
        <v>24</v>
      </c>
      <c r="O287" s="508">
        <v>24</v>
      </c>
      <c r="P287" s="508">
        <v>24</v>
      </c>
      <c r="Q287" s="508">
        <v>24</v>
      </c>
      <c r="R287" s="508">
        <v>24</v>
      </c>
      <c r="S287" s="508">
        <v>24</v>
      </c>
      <c r="T287" s="508">
        <v>24</v>
      </c>
      <c r="U287" s="508">
        <v>24</v>
      </c>
      <c r="V287" s="508">
        <v>24</v>
      </c>
      <c r="W287" s="508">
        <v>24</v>
      </c>
      <c r="X287" s="508">
        <v>24</v>
      </c>
      <c r="Y287" s="508">
        <v>24</v>
      </c>
      <c r="Z287" s="508">
        <v>24</v>
      </c>
      <c r="AA287" s="508">
        <v>24</v>
      </c>
      <c r="AB287" s="508">
        <v>24</v>
      </c>
      <c r="AC287" s="508">
        <v>24</v>
      </c>
      <c r="AD287" s="508">
        <v>24</v>
      </c>
      <c r="AE287" s="508">
        <v>24</v>
      </c>
      <c r="AF287" s="508">
        <v>24</v>
      </c>
      <c r="AG287" s="508">
        <v>24</v>
      </c>
      <c r="AH287" s="508">
        <v>24</v>
      </c>
      <c r="AI287" s="508">
        <v>24</v>
      </c>
      <c r="AJ287" s="508">
        <v>24</v>
      </c>
      <c r="AK287" s="508">
        <v>24</v>
      </c>
      <c r="AL287" s="508">
        <v>24</v>
      </c>
      <c r="AM287" s="508">
        <v>24</v>
      </c>
      <c r="AN287" s="508">
        <v>24</v>
      </c>
      <c r="AO287" s="508">
        <v>24</v>
      </c>
      <c r="AP287" s="508">
        <v>24</v>
      </c>
      <c r="AQ287" s="508">
        <v>24</v>
      </c>
      <c r="AR287" s="508">
        <v>24</v>
      </c>
      <c r="AS287" s="508">
        <v>24</v>
      </c>
      <c r="AT287" s="508">
        <v>24</v>
      </c>
      <c r="AU287" s="508">
        <v>24</v>
      </c>
      <c r="AV287" s="508">
        <v>24</v>
      </c>
      <c r="AW287" s="508">
        <v>24</v>
      </c>
      <c r="AX287" s="508">
        <v>24</v>
      </c>
      <c r="AY287" s="508">
        <v>24</v>
      </c>
      <c r="AZ287" s="508">
        <v>24</v>
      </c>
      <c r="BA287" s="508">
        <v>24</v>
      </c>
      <c r="BB287" s="508">
        <v>24</v>
      </c>
      <c r="BC287" s="508">
        <v>24</v>
      </c>
      <c r="BD287" s="508">
        <v>24</v>
      </c>
      <c r="BE287" s="508">
        <v>24</v>
      </c>
      <c r="BF287" s="508">
        <v>24</v>
      </c>
      <c r="BG287" s="490">
        <f t="shared" si="56"/>
        <v>1296</v>
      </c>
      <c r="BH287" s="1056">
        <f>SUM(BG288:BG293)</f>
        <v>96</v>
      </c>
      <c r="BI287" s="491">
        <f t="shared" ref="BI287:BI311" si="62">BG287/BF287</f>
        <v>54</v>
      </c>
    </row>
    <row r="288" spans="1:61" ht="199.9" hidden="1" customHeight="1" thickTop="1" thickBot="1" x14ac:dyDescent="1.3">
      <c r="A288" s="1050"/>
      <c r="B288" s="502" t="s">
        <v>341</v>
      </c>
      <c r="C288" s="1052" t="s">
        <v>468</v>
      </c>
      <c r="D288" s="1052"/>
      <c r="E288" s="734"/>
      <c r="F288" s="734"/>
      <c r="G288" s="734"/>
      <c r="H288" s="734"/>
      <c r="I288" s="734"/>
      <c r="J288" s="734"/>
      <c r="K288" s="734"/>
      <c r="L288" s="734"/>
      <c r="M288" s="734"/>
      <c r="N288" s="734"/>
      <c r="O288" s="734"/>
      <c r="P288" s="734"/>
      <c r="Q288" s="734"/>
      <c r="R288" s="734"/>
      <c r="S288" s="734"/>
      <c r="T288" s="734"/>
      <c r="U288" s="734">
        <v>4</v>
      </c>
      <c r="V288" s="734">
        <v>4</v>
      </c>
      <c r="W288" s="518">
        <v>4</v>
      </c>
      <c r="X288" s="734">
        <v>4</v>
      </c>
      <c r="Y288" s="734"/>
      <c r="Z288" s="734"/>
      <c r="AA288" s="734"/>
      <c r="AB288" s="734"/>
      <c r="AC288" s="734"/>
      <c r="AD288" s="734"/>
      <c r="AE288" s="734"/>
      <c r="AF288" s="734"/>
      <c r="AG288" s="734"/>
      <c r="AH288" s="734"/>
      <c r="AI288" s="734"/>
      <c r="AJ288" s="734"/>
      <c r="AK288" s="734"/>
      <c r="AL288" s="734"/>
      <c r="AM288" s="734"/>
      <c r="AN288" s="734"/>
      <c r="AO288" s="734"/>
      <c r="AP288" s="734"/>
      <c r="AQ288" s="734"/>
      <c r="AR288" s="734"/>
      <c r="AS288" s="734"/>
      <c r="AT288" s="734"/>
      <c r="AU288" s="734"/>
      <c r="AV288" s="734"/>
      <c r="AW288" s="734"/>
      <c r="AX288" s="734"/>
      <c r="AY288" s="734"/>
      <c r="AZ288" s="734"/>
      <c r="BA288" s="734"/>
      <c r="BB288" s="734"/>
      <c r="BC288" s="734"/>
      <c r="BD288" s="734"/>
      <c r="BE288" s="734"/>
      <c r="BF288" s="734"/>
      <c r="BG288" s="495">
        <f t="shared" si="56"/>
        <v>16</v>
      </c>
      <c r="BH288" s="1056"/>
      <c r="BI288" s="496">
        <f>BG288/4</f>
        <v>4</v>
      </c>
    </row>
    <row r="289" spans="1:62" ht="199.9" hidden="1" customHeight="1" thickTop="1" thickBot="1" x14ac:dyDescent="1.3">
      <c r="A289" s="1050"/>
      <c r="B289" s="502" t="s">
        <v>342</v>
      </c>
      <c r="C289" s="1052" t="s">
        <v>468</v>
      </c>
      <c r="D289" s="1052"/>
      <c r="E289" s="734"/>
      <c r="F289" s="734"/>
      <c r="G289" s="734"/>
      <c r="H289" s="734"/>
      <c r="I289" s="734"/>
      <c r="J289" s="734"/>
      <c r="K289" s="734"/>
      <c r="L289" s="734"/>
      <c r="M289" s="734"/>
      <c r="N289" s="734"/>
      <c r="O289" s="734"/>
      <c r="P289" s="734"/>
      <c r="Q289" s="734"/>
      <c r="R289" s="734"/>
      <c r="S289" s="734"/>
      <c r="T289" s="734"/>
      <c r="U289" s="734">
        <v>4</v>
      </c>
      <c r="V289" s="734">
        <v>4</v>
      </c>
      <c r="W289" s="518">
        <v>4</v>
      </c>
      <c r="X289" s="734">
        <v>4</v>
      </c>
      <c r="Y289" s="734"/>
      <c r="Z289" s="734"/>
      <c r="AA289" s="734"/>
      <c r="AB289" s="734"/>
      <c r="AC289" s="734"/>
      <c r="AD289" s="734"/>
      <c r="AE289" s="734"/>
      <c r="AF289" s="734"/>
      <c r="AG289" s="734"/>
      <c r="AH289" s="734"/>
      <c r="AI289" s="734"/>
      <c r="AJ289" s="734"/>
      <c r="AK289" s="734"/>
      <c r="AL289" s="734"/>
      <c r="AM289" s="734"/>
      <c r="AN289" s="734"/>
      <c r="AO289" s="734"/>
      <c r="AP289" s="734"/>
      <c r="AQ289" s="734"/>
      <c r="AR289" s="734"/>
      <c r="AS289" s="734"/>
      <c r="AT289" s="734"/>
      <c r="AU289" s="734"/>
      <c r="AV289" s="734"/>
      <c r="AW289" s="734"/>
      <c r="AX289" s="734"/>
      <c r="AY289" s="734"/>
      <c r="AZ289" s="734"/>
      <c r="BA289" s="734"/>
      <c r="BB289" s="734"/>
      <c r="BC289" s="734"/>
      <c r="BD289" s="734"/>
      <c r="BE289" s="734"/>
      <c r="BF289" s="734"/>
      <c r="BG289" s="495">
        <f t="shared" si="56"/>
        <v>16</v>
      </c>
      <c r="BH289" s="1056"/>
      <c r="BI289" s="496">
        <f t="shared" ref="BI289:BI293" si="63">BG289/4</f>
        <v>4</v>
      </c>
    </row>
    <row r="290" spans="1:62" ht="199.9" hidden="1" customHeight="1" thickTop="1" thickBot="1" x14ac:dyDescent="1.3">
      <c r="A290" s="1050"/>
      <c r="B290" s="502" t="s">
        <v>343</v>
      </c>
      <c r="C290" s="1052" t="s">
        <v>468</v>
      </c>
      <c r="D290" s="1052"/>
      <c r="E290" s="734"/>
      <c r="F290" s="734"/>
      <c r="G290" s="734"/>
      <c r="H290" s="734"/>
      <c r="I290" s="734"/>
      <c r="J290" s="734"/>
      <c r="K290" s="734"/>
      <c r="L290" s="734"/>
      <c r="M290" s="734"/>
      <c r="N290" s="734"/>
      <c r="O290" s="734"/>
      <c r="P290" s="734"/>
      <c r="Q290" s="734"/>
      <c r="R290" s="734"/>
      <c r="S290" s="734"/>
      <c r="T290" s="734"/>
      <c r="U290" s="734">
        <v>4</v>
      </c>
      <c r="V290" s="734">
        <v>4</v>
      </c>
      <c r="W290" s="518">
        <v>4</v>
      </c>
      <c r="X290" s="734">
        <v>4</v>
      </c>
      <c r="Y290" s="734"/>
      <c r="Z290" s="734"/>
      <c r="AA290" s="734"/>
      <c r="AB290" s="734"/>
      <c r="AC290" s="734"/>
      <c r="AD290" s="734"/>
      <c r="AE290" s="734"/>
      <c r="AF290" s="734"/>
      <c r="AG290" s="734"/>
      <c r="AH290" s="734"/>
      <c r="AI290" s="734"/>
      <c r="AJ290" s="734"/>
      <c r="AK290" s="734"/>
      <c r="AL290" s="734"/>
      <c r="AM290" s="734"/>
      <c r="AN290" s="734"/>
      <c r="AO290" s="734"/>
      <c r="AP290" s="734"/>
      <c r="AQ290" s="734"/>
      <c r="AR290" s="734"/>
      <c r="AS290" s="734"/>
      <c r="AT290" s="734"/>
      <c r="AU290" s="734"/>
      <c r="AV290" s="734"/>
      <c r="AW290" s="734"/>
      <c r="AX290" s="734"/>
      <c r="AY290" s="734"/>
      <c r="AZ290" s="734"/>
      <c r="BA290" s="734"/>
      <c r="BB290" s="734"/>
      <c r="BC290" s="734"/>
      <c r="BD290" s="734"/>
      <c r="BE290" s="734"/>
      <c r="BF290" s="734"/>
      <c r="BG290" s="495">
        <f t="shared" si="56"/>
        <v>16</v>
      </c>
      <c r="BH290" s="1056"/>
      <c r="BI290" s="496">
        <f t="shared" si="63"/>
        <v>4</v>
      </c>
    </row>
    <row r="291" spans="1:62" ht="199.9" hidden="1" customHeight="1" thickTop="1" thickBot="1" x14ac:dyDescent="1.3">
      <c r="A291" s="1050"/>
      <c r="B291" s="502" t="s">
        <v>344</v>
      </c>
      <c r="C291" s="1052" t="s">
        <v>468</v>
      </c>
      <c r="D291" s="1052"/>
      <c r="E291" s="518"/>
      <c r="F291" s="518"/>
      <c r="G291" s="518"/>
      <c r="H291" s="518"/>
      <c r="I291" s="518"/>
      <c r="J291" s="518"/>
      <c r="K291" s="518"/>
      <c r="L291" s="518"/>
      <c r="M291" s="518"/>
      <c r="N291" s="518"/>
      <c r="O291" s="518"/>
      <c r="P291" s="518"/>
      <c r="Q291" s="518"/>
      <c r="R291" s="518"/>
      <c r="S291" s="518"/>
      <c r="T291" s="518"/>
      <c r="U291" s="518">
        <v>4</v>
      </c>
      <c r="V291" s="518">
        <v>4</v>
      </c>
      <c r="W291" s="518">
        <v>4</v>
      </c>
      <c r="X291" s="734">
        <v>4</v>
      </c>
      <c r="Y291" s="518"/>
      <c r="Z291" s="518"/>
      <c r="AA291" s="518"/>
      <c r="AB291" s="518"/>
      <c r="AC291" s="518"/>
      <c r="AD291" s="518"/>
      <c r="AE291" s="518"/>
      <c r="AF291" s="518"/>
      <c r="AG291" s="518"/>
      <c r="AH291" s="518"/>
      <c r="AI291" s="734"/>
      <c r="AJ291" s="518"/>
      <c r="AK291" s="518"/>
      <c r="AL291" s="518"/>
      <c r="AM291" s="518"/>
      <c r="AN291" s="518"/>
      <c r="AO291" s="518"/>
      <c r="AP291" s="734"/>
      <c r="AQ291" s="518"/>
      <c r="AR291" s="518"/>
      <c r="AS291" s="518"/>
      <c r="AT291" s="518"/>
      <c r="AU291" s="518"/>
      <c r="AV291" s="518"/>
      <c r="AW291" s="518"/>
      <c r="AX291" s="518"/>
      <c r="AY291" s="518"/>
      <c r="AZ291" s="518"/>
      <c r="BA291" s="518"/>
      <c r="BB291" s="518"/>
      <c r="BC291" s="518"/>
      <c r="BD291" s="518"/>
      <c r="BE291" s="518"/>
      <c r="BF291" s="518"/>
      <c r="BG291" s="495">
        <f t="shared" si="56"/>
        <v>16</v>
      </c>
      <c r="BH291" s="1056"/>
      <c r="BI291" s="496">
        <f t="shared" si="63"/>
        <v>4</v>
      </c>
    </row>
    <row r="292" spans="1:62" ht="199.9" hidden="1" customHeight="1" thickTop="1" thickBot="1" x14ac:dyDescent="1.3">
      <c r="A292" s="1050"/>
      <c r="B292" s="502" t="s">
        <v>345</v>
      </c>
      <c r="C292" s="1052" t="s">
        <v>468</v>
      </c>
      <c r="D292" s="1052"/>
      <c r="E292" s="734"/>
      <c r="F292" s="734"/>
      <c r="G292" s="734"/>
      <c r="H292" s="734"/>
      <c r="I292" s="734"/>
      <c r="J292" s="734"/>
      <c r="K292" s="734"/>
      <c r="L292" s="734"/>
      <c r="M292" s="734"/>
      <c r="N292" s="734"/>
      <c r="O292" s="734"/>
      <c r="P292" s="734"/>
      <c r="Q292" s="734"/>
      <c r="R292" s="734"/>
      <c r="S292" s="734"/>
      <c r="T292" s="734"/>
      <c r="U292" s="734">
        <v>4</v>
      </c>
      <c r="V292" s="734">
        <v>4</v>
      </c>
      <c r="W292" s="518">
        <v>4</v>
      </c>
      <c r="X292" s="734">
        <v>4</v>
      </c>
      <c r="Y292" s="734"/>
      <c r="Z292" s="734"/>
      <c r="AA292" s="734"/>
      <c r="AB292" s="734"/>
      <c r="AC292" s="734"/>
      <c r="AD292" s="734"/>
      <c r="AE292" s="734"/>
      <c r="AF292" s="734"/>
      <c r="AG292" s="734"/>
      <c r="AH292" s="734"/>
      <c r="AI292" s="734"/>
      <c r="AJ292" s="734"/>
      <c r="AK292" s="734"/>
      <c r="AL292" s="734"/>
      <c r="AM292" s="734"/>
      <c r="AN292" s="734"/>
      <c r="AO292" s="734"/>
      <c r="AP292" s="734"/>
      <c r="AQ292" s="734"/>
      <c r="AR292" s="734"/>
      <c r="AS292" s="734"/>
      <c r="AT292" s="734"/>
      <c r="AU292" s="734"/>
      <c r="AV292" s="734"/>
      <c r="AW292" s="734"/>
      <c r="AX292" s="734"/>
      <c r="AY292" s="734"/>
      <c r="AZ292" s="734"/>
      <c r="BA292" s="734"/>
      <c r="BB292" s="734"/>
      <c r="BC292" s="734"/>
      <c r="BD292" s="734"/>
      <c r="BE292" s="734"/>
      <c r="BF292" s="734"/>
      <c r="BG292" s="495">
        <f t="shared" si="56"/>
        <v>16</v>
      </c>
      <c r="BH292" s="1056"/>
      <c r="BI292" s="496">
        <f t="shared" si="63"/>
        <v>4</v>
      </c>
    </row>
    <row r="293" spans="1:62" ht="199.9" hidden="1" customHeight="1" thickTop="1" thickBot="1" x14ac:dyDescent="1.3">
      <c r="A293" s="1050"/>
      <c r="B293" s="502" t="s">
        <v>346</v>
      </c>
      <c r="C293" s="1052" t="s">
        <v>468</v>
      </c>
      <c r="D293" s="1052"/>
      <c r="E293" s="518"/>
      <c r="F293" s="518"/>
      <c r="G293" s="518"/>
      <c r="H293" s="518"/>
      <c r="I293" s="518"/>
      <c r="J293" s="518"/>
      <c r="K293" s="518"/>
      <c r="L293" s="518"/>
      <c r="M293" s="518"/>
      <c r="N293" s="518"/>
      <c r="O293" s="518"/>
      <c r="P293" s="518"/>
      <c r="Q293" s="518"/>
      <c r="R293" s="518"/>
      <c r="S293" s="518"/>
      <c r="T293" s="518"/>
      <c r="U293" s="518">
        <v>4</v>
      </c>
      <c r="V293" s="518">
        <v>4</v>
      </c>
      <c r="W293" s="518">
        <v>4</v>
      </c>
      <c r="X293" s="734">
        <v>4</v>
      </c>
      <c r="Y293" s="518"/>
      <c r="Z293" s="518"/>
      <c r="AA293" s="518"/>
      <c r="AB293" s="518"/>
      <c r="AC293" s="518"/>
      <c r="AD293" s="518"/>
      <c r="AE293" s="518"/>
      <c r="AF293" s="518"/>
      <c r="AG293" s="518"/>
      <c r="AH293" s="518"/>
      <c r="AI293" s="734"/>
      <c r="AJ293" s="518"/>
      <c r="AK293" s="518"/>
      <c r="AL293" s="518"/>
      <c r="AM293" s="518"/>
      <c r="AN293" s="518"/>
      <c r="AO293" s="518"/>
      <c r="AP293" s="734"/>
      <c r="AQ293" s="518"/>
      <c r="AR293" s="518"/>
      <c r="AS293" s="518"/>
      <c r="AT293" s="518"/>
      <c r="AU293" s="518"/>
      <c r="AV293" s="518"/>
      <c r="AW293" s="518"/>
      <c r="AX293" s="518"/>
      <c r="AY293" s="518"/>
      <c r="AZ293" s="518"/>
      <c r="BA293" s="518"/>
      <c r="BB293" s="518"/>
      <c r="BC293" s="518"/>
      <c r="BD293" s="518"/>
      <c r="BE293" s="518"/>
      <c r="BF293" s="518"/>
      <c r="BG293" s="495">
        <f t="shared" si="56"/>
        <v>16</v>
      </c>
      <c r="BH293" s="1056"/>
      <c r="BI293" s="496">
        <f t="shared" si="63"/>
        <v>4</v>
      </c>
      <c r="BJ293" s="513" t="s">
        <v>767</v>
      </c>
    </row>
    <row r="294" spans="1:62" ht="199.9" customHeight="1" thickTop="1" thickBot="1" x14ac:dyDescent="1.3">
      <c r="A294" s="1050"/>
      <c r="B294" s="502" t="s">
        <v>341</v>
      </c>
      <c r="C294" s="1052" t="s">
        <v>711</v>
      </c>
      <c r="D294" s="1052"/>
      <c r="E294" s="734"/>
      <c r="F294" s="734"/>
      <c r="G294" s="734"/>
      <c r="H294" s="734"/>
      <c r="I294" s="734"/>
      <c r="J294" s="734"/>
      <c r="K294" s="734"/>
      <c r="L294" s="734"/>
      <c r="M294" s="734"/>
      <c r="N294" s="734"/>
      <c r="O294" s="734"/>
      <c r="P294" s="734"/>
      <c r="Q294" s="734"/>
      <c r="R294" s="734"/>
      <c r="S294" s="734"/>
      <c r="T294" s="734"/>
      <c r="U294" s="755">
        <v>4</v>
      </c>
      <c r="V294" s="755">
        <v>4</v>
      </c>
      <c r="W294" s="518"/>
      <c r="X294" s="755"/>
      <c r="Y294" s="734"/>
      <c r="Z294" s="734"/>
      <c r="AA294" s="734"/>
      <c r="AB294" s="734"/>
      <c r="AC294" s="734"/>
      <c r="AD294" s="734"/>
      <c r="AE294" s="734"/>
      <c r="AF294" s="734"/>
      <c r="AG294" s="734"/>
      <c r="AH294" s="734"/>
      <c r="AI294" s="734"/>
      <c r="AJ294" s="734"/>
      <c r="AK294" s="734"/>
      <c r="AL294" s="734"/>
      <c r="AM294" s="734"/>
      <c r="AN294" s="734"/>
      <c r="AO294" s="734"/>
      <c r="AP294" s="734"/>
      <c r="AQ294" s="734"/>
      <c r="AR294" s="734"/>
      <c r="AS294" s="734"/>
      <c r="AT294" s="734"/>
      <c r="AU294" s="734"/>
      <c r="AV294" s="734"/>
      <c r="AW294" s="734"/>
      <c r="AX294" s="734"/>
      <c r="AY294" s="734"/>
      <c r="AZ294" s="734"/>
      <c r="BA294" s="734"/>
      <c r="BB294" s="734"/>
      <c r="BC294" s="734"/>
      <c r="BD294" s="734"/>
      <c r="BE294" s="734"/>
      <c r="BF294" s="734"/>
      <c r="BG294" s="495">
        <f t="shared" si="56"/>
        <v>8</v>
      </c>
      <c r="BH294" s="1056">
        <f>SUM(BG294:BG299)</f>
        <v>48</v>
      </c>
      <c r="BI294" s="496">
        <f>BG294/4</f>
        <v>2</v>
      </c>
    </row>
    <row r="295" spans="1:62" ht="199.9" customHeight="1" thickTop="1" thickBot="1" x14ac:dyDescent="1.3">
      <c r="A295" s="1050"/>
      <c r="B295" s="502" t="s">
        <v>342</v>
      </c>
      <c r="C295" s="1052" t="s">
        <v>711</v>
      </c>
      <c r="D295" s="1052"/>
      <c r="E295" s="734"/>
      <c r="F295" s="734"/>
      <c r="G295" s="734"/>
      <c r="H295" s="734"/>
      <c r="I295" s="734"/>
      <c r="J295" s="734"/>
      <c r="K295" s="734"/>
      <c r="L295" s="734"/>
      <c r="M295" s="734"/>
      <c r="N295" s="734"/>
      <c r="O295" s="734"/>
      <c r="P295" s="734"/>
      <c r="Q295" s="734"/>
      <c r="R295" s="734"/>
      <c r="S295" s="734"/>
      <c r="T295" s="734"/>
      <c r="U295" s="755">
        <v>4</v>
      </c>
      <c r="V295" s="755">
        <v>4</v>
      </c>
      <c r="W295" s="518"/>
      <c r="X295" s="755"/>
      <c r="Y295" s="734"/>
      <c r="Z295" s="734"/>
      <c r="AA295" s="734"/>
      <c r="AB295" s="734"/>
      <c r="AC295" s="734"/>
      <c r="AD295" s="734"/>
      <c r="AE295" s="734"/>
      <c r="AF295" s="734"/>
      <c r="AG295" s="734"/>
      <c r="AH295" s="734"/>
      <c r="AI295" s="734"/>
      <c r="AJ295" s="518"/>
      <c r="AK295" s="518"/>
      <c r="AL295" s="518"/>
      <c r="AM295" s="518"/>
      <c r="AN295" s="518"/>
      <c r="AO295" s="518"/>
      <c r="AP295" s="734"/>
      <c r="AQ295" s="518"/>
      <c r="AR295" s="734"/>
      <c r="AS295" s="734"/>
      <c r="AT295" s="734"/>
      <c r="AU295" s="734"/>
      <c r="AV295" s="734"/>
      <c r="AW295" s="734"/>
      <c r="AX295" s="734"/>
      <c r="AY295" s="734"/>
      <c r="AZ295" s="734"/>
      <c r="BA295" s="734"/>
      <c r="BB295" s="734"/>
      <c r="BC295" s="734"/>
      <c r="BD295" s="734"/>
      <c r="BE295" s="734"/>
      <c r="BF295" s="734"/>
      <c r="BG295" s="495">
        <f t="shared" si="56"/>
        <v>8</v>
      </c>
      <c r="BH295" s="1056"/>
      <c r="BI295" s="496">
        <f t="shared" ref="BI295:BI299" si="64">BG295/4</f>
        <v>2</v>
      </c>
    </row>
    <row r="296" spans="1:62" ht="199.9" customHeight="1" thickTop="1" thickBot="1" x14ac:dyDescent="1.3">
      <c r="A296" s="1050"/>
      <c r="B296" s="502" t="s">
        <v>343</v>
      </c>
      <c r="C296" s="1052" t="s">
        <v>711</v>
      </c>
      <c r="D296" s="1052"/>
      <c r="E296" s="734"/>
      <c r="F296" s="734"/>
      <c r="G296" s="734"/>
      <c r="H296" s="734"/>
      <c r="I296" s="734"/>
      <c r="J296" s="734"/>
      <c r="K296" s="734"/>
      <c r="L296" s="734"/>
      <c r="M296" s="734"/>
      <c r="N296" s="734"/>
      <c r="O296" s="734"/>
      <c r="P296" s="734"/>
      <c r="Q296" s="734"/>
      <c r="R296" s="734"/>
      <c r="S296" s="734"/>
      <c r="T296" s="734"/>
      <c r="U296" s="755">
        <v>4</v>
      </c>
      <c r="V296" s="755">
        <v>4</v>
      </c>
      <c r="W296" s="518"/>
      <c r="X296" s="755"/>
      <c r="Y296" s="734"/>
      <c r="Z296" s="734"/>
      <c r="AA296" s="734"/>
      <c r="AB296" s="734"/>
      <c r="AC296" s="734"/>
      <c r="AD296" s="734"/>
      <c r="AE296" s="734"/>
      <c r="AF296" s="734"/>
      <c r="AG296" s="734"/>
      <c r="AH296" s="734"/>
      <c r="AI296" s="734"/>
      <c r="AJ296" s="734"/>
      <c r="AK296" s="734"/>
      <c r="AL296" s="734"/>
      <c r="AM296" s="734"/>
      <c r="AN296" s="734"/>
      <c r="AO296" s="734"/>
      <c r="AP296" s="734"/>
      <c r="AQ296" s="734"/>
      <c r="AR296" s="518"/>
      <c r="AS296" s="518"/>
      <c r="AT296" s="518"/>
      <c r="AU296" s="518"/>
      <c r="AV296" s="518"/>
      <c r="AW296" s="734"/>
      <c r="AX296" s="734"/>
      <c r="AY296" s="734"/>
      <c r="AZ296" s="734"/>
      <c r="BA296" s="734"/>
      <c r="BB296" s="734"/>
      <c r="BC296" s="734"/>
      <c r="BD296" s="734"/>
      <c r="BE296" s="734"/>
      <c r="BF296" s="734"/>
      <c r="BG296" s="495">
        <f t="shared" si="56"/>
        <v>8</v>
      </c>
      <c r="BH296" s="1056"/>
      <c r="BI296" s="496">
        <f t="shared" si="64"/>
        <v>2</v>
      </c>
    </row>
    <row r="297" spans="1:62" ht="199.9" customHeight="1" thickTop="1" thickBot="1" x14ac:dyDescent="1.3">
      <c r="A297" s="1050"/>
      <c r="B297" s="502" t="s">
        <v>344</v>
      </c>
      <c r="C297" s="1052" t="s">
        <v>711</v>
      </c>
      <c r="D297" s="1052"/>
      <c r="E297" s="518"/>
      <c r="F297" s="518"/>
      <c r="G297" s="518"/>
      <c r="H297" s="518"/>
      <c r="I297" s="518"/>
      <c r="J297" s="518"/>
      <c r="K297" s="518"/>
      <c r="L297" s="518"/>
      <c r="M297" s="518"/>
      <c r="N297" s="518"/>
      <c r="O297" s="518"/>
      <c r="P297" s="518"/>
      <c r="Q297" s="518"/>
      <c r="R297" s="518"/>
      <c r="S297" s="518"/>
      <c r="T297" s="518"/>
      <c r="U297" s="518">
        <v>4</v>
      </c>
      <c r="V297" s="518">
        <v>4</v>
      </c>
      <c r="W297" s="518"/>
      <c r="X297" s="755"/>
      <c r="Y297" s="518"/>
      <c r="Z297" s="518"/>
      <c r="AA297" s="518"/>
      <c r="AB297" s="518"/>
      <c r="AC297" s="518"/>
      <c r="AD297" s="518"/>
      <c r="AE297" s="518"/>
      <c r="AF297" s="518"/>
      <c r="AG297" s="518"/>
      <c r="AH297" s="518"/>
      <c r="AI297" s="734"/>
      <c r="AJ297" s="518"/>
      <c r="AK297" s="518"/>
      <c r="AL297" s="518"/>
      <c r="AM297" s="518"/>
      <c r="AN297" s="518"/>
      <c r="AO297" s="518"/>
      <c r="AP297" s="734"/>
      <c r="AQ297" s="518"/>
      <c r="AR297" s="734"/>
      <c r="AS297" s="734"/>
      <c r="AT297" s="734"/>
      <c r="AU297" s="734"/>
      <c r="AV297" s="734"/>
      <c r="AW297" s="518"/>
      <c r="AX297" s="518"/>
      <c r="AY297" s="518"/>
      <c r="AZ297" s="518"/>
      <c r="BA297" s="518"/>
      <c r="BB297" s="518"/>
      <c r="BC297" s="518"/>
      <c r="BD297" s="518"/>
      <c r="BE297" s="518"/>
      <c r="BF297" s="518"/>
      <c r="BG297" s="495">
        <f t="shared" si="56"/>
        <v>8</v>
      </c>
      <c r="BH297" s="1056"/>
      <c r="BI297" s="496">
        <f t="shared" si="64"/>
        <v>2</v>
      </c>
    </row>
    <row r="298" spans="1:62" ht="199.9" customHeight="1" thickTop="1" thickBot="1" x14ac:dyDescent="1.3">
      <c r="A298" s="1050"/>
      <c r="B298" s="502" t="s">
        <v>345</v>
      </c>
      <c r="C298" s="1052" t="s">
        <v>711</v>
      </c>
      <c r="D298" s="1052"/>
      <c r="E298" s="734"/>
      <c r="F298" s="734"/>
      <c r="G298" s="734"/>
      <c r="H298" s="734"/>
      <c r="I298" s="734"/>
      <c r="J298" s="734"/>
      <c r="K298" s="734"/>
      <c r="L298" s="734"/>
      <c r="M298" s="734"/>
      <c r="N298" s="734"/>
      <c r="O298" s="734"/>
      <c r="P298" s="734"/>
      <c r="Q298" s="734"/>
      <c r="R298" s="734"/>
      <c r="S298" s="734"/>
      <c r="T298" s="734"/>
      <c r="U298" s="755">
        <v>4</v>
      </c>
      <c r="V298" s="755">
        <v>4</v>
      </c>
      <c r="W298" s="518"/>
      <c r="X298" s="755"/>
      <c r="Y298" s="734"/>
      <c r="Z298" s="734"/>
      <c r="AA298" s="734"/>
      <c r="AB298" s="734"/>
      <c r="AC298" s="734"/>
      <c r="AD298" s="734"/>
      <c r="AE298" s="734"/>
      <c r="AF298" s="734"/>
      <c r="AG298" s="734"/>
      <c r="AH298" s="734"/>
      <c r="AI298" s="734"/>
      <c r="AJ298" s="734"/>
      <c r="AK298" s="734"/>
      <c r="AL298" s="734"/>
      <c r="AM298" s="734"/>
      <c r="AN298" s="734"/>
      <c r="AO298" s="734"/>
      <c r="AP298" s="734"/>
      <c r="AQ298" s="734"/>
      <c r="AR298" s="518"/>
      <c r="AS298" s="518"/>
      <c r="AT298" s="518"/>
      <c r="AU298" s="518"/>
      <c r="AV298" s="518"/>
      <c r="AW298" s="734"/>
      <c r="AX298" s="734"/>
      <c r="AY298" s="734"/>
      <c r="AZ298" s="734"/>
      <c r="BA298" s="734"/>
      <c r="BB298" s="734"/>
      <c r="BC298" s="734"/>
      <c r="BD298" s="734"/>
      <c r="BE298" s="734"/>
      <c r="BF298" s="734"/>
      <c r="BG298" s="495">
        <f t="shared" si="56"/>
        <v>8</v>
      </c>
      <c r="BH298" s="1056"/>
      <c r="BI298" s="496">
        <f t="shared" si="64"/>
        <v>2</v>
      </c>
    </row>
    <row r="299" spans="1:62" ht="199.9" customHeight="1" thickTop="1" thickBot="1" x14ac:dyDescent="1.3">
      <c r="A299" s="1050"/>
      <c r="B299" s="502" t="s">
        <v>346</v>
      </c>
      <c r="C299" s="1052" t="s">
        <v>711</v>
      </c>
      <c r="D299" s="1052"/>
      <c r="E299" s="518"/>
      <c r="F299" s="518"/>
      <c r="G299" s="518"/>
      <c r="H299" s="518"/>
      <c r="I299" s="518"/>
      <c r="J299" s="518"/>
      <c r="K299" s="518"/>
      <c r="L299" s="518"/>
      <c r="M299" s="518"/>
      <c r="N299" s="518"/>
      <c r="O299" s="518"/>
      <c r="P299" s="518"/>
      <c r="Q299" s="518"/>
      <c r="R299" s="518"/>
      <c r="S299" s="518"/>
      <c r="T299" s="518"/>
      <c r="U299" s="518">
        <v>4</v>
      </c>
      <c r="V299" s="518">
        <v>4</v>
      </c>
      <c r="W299" s="518"/>
      <c r="X299" s="755"/>
      <c r="Y299" s="518"/>
      <c r="Z299" s="518"/>
      <c r="AA299" s="518"/>
      <c r="AB299" s="518"/>
      <c r="AC299" s="518"/>
      <c r="AD299" s="518"/>
      <c r="AE299" s="518"/>
      <c r="AF299" s="518"/>
      <c r="AG299" s="518"/>
      <c r="AH299" s="518"/>
      <c r="AI299" s="734"/>
      <c r="AJ299" s="518"/>
      <c r="AK299" s="518"/>
      <c r="AL299" s="518"/>
      <c r="AM299" s="518"/>
      <c r="AN299" s="518"/>
      <c r="AO299" s="518"/>
      <c r="AP299" s="734"/>
      <c r="AQ299" s="518"/>
      <c r="AR299" s="518"/>
      <c r="AS299" s="518"/>
      <c r="AT299" s="518"/>
      <c r="AU299" s="518"/>
      <c r="AV299" s="518"/>
      <c r="AW299" s="518"/>
      <c r="AX299" s="518"/>
      <c r="AY299" s="518"/>
      <c r="AZ299" s="518"/>
      <c r="BA299" s="518"/>
      <c r="BB299" s="518"/>
      <c r="BC299" s="518"/>
      <c r="BD299" s="518"/>
      <c r="BE299" s="518"/>
      <c r="BF299" s="518"/>
      <c r="BG299" s="495">
        <f t="shared" si="56"/>
        <v>8</v>
      </c>
      <c r="BH299" s="1056"/>
      <c r="BI299" s="496">
        <f t="shared" si="64"/>
        <v>2</v>
      </c>
    </row>
    <row r="300" spans="1:62" ht="199.9" customHeight="1" thickTop="1" thickBot="1" x14ac:dyDescent="1.3">
      <c r="A300" s="1050"/>
      <c r="B300" s="697" t="s">
        <v>341</v>
      </c>
      <c r="C300" s="1052" t="s">
        <v>768</v>
      </c>
      <c r="D300" s="1052"/>
      <c r="E300" s="734">
        <v>4</v>
      </c>
      <c r="F300" s="734">
        <v>4</v>
      </c>
      <c r="G300" s="734">
        <v>4</v>
      </c>
      <c r="H300" s="734">
        <v>4</v>
      </c>
      <c r="I300" s="734">
        <v>4</v>
      </c>
      <c r="J300" s="734">
        <v>4</v>
      </c>
      <c r="K300" s="734">
        <v>4</v>
      </c>
      <c r="L300" s="734">
        <v>4</v>
      </c>
      <c r="M300" s="734">
        <v>4</v>
      </c>
      <c r="N300" s="734">
        <v>4</v>
      </c>
      <c r="O300" s="734">
        <v>4</v>
      </c>
      <c r="P300" s="755">
        <v>4</v>
      </c>
      <c r="Q300" s="755">
        <v>4</v>
      </c>
      <c r="R300" s="755">
        <v>4</v>
      </c>
      <c r="S300" s="755">
        <v>4</v>
      </c>
      <c r="T300" s="755">
        <v>4</v>
      </c>
      <c r="U300" s="734"/>
      <c r="V300" s="734"/>
      <c r="W300" s="755">
        <v>4</v>
      </c>
      <c r="X300" s="755">
        <v>4</v>
      </c>
      <c r="Y300" s="734">
        <v>4</v>
      </c>
      <c r="Z300" s="734">
        <v>4</v>
      </c>
      <c r="AA300" s="734">
        <v>4</v>
      </c>
      <c r="AB300" s="734">
        <v>4</v>
      </c>
      <c r="AC300" s="734">
        <v>4</v>
      </c>
      <c r="AD300" s="734">
        <v>4</v>
      </c>
      <c r="AE300" s="734">
        <v>4</v>
      </c>
      <c r="AF300" s="734">
        <v>4</v>
      </c>
      <c r="AG300" s="734">
        <v>4</v>
      </c>
      <c r="AH300" s="734">
        <v>4</v>
      </c>
      <c r="AI300" s="734">
        <v>4</v>
      </c>
      <c r="AJ300" s="734">
        <v>4</v>
      </c>
      <c r="AK300" s="734">
        <v>4</v>
      </c>
      <c r="AL300" s="734">
        <v>4</v>
      </c>
      <c r="AM300" s="734">
        <v>4</v>
      </c>
      <c r="AN300" s="734">
        <v>4</v>
      </c>
      <c r="AO300" s="734">
        <v>4</v>
      </c>
      <c r="AP300" s="734">
        <v>4</v>
      </c>
      <c r="AQ300" s="734">
        <v>4</v>
      </c>
      <c r="AR300" s="734">
        <v>4</v>
      </c>
      <c r="AS300" s="734">
        <v>4</v>
      </c>
      <c r="AT300" s="734">
        <v>4</v>
      </c>
      <c r="AU300" s="734">
        <v>4</v>
      </c>
      <c r="AV300" s="734">
        <v>4</v>
      </c>
      <c r="AW300" s="734">
        <v>4</v>
      </c>
      <c r="AX300" s="734">
        <v>4</v>
      </c>
      <c r="AY300" s="734">
        <v>4</v>
      </c>
      <c r="AZ300" s="734">
        <v>4</v>
      </c>
      <c r="BA300" s="734">
        <v>4</v>
      </c>
      <c r="BB300" s="734">
        <v>4</v>
      </c>
      <c r="BC300" s="734">
        <v>4</v>
      </c>
      <c r="BD300" s="734">
        <v>4</v>
      </c>
      <c r="BE300" s="734">
        <v>4</v>
      </c>
      <c r="BF300" s="734">
        <v>4</v>
      </c>
      <c r="BG300" s="495">
        <f t="shared" ref="BG300:BG305" si="65">SUM(E300:BF300)</f>
        <v>208</v>
      </c>
      <c r="BH300" s="698">
        <f>SUM(BG300:BG305)</f>
        <v>1248</v>
      </c>
      <c r="BI300" s="496">
        <f t="shared" ref="BI300:BI305" si="66">BG300/BF300</f>
        <v>52</v>
      </c>
    </row>
    <row r="301" spans="1:62" ht="199.9" customHeight="1" thickTop="1" thickBot="1" x14ac:dyDescent="1.3">
      <c r="A301" s="1050"/>
      <c r="B301" s="697" t="s">
        <v>342</v>
      </c>
      <c r="C301" s="1052" t="s">
        <v>768</v>
      </c>
      <c r="D301" s="1052"/>
      <c r="E301" s="734">
        <v>4</v>
      </c>
      <c r="F301" s="734">
        <v>4</v>
      </c>
      <c r="G301" s="734">
        <v>4</v>
      </c>
      <c r="H301" s="734">
        <v>4</v>
      </c>
      <c r="I301" s="734">
        <v>4</v>
      </c>
      <c r="J301" s="734">
        <v>4</v>
      </c>
      <c r="K301" s="734">
        <v>4</v>
      </c>
      <c r="L301" s="734">
        <v>4</v>
      </c>
      <c r="M301" s="734">
        <v>4</v>
      </c>
      <c r="N301" s="734">
        <v>4</v>
      </c>
      <c r="O301" s="734">
        <v>4</v>
      </c>
      <c r="P301" s="755">
        <v>4</v>
      </c>
      <c r="Q301" s="755">
        <v>4</v>
      </c>
      <c r="R301" s="755">
        <v>4</v>
      </c>
      <c r="S301" s="755">
        <v>4</v>
      </c>
      <c r="T301" s="755">
        <v>4</v>
      </c>
      <c r="U301" s="734"/>
      <c r="V301" s="734"/>
      <c r="W301" s="755">
        <v>4</v>
      </c>
      <c r="X301" s="755">
        <v>4</v>
      </c>
      <c r="Y301" s="734">
        <v>4</v>
      </c>
      <c r="Z301" s="734">
        <v>4</v>
      </c>
      <c r="AA301" s="734">
        <v>4</v>
      </c>
      <c r="AB301" s="734">
        <v>4</v>
      </c>
      <c r="AC301" s="734">
        <v>4</v>
      </c>
      <c r="AD301" s="734">
        <v>4</v>
      </c>
      <c r="AE301" s="734">
        <v>4</v>
      </c>
      <c r="AF301" s="734">
        <v>4</v>
      </c>
      <c r="AG301" s="734">
        <v>4</v>
      </c>
      <c r="AH301" s="734">
        <v>4</v>
      </c>
      <c r="AI301" s="734">
        <v>4</v>
      </c>
      <c r="AJ301" s="518">
        <v>4</v>
      </c>
      <c r="AK301" s="518">
        <v>4</v>
      </c>
      <c r="AL301" s="518">
        <v>4</v>
      </c>
      <c r="AM301" s="518">
        <v>4</v>
      </c>
      <c r="AN301" s="518">
        <v>4</v>
      </c>
      <c r="AO301" s="518">
        <v>4</v>
      </c>
      <c r="AP301" s="734">
        <v>4</v>
      </c>
      <c r="AQ301" s="518">
        <v>4</v>
      </c>
      <c r="AR301" s="734">
        <v>4</v>
      </c>
      <c r="AS301" s="734">
        <v>4</v>
      </c>
      <c r="AT301" s="734">
        <v>4</v>
      </c>
      <c r="AU301" s="734">
        <v>4</v>
      </c>
      <c r="AV301" s="734">
        <v>4</v>
      </c>
      <c r="AW301" s="734">
        <v>4</v>
      </c>
      <c r="AX301" s="734">
        <v>4</v>
      </c>
      <c r="AY301" s="734">
        <v>4</v>
      </c>
      <c r="AZ301" s="734">
        <v>4</v>
      </c>
      <c r="BA301" s="734">
        <v>4</v>
      </c>
      <c r="BB301" s="734">
        <v>4</v>
      </c>
      <c r="BC301" s="734">
        <v>4</v>
      </c>
      <c r="BD301" s="734">
        <v>4</v>
      </c>
      <c r="BE301" s="734">
        <v>4</v>
      </c>
      <c r="BF301" s="734">
        <v>4</v>
      </c>
      <c r="BG301" s="495">
        <f t="shared" si="65"/>
        <v>208</v>
      </c>
      <c r="BH301" s="1060"/>
      <c r="BI301" s="496">
        <f t="shared" si="66"/>
        <v>52</v>
      </c>
    </row>
    <row r="302" spans="1:62" ht="199.9" customHeight="1" thickTop="1" thickBot="1" x14ac:dyDescent="1.3">
      <c r="A302" s="1050"/>
      <c r="B302" s="697" t="s">
        <v>343</v>
      </c>
      <c r="C302" s="1052" t="s">
        <v>768</v>
      </c>
      <c r="D302" s="1052"/>
      <c r="E302" s="734">
        <v>4</v>
      </c>
      <c r="F302" s="734">
        <v>4</v>
      </c>
      <c r="G302" s="734">
        <v>4</v>
      </c>
      <c r="H302" s="734">
        <v>4</v>
      </c>
      <c r="I302" s="734">
        <v>4</v>
      </c>
      <c r="J302" s="734">
        <v>4</v>
      </c>
      <c r="K302" s="734">
        <v>4</v>
      </c>
      <c r="L302" s="734">
        <v>4</v>
      </c>
      <c r="M302" s="734">
        <v>4</v>
      </c>
      <c r="N302" s="734">
        <v>4</v>
      </c>
      <c r="O302" s="734">
        <v>4</v>
      </c>
      <c r="P302" s="755">
        <v>4</v>
      </c>
      <c r="Q302" s="755">
        <v>4</v>
      </c>
      <c r="R302" s="755">
        <v>4</v>
      </c>
      <c r="S302" s="755">
        <v>4</v>
      </c>
      <c r="T302" s="755">
        <v>4</v>
      </c>
      <c r="U302" s="734"/>
      <c r="V302" s="734"/>
      <c r="W302" s="755">
        <v>4</v>
      </c>
      <c r="X302" s="755">
        <v>4</v>
      </c>
      <c r="Y302" s="734">
        <v>4</v>
      </c>
      <c r="Z302" s="734">
        <v>4</v>
      </c>
      <c r="AA302" s="734">
        <v>4</v>
      </c>
      <c r="AB302" s="734">
        <v>4</v>
      </c>
      <c r="AC302" s="734">
        <v>4</v>
      </c>
      <c r="AD302" s="734">
        <v>4</v>
      </c>
      <c r="AE302" s="734">
        <v>4</v>
      </c>
      <c r="AF302" s="734">
        <v>4</v>
      </c>
      <c r="AG302" s="734">
        <v>4</v>
      </c>
      <c r="AH302" s="734">
        <v>4</v>
      </c>
      <c r="AI302" s="734">
        <v>4</v>
      </c>
      <c r="AJ302" s="734">
        <v>4</v>
      </c>
      <c r="AK302" s="734">
        <v>4</v>
      </c>
      <c r="AL302" s="734">
        <v>4</v>
      </c>
      <c r="AM302" s="734">
        <v>4</v>
      </c>
      <c r="AN302" s="734">
        <v>4</v>
      </c>
      <c r="AO302" s="734">
        <v>4</v>
      </c>
      <c r="AP302" s="734">
        <v>4</v>
      </c>
      <c r="AQ302" s="734">
        <v>4</v>
      </c>
      <c r="AR302" s="518">
        <v>4</v>
      </c>
      <c r="AS302" s="518">
        <v>4</v>
      </c>
      <c r="AT302" s="518">
        <v>4</v>
      </c>
      <c r="AU302" s="518">
        <v>4</v>
      </c>
      <c r="AV302" s="518">
        <v>4</v>
      </c>
      <c r="AW302" s="734">
        <v>4</v>
      </c>
      <c r="AX302" s="734">
        <v>4</v>
      </c>
      <c r="AY302" s="734">
        <v>4</v>
      </c>
      <c r="AZ302" s="734">
        <v>4</v>
      </c>
      <c r="BA302" s="734">
        <v>4</v>
      </c>
      <c r="BB302" s="734">
        <v>4</v>
      </c>
      <c r="BC302" s="734">
        <v>4</v>
      </c>
      <c r="BD302" s="734">
        <v>4</v>
      </c>
      <c r="BE302" s="734">
        <v>4</v>
      </c>
      <c r="BF302" s="734">
        <v>4</v>
      </c>
      <c r="BG302" s="495">
        <f t="shared" si="65"/>
        <v>208</v>
      </c>
      <c r="BH302" s="1061"/>
      <c r="BI302" s="496">
        <f t="shared" si="66"/>
        <v>52</v>
      </c>
    </row>
    <row r="303" spans="1:62" ht="199.9" customHeight="1" thickTop="1" thickBot="1" x14ac:dyDescent="1.3">
      <c r="A303" s="1050"/>
      <c r="B303" s="697" t="s">
        <v>344</v>
      </c>
      <c r="C303" s="1052" t="s">
        <v>768</v>
      </c>
      <c r="D303" s="1052"/>
      <c r="E303" s="518">
        <v>4</v>
      </c>
      <c r="F303" s="518">
        <v>4</v>
      </c>
      <c r="G303" s="518">
        <v>4</v>
      </c>
      <c r="H303" s="518">
        <v>4</v>
      </c>
      <c r="I303" s="518">
        <v>4</v>
      </c>
      <c r="J303" s="518">
        <v>4</v>
      </c>
      <c r="K303" s="518">
        <v>4</v>
      </c>
      <c r="L303" s="518">
        <v>4</v>
      </c>
      <c r="M303" s="518">
        <v>4</v>
      </c>
      <c r="N303" s="518">
        <v>4</v>
      </c>
      <c r="O303" s="518">
        <v>4</v>
      </c>
      <c r="P303" s="518">
        <v>4</v>
      </c>
      <c r="Q303" s="518">
        <v>4</v>
      </c>
      <c r="R303" s="518">
        <v>4</v>
      </c>
      <c r="S303" s="518">
        <v>4</v>
      </c>
      <c r="T303" s="518">
        <v>4</v>
      </c>
      <c r="U303" s="518"/>
      <c r="V303" s="518"/>
      <c r="W303" s="518">
        <v>4</v>
      </c>
      <c r="X303" s="518">
        <v>4</v>
      </c>
      <c r="Y303" s="518">
        <v>4</v>
      </c>
      <c r="Z303" s="518">
        <v>4</v>
      </c>
      <c r="AA303" s="518">
        <v>4</v>
      </c>
      <c r="AB303" s="518">
        <v>4</v>
      </c>
      <c r="AC303" s="518">
        <v>4</v>
      </c>
      <c r="AD303" s="518">
        <v>4</v>
      </c>
      <c r="AE303" s="518">
        <v>4</v>
      </c>
      <c r="AF303" s="518">
        <v>4</v>
      </c>
      <c r="AG303" s="518">
        <v>4</v>
      </c>
      <c r="AH303" s="518">
        <v>4</v>
      </c>
      <c r="AI303" s="734">
        <v>4</v>
      </c>
      <c r="AJ303" s="518">
        <v>4</v>
      </c>
      <c r="AK303" s="518">
        <v>4</v>
      </c>
      <c r="AL303" s="518">
        <v>4</v>
      </c>
      <c r="AM303" s="518">
        <v>4</v>
      </c>
      <c r="AN303" s="518">
        <v>4</v>
      </c>
      <c r="AO303" s="518">
        <v>4</v>
      </c>
      <c r="AP303" s="734">
        <v>4</v>
      </c>
      <c r="AQ303" s="518">
        <v>4</v>
      </c>
      <c r="AR303" s="734">
        <v>4</v>
      </c>
      <c r="AS303" s="734">
        <v>4</v>
      </c>
      <c r="AT303" s="734">
        <v>4</v>
      </c>
      <c r="AU303" s="734">
        <v>4</v>
      </c>
      <c r="AV303" s="734">
        <v>4</v>
      </c>
      <c r="AW303" s="518">
        <v>4</v>
      </c>
      <c r="AX303" s="518">
        <v>4</v>
      </c>
      <c r="AY303" s="518">
        <v>4</v>
      </c>
      <c r="AZ303" s="518">
        <v>4</v>
      </c>
      <c r="BA303" s="518">
        <v>4</v>
      </c>
      <c r="BB303" s="518">
        <v>4</v>
      </c>
      <c r="BC303" s="518">
        <v>4</v>
      </c>
      <c r="BD303" s="518">
        <v>4</v>
      </c>
      <c r="BE303" s="518">
        <v>4</v>
      </c>
      <c r="BF303" s="518">
        <v>4</v>
      </c>
      <c r="BG303" s="495">
        <f t="shared" si="65"/>
        <v>208</v>
      </c>
      <c r="BH303" s="1061"/>
      <c r="BI303" s="496">
        <f t="shared" si="66"/>
        <v>52</v>
      </c>
    </row>
    <row r="304" spans="1:62" ht="199.9" customHeight="1" thickTop="1" thickBot="1" x14ac:dyDescent="1.3">
      <c r="A304" s="1050"/>
      <c r="B304" s="697" t="s">
        <v>345</v>
      </c>
      <c r="C304" s="1052" t="s">
        <v>768</v>
      </c>
      <c r="D304" s="1052"/>
      <c r="E304" s="734">
        <v>4</v>
      </c>
      <c r="F304" s="734">
        <v>4</v>
      </c>
      <c r="G304" s="734">
        <v>4</v>
      </c>
      <c r="H304" s="734">
        <v>4</v>
      </c>
      <c r="I304" s="734">
        <v>4</v>
      </c>
      <c r="J304" s="734">
        <v>4</v>
      </c>
      <c r="K304" s="734">
        <v>4</v>
      </c>
      <c r="L304" s="734">
        <v>4</v>
      </c>
      <c r="M304" s="734">
        <v>4</v>
      </c>
      <c r="N304" s="734">
        <v>4</v>
      </c>
      <c r="O304" s="734">
        <v>4</v>
      </c>
      <c r="P304" s="755">
        <v>4</v>
      </c>
      <c r="Q304" s="755">
        <v>4</v>
      </c>
      <c r="R304" s="755">
        <v>4</v>
      </c>
      <c r="S304" s="755">
        <v>4</v>
      </c>
      <c r="T304" s="755">
        <v>4</v>
      </c>
      <c r="U304" s="734"/>
      <c r="V304" s="734"/>
      <c r="W304" s="755">
        <v>4</v>
      </c>
      <c r="X304" s="755">
        <v>4</v>
      </c>
      <c r="Y304" s="734">
        <v>4</v>
      </c>
      <c r="Z304" s="734">
        <v>4</v>
      </c>
      <c r="AA304" s="734">
        <v>4</v>
      </c>
      <c r="AB304" s="734">
        <v>4</v>
      </c>
      <c r="AC304" s="734">
        <v>4</v>
      </c>
      <c r="AD304" s="734">
        <v>4</v>
      </c>
      <c r="AE304" s="734">
        <v>4</v>
      </c>
      <c r="AF304" s="734">
        <v>4</v>
      </c>
      <c r="AG304" s="734">
        <v>4</v>
      </c>
      <c r="AH304" s="734">
        <v>4</v>
      </c>
      <c r="AI304" s="734">
        <v>4</v>
      </c>
      <c r="AJ304" s="734">
        <v>4</v>
      </c>
      <c r="AK304" s="734">
        <v>4</v>
      </c>
      <c r="AL304" s="734">
        <v>4</v>
      </c>
      <c r="AM304" s="734">
        <v>4</v>
      </c>
      <c r="AN304" s="734">
        <v>4</v>
      </c>
      <c r="AO304" s="734">
        <v>4</v>
      </c>
      <c r="AP304" s="734">
        <v>4</v>
      </c>
      <c r="AQ304" s="734">
        <v>4</v>
      </c>
      <c r="AR304" s="518">
        <v>4</v>
      </c>
      <c r="AS304" s="518">
        <v>4</v>
      </c>
      <c r="AT304" s="518">
        <v>4</v>
      </c>
      <c r="AU304" s="518">
        <v>4</v>
      </c>
      <c r="AV304" s="518">
        <v>4</v>
      </c>
      <c r="AW304" s="734">
        <v>4</v>
      </c>
      <c r="AX304" s="734">
        <v>4</v>
      </c>
      <c r="AY304" s="734">
        <v>4</v>
      </c>
      <c r="AZ304" s="734">
        <v>4</v>
      </c>
      <c r="BA304" s="734">
        <v>4</v>
      </c>
      <c r="BB304" s="734">
        <v>4</v>
      </c>
      <c r="BC304" s="734">
        <v>4</v>
      </c>
      <c r="BD304" s="734">
        <v>4</v>
      </c>
      <c r="BE304" s="734">
        <v>4</v>
      </c>
      <c r="BF304" s="734">
        <v>4</v>
      </c>
      <c r="BG304" s="495">
        <f t="shared" si="65"/>
        <v>208</v>
      </c>
      <c r="BH304" s="1061"/>
      <c r="BI304" s="496">
        <f t="shared" si="66"/>
        <v>52</v>
      </c>
    </row>
    <row r="305" spans="1:63" ht="199.9" customHeight="1" thickTop="1" thickBot="1" x14ac:dyDescent="1.3">
      <c r="A305" s="1051"/>
      <c r="B305" s="697" t="s">
        <v>346</v>
      </c>
      <c r="C305" s="1052" t="s">
        <v>768</v>
      </c>
      <c r="D305" s="1052"/>
      <c r="E305" s="518">
        <v>4</v>
      </c>
      <c r="F305" s="518">
        <v>4</v>
      </c>
      <c r="G305" s="518">
        <v>4</v>
      </c>
      <c r="H305" s="518">
        <v>4</v>
      </c>
      <c r="I305" s="518">
        <v>4</v>
      </c>
      <c r="J305" s="518">
        <v>4</v>
      </c>
      <c r="K305" s="518">
        <v>4</v>
      </c>
      <c r="L305" s="518">
        <v>4</v>
      </c>
      <c r="M305" s="518">
        <v>4</v>
      </c>
      <c r="N305" s="518">
        <v>4</v>
      </c>
      <c r="O305" s="518">
        <v>4</v>
      </c>
      <c r="P305" s="518">
        <v>4</v>
      </c>
      <c r="Q305" s="518">
        <v>4</v>
      </c>
      <c r="R305" s="518">
        <v>4</v>
      </c>
      <c r="S305" s="518">
        <v>4</v>
      </c>
      <c r="T305" s="518">
        <v>4</v>
      </c>
      <c r="U305" s="518"/>
      <c r="V305" s="518"/>
      <c r="W305" s="518">
        <v>4</v>
      </c>
      <c r="X305" s="518">
        <v>4</v>
      </c>
      <c r="Y305" s="518">
        <v>4</v>
      </c>
      <c r="Z305" s="518">
        <v>4</v>
      </c>
      <c r="AA305" s="518">
        <v>4</v>
      </c>
      <c r="AB305" s="518">
        <v>4</v>
      </c>
      <c r="AC305" s="518">
        <v>4</v>
      </c>
      <c r="AD305" s="518">
        <v>4</v>
      </c>
      <c r="AE305" s="518">
        <v>4</v>
      </c>
      <c r="AF305" s="518">
        <v>4</v>
      </c>
      <c r="AG305" s="518">
        <v>4</v>
      </c>
      <c r="AH305" s="518">
        <v>4</v>
      </c>
      <c r="AI305" s="734">
        <v>4</v>
      </c>
      <c r="AJ305" s="518">
        <v>4</v>
      </c>
      <c r="AK305" s="518">
        <v>4</v>
      </c>
      <c r="AL305" s="518">
        <v>4</v>
      </c>
      <c r="AM305" s="518">
        <v>4</v>
      </c>
      <c r="AN305" s="518">
        <v>4</v>
      </c>
      <c r="AO305" s="518">
        <v>4</v>
      </c>
      <c r="AP305" s="734">
        <v>4</v>
      </c>
      <c r="AQ305" s="518">
        <v>4</v>
      </c>
      <c r="AR305" s="518">
        <v>4</v>
      </c>
      <c r="AS305" s="518">
        <v>4</v>
      </c>
      <c r="AT305" s="518">
        <v>4</v>
      </c>
      <c r="AU305" s="518">
        <v>4</v>
      </c>
      <c r="AV305" s="518">
        <v>4</v>
      </c>
      <c r="AW305" s="518">
        <v>4</v>
      </c>
      <c r="AX305" s="518">
        <v>4</v>
      </c>
      <c r="AY305" s="518">
        <v>4</v>
      </c>
      <c r="AZ305" s="518">
        <v>4</v>
      </c>
      <c r="BA305" s="518">
        <v>4</v>
      </c>
      <c r="BB305" s="518">
        <v>4</v>
      </c>
      <c r="BC305" s="518">
        <v>4</v>
      </c>
      <c r="BD305" s="518">
        <v>4</v>
      </c>
      <c r="BE305" s="518">
        <v>4</v>
      </c>
      <c r="BF305" s="518">
        <v>4</v>
      </c>
      <c r="BG305" s="495">
        <f t="shared" si="65"/>
        <v>208</v>
      </c>
      <c r="BH305" s="1062"/>
      <c r="BI305" s="496">
        <f t="shared" si="66"/>
        <v>52</v>
      </c>
    </row>
    <row r="306" spans="1:63" ht="307.89999999999998" customHeight="1" thickTop="1" thickBot="1" x14ac:dyDescent="1.3">
      <c r="A306" s="540"/>
      <c r="B306" s="770" t="s">
        <v>162</v>
      </c>
      <c r="C306" s="542"/>
      <c r="D306" s="542"/>
      <c r="E306" s="543"/>
      <c r="F306" s="543"/>
      <c r="G306" s="543"/>
      <c r="H306" s="543"/>
      <c r="I306" s="543"/>
      <c r="J306" s="543"/>
      <c r="K306" s="543"/>
      <c r="L306" s="543"/>
      <c r="M306" s="543"/>
      <c r="N306" s="543"/>
      <c r="O306" s="543"/>
      <c r="P306" s="543"/>
      <c r="Q306" s="543"/>
      <c r="R306" s="543"/>
      <c r="S306" s="1059" t="s">
        <v>150</v>
      </c>
      <c r="T306" s="1059"/>
      <c r="U306" s="543"/>
      <c r="V306" s="543"/>
      <c r="W306" s="543"/>
      <c r="X306" s="543"/>
      <c r="Y306" s="543"/>
      <c r="Z306" s="543"/>
      <c r="AA306" s="543"/>
      <c r="AB306" s="543"/>
      <c r="AC306" s="543"/>
      <c r="AD306" s="543"/>
      <c r="AE306" s="543"/>
      <c r="AF306" s="543"/>
      <c r="AG306" s="543"/>
      <c r="AH306" s="543"/>
      <c r="AI306" s="543"/>
      <c r="AJ306" s="543"/>
      <c r="AK306" s="1059" t="s">
        <v>162</v>
      </c>
      <c r="AL306" s="1059"/>
      <c r="AM306" s="543"/>
      <c r="AN306" s="543"/>
      <c r="AO306" s="543"/>
      <c r="AP306" s="543"/>
      <c r="AQ306" s="543"/>
      <c r="AR306" s="543"/>
      <c r="AS306" s="543"/>
      <c r="AT306" s="543"/>
      <c r="AU306" s="543"/>
      <c r="AV306" s="543"/>
      <c r="AW306" s="543"/>
      <c r="AX306" s="543"/>
      <c r="AY306" s="543"/>
      <c r="AZ306" s="543"/>
      <c r="BA306" s="543"/>
      <c r="BB306" s="543"/>
      <c r="BC306" s="543"/>
      <c r="BD306" s="543"/>
      <c r="BE306" s="543"/>
      <c r="BF306" s="1059" t="s">
        <v>150</v>
      </c>
      <c r="BG306" s="1059"/>
      <c r="BH306" s="544"/>
      <c r="BI306" s="530"/>
    </row>
    <row r="307" spans="1:63" ht="200.1" customHeight="1" thickTop="1" thickBot="1" x14ac:dyDescent="1.3">
      <c r="A307" s="1057" t="s">
        <v>125</v>
      </c>
      <c r="B307" s="1058"/>
      <c r="C307" s="1058"/>
      <c r="D307" s="1058"/>
      <c r="E307" s="512">
        <v>300</v>
      </c>
      <c r="F307" s="512">
        <v>301</v>
      </c>
      <c r="G307" s="512">
        <v>302</v>
      </c>
      <c r="H307" s="512">
        <v>303</v>
      </c>
      <c r="I307" s="512">
        <v>304</v>
      </c>
      <c r="J307" s="512">
        <v>305</v>
      </c>
      <c r="K307" s="512">
        <v>306</v>
      </c>
      <c r="L307" s="512">
        <v>307</v>
      </c>
      <c r="M307" s="512">
        <v>308</v>
      </c>
      <c r="N307" s="512">
        <v>309</v>
      </c>
      <c r="O307" s="512">
        <v>310</v>
      </c>
      <c r="P307" s="512">
        <v>311</v>
      </c>
      <c r="Q307" s="512">
        <v>312</v>
      </c>
      <c r="R307" s="512">
        <v>313</v>
      </c>
      <c r="S307" s="512">
        <v>314</v>
      </c>
      <c r="T307" s="512">
        <v>315</v>
      </c>
      <c r="U307" s="512">
        <v>316</v>
      </c>
      <c r="V307" s="512">
        <v>317</v>
      </c>
      <c r="W307" s="512">
        <v>318</v>
      </c>
      <c r="X307" s="512">
        <v>319</v>
      </c>
      <c r="Y307" s="512">
        <v>320</v>
      </c>
      <c r="Z307" s="512">
        <v>321</v>
      </c>
      <c r="AA307" s="512">
        <v>322</v>
      </c>
      <c r="AB307" s="512">
        <v>323</v>
      </c>
      <c r="AC307" s="512">
        <v>324</v>
      </c>
      <c r="AD307" s="512">
        <v>325</v>
      </c>
      <c r="AE307" s="524">
        <v>326</v>
      </c>
      <c r="AF307" s="524">
        <v>327</v>
      </c>
      <c r="AG307" s="524">
        <v>328</v>
      </c>
      <c r="AH307" s="524">
        <v>329</v>
      </c>
      <c r="AI307" s="524">
        <v>330</v>
      </c>
      <c r="AJ307" s="524">
        <v>331</v>
      </c>
      <c r="AK307" s="524">
        <v>332</v>
      </c>
      <c r="AL307" s="524">
        <v>333</v>
      </c>
      <c r="AM307" s="524">
        <v>334</v>
      </c>
      <c r="AN307" s="524">
        <v>335</v>
      </c>
      <c r="AO307" s="524">
        <v>336</v>
      </c>
      <c r="AP307" s="524">
        <v>337</v>
      </c>
      <c r="AQ307" s="524">
        <v>338</v>
      </c>
      <c r="AR307" s="524">
        <v>339</v>
      </c>
      <c r="AS307" s="524">
        <v>340</v>
      </c>
      <c r="AT307" s="524">
        <v>341</v>
      </c>
      <c r="AU307" s="524">
        <v>342</v>
      </c>
      <c r="AV307" s="524">
        <v>343</v>
      </c>
      <c r="AW307" s="524">
        <v>344</v>
      </c>
      <c r="AX307" s="524">
        <v>345</v>
      </c>
      <c r="AY307" s="524">
        <v>346</v>
      </c>
      <c r="AZ307" s="524">
        <v>347</v>
      </c>
      <c r="BA307" s="524">
        <v>348</v>
      </c>
      <c r="BB307" s="524">
        <v>349</v>
      </c>
      <c r="BC307" s="524">
        <v>350</v>
      </c>
      <c r="BD307" s="524">
        <v>351</v>
      </c>
      <c r="BE307" s="524">
        <v>352</v>
      </c>
      <c r="BF307" s="524">
        <v>353</v>
      </c>
      <c r="BG307" s="485" t="s">
        <v>160</v>
      </c>
      <c r="BH307" s="486" t="s">
        <v>161</v>
      </c>
      <c r="BI307" s="496"/>
    </row>
    <row r="308" spans="1:63" s="511" customFormat="1" ht="199.9" customHeight="1" thickTop="1" thickBot="1" x14ac:dyDescent="1.3">
      <c r="A308" s="1063" t="s">
        <v>540</v>
      </c>
      <c r="B308" s="499" t="s">
        <v>537</v>
      </c>
      <c r="C308" s="1053" t="s">
        <v>538</v>
      </c>
      <c r="D308" s="1053"/>
      <c r="E308" s="529">
        <v>24</v>
      </c>
      <c r="F308" s="529">
        <v>24</v>
      </c>
      <c r="G308" s="529">
        <v>24</v>
      </c>
      <c r="H308" s="529">
        <v>24</v>
      </c>
      <c r="I308" s="529">
        <v>24</v>
      </c>
      <c r="J308" s="529">
        <v>24</v>
      </c>
      <c r="K308" s="529">
        <v>24</v>
      </c>
      <c r="L308" s="529">
        <v>24</v>
      </c>
      <c r="M308" s="529">
        <v>24</v>
      </c>
      <c r="N308" s="529">
        <v>24</v>
      </c>
      <c r="O308" s="529">
        <v>24</v>
      </c>
      <c r="P308" s="529">
        <v>24</v>
      </c>
      <c r="Q308" s="529">
        <v>24</v>
      </c>
      <c r="R308" s="529">
        <v>24</v>
      </c>
      <c r="S308" s="529">
        <v>24</v>
      </c>
      <c r="T308" s="529">
        <v>24</v>
      </c>
      <c r="U308" s="529">
        <v>24</v>
      </c>
      <c r="V308" s="529">
        <v>24</v>
      </c>
      <c r="W308" s="529">
        <v>24</v>
      </c>
      <c r="X308" s="529">
        <v>24</v>
      </c>
      <c r="Y308" s="529">
        <v>24</v>
      </c>
      <c r="Z308" s="529">
        <v>24</v>
      </c>
      <c r="AA308" s="529">
        <v>24</v>
      </c>
      <c r="AB308" s="529">
        <v>24</v>
      </c>
      <c r="AC308" s="529">
        <v>24</v>
      </c>
      <c r="AD308" s="529">
        <v>24</v>
      </c>
      <c r="AE308" s="529">
        <v>24</v>
      </c>
      <c r="AF308" s="529">
        <v>24</v>
      </c>
      <c r="AG308" s="529">
        <v>24</v>
      </c>
      <c r="AH308" s="529">
        <v>24</v>
      </c>
      <c r="AI308" s="529">
        <v>24</v>
      </c>
      <c r="AJ308" s="529">
        <v>24</v>
      </c>
      <c r="AK308" s="529">
        <v>24</v>
      </c>
      <c r="AL308" s="529">
        <v>24</v>
      </c>
      <c r="AM308" s="529">
        <v>24</v>
      </c>
      <c r="AN308" s="529">
        <v>24</v>
      </c>
      <c r="AO308" s="529">
        <v>24</v>
      </c>
      <c r="AP308" s="529">
        <v>24</v>
      </c>
      <c r="AQ308" s="529">
        <v>24</v>
      </c>
      <c r="AR308" s="529">
        <v>24</v>
      </c>
      <c r="AS308" s="529">
        <v>24</v>
      </c>
      <c r="AT308" s="529">
        <v>24</v>
      </c>
      <c r="AU308" s="529">
        <v>24</v>
      </c>
      <c r="AV308" s="529">
        <v>24</v>
      </c>
      <c r="AW308" s="529">
        <v>24</v>
      </c>
      <c r="AX308" s="529">
        <v>24</v>
      </c>
      <c r="AY308" s="529">
        <v>24</v>
      </c>
      <c r="AZ308" s="529">
        <v>24</v>
      </c>
      <c r="BA308" s="529">
        <v>24</v>
      </c>
      <c r="BB308" s="529">
        <v>24</v>
      </c>
      <c r="BC308" s="529">
        <v>24</v>
      </c>
      <c r="BD308" s="529">
        <v>24</v>
      </c>
      <c r="BE308" s="529">
        <v>24</v>
      </c>
      <c r="BF308" s="529">
        <v>24</v>
      </c>
      <c r="BG308" s="490">
        <f t="shared" ref="BG308:BG316" si="67">SUM(E308:BF308)</f>
        <v>1296</v>
      </c>
      <c r="BH308" s="1056">
        <f>SUM(BG309:BG314)</f>
        <v>1248</v>
      </c>
      <c r="BI308" s="491">
        <f t="shared" si="62"/>
        <v>54</v>
      </c>
    </row>
    <row r="309" spans="1:63" ht="199.9" customHeight="1" thickTop="1" thickBot="1" x14ac:dyDescent="1.3">
      <c r="A309" s="1063"/>
      <c r="B309" s="502" t="s">
        <v>341</v>
      </c>
      <c r="C309" s="1052" t="s">
        <v>539</v>
      </c>
      <c r="D309" s="1052"/>
      <c r="E309" s="518">
        <v>4</v>
      </c>
      <c r="F309" s="518">
        <v>4</v>
      </c>
      <c r="G309" s="518">
        <v>4</v>
      </c>
      <c r="H309" s="518">
        <v>4</v>
      </c>
      <c r="I309" s="518">
        <v>4</v>
      </c>
      <c r="J309" s="518">
        <v>4</v>
      </c>
      <c r="K309" s="518">
        <v>4</v>
      </c>
      <c r="L309" s="518">
        <v>4</v>
      </c>
      <c r="M309" s="518">
        <v>4</v>
      </c>
      <c r="N309" s="518">
        <v>4</v>
      </c>
      <c r="O309" s="518">
        <v>4</v>
      </c>
      <c r="P309" s="518">
        <v>4</v>
      </c>
      <c r="Q309" s="518">
        <v>4</v>
      </c>
      <c r="R309" s="518">
        <v>4</v>
      </c>
      <c r="S309" s="518">
        <v>4</v>
      </c>
      <c r="T309" s="518">
        <v>4</v>
      </c>
      <c r="U309" s="518">
        <v>4</v>
      </c>
      <c r="V309" s="518">
        <v>4</v>
      </c>
      <c r="W309" s="518"/>
      <c r="X309" s="518"/>
      <c r="Y309" s="518">
        <v>4</v>
      </c>
      <c r="Z309" s="518">
        <v>4</v>
      </c>
      <c r="AA309" s="518">
        <v>4</v>
      </c>
      <c r="AB309" s="518">
        <v>4</v>
      </c>
      <c r="AC309" s="518">
        <v>4</v>
      </c>
      <c r="AD309" s="518">
        <v>4</v>
      </c>
      <c r="AE309" s="518">
        <v>4</v>
      </c>
      <c r="AF309" s="518">
        <v>4</v>
      </c>
      <c r="AG309" s="518">
        <v>4</v>
      </c>
      <c r="AH309" s="518">
        <v>4</v>
      </c>
      <c r="AI309" s="518">
        <v>4</v>
      </c>
      <c r="AJ309" s="518">
        <v>4</v>
      </c>
      <c r="AK309" s="518">
        <v>4</v>
      </c>
      <c r="AL309" s="518">
        <v>4</v>
      </c>
      <c r="AM309" s="518">
        <v>4</v>
      </c>
      <c r="AN309" s="518">
        <v>4</v>
      </c>
      <c r="AO309" s="518">
        <v>4</v>
      </c>
      <c r="AP309" s="518">
        <v>4</v>
      </c>
      <c r="AQ309" s="518">
        <v>4</v>
      </c>
      <c r="AR309" s="518">
        <v>4</v>
      </c>
      <c r="AS309" s="518">
        <v>4</v>
      </c>
      <c r="AT309" s="518">
        <v>4</v>
      </c>
      <c r="AU309" s="518">
        <v>4</v>
      </c>
      <c r="AV309" s="518">
        <v>4</v>
      </c>
      <c r="AW309" s="518">
        <v>4</v>
      </c>
      <c r="AX309" s="518">
        <v>4</v>
      </c>
      <c r="AY309" s="518">
        <v>4</v>
      </c>
      <c r="AZ309" s="518">
        <v>4</v>
      </c>
      <c r="BA309" s="518">
        <v>4</v>
      </c>
      <c r="BB309" s="518">
        <v>4</v>
      </c>
      <c r="BC309" s="518">
        <v>4</v>
      </c>
      <c r="BD309" s="518">
        <v>4</v>
      </c>
      <c r="BE309" s="518">
        <v>4</v>
      </c>
      <c r="BF309" s="518">
        <v>4</v>
      </c>
      <c r="BG309" s="495">
        <f>SUM(E309:BF309)</f>
        <v>208</v>
      </c>
      <c r="BH309" s="1056"/>
      <c r="BI309" s="496">
        <f t="shared" si="62"/>
        <v>52</v>
      </c>
    </row>
    <row r="310" spans="1:63" ht="199.9" customHeight="1" thickTop="1" thickBot="1" x14ac:dyDescent="1.3">
      <c r="A310" s="1063"/>
      <c r="B310" s="502" t="s">
        <v>342</v>
      </c>
      <c r="C310" s="1052" t="s">
        <v>539</v>
      </c>
      <c r="D310" s="1052"/>
      <c r="E310" s="518">
        <v>4</v>
      </c>
      <c r="F310" s="518">
        <v>4</v>
      </c>
      <c r="G310" s="518">
        <v>4</v>
      </c>
      <c r="H310" s="518">
        <v>4</v>
      </c>
      <c r="I310" s="518">
        <v>4</v>
      </c>
      <c r="J310" s="518">
        <v>4</v>
      </c>
      <c r="K310" s="518">
        <v>4</v>
      </c>
      <c r="L310" s="518">
        <v>4</v>
      </c>
      <c r="M310" s="518">
        <v>4</v>
      </c>
      <c r="N310" s="518">
        <v>4</v>
      </c>
      <c r="O310" s="518">
        <v>4</v>
      </c>
      <c r="P310" s="518">
        <v>4</v>
      </c>
      <c r="Q310" s="518">
        <v>4</v>
      </c>
      <c r="R310" s="518">
        <v>4</v>
      </c>
      <c r="S310" s="518">
        <v>4</v>
      </c>
      <c r="T310" s="518">
        <v>4</v>
      </c>
      <c r="U310" s="518">
        <v>4</v>
      </c>
      <c r="V310" s="518">
        <v>4</v>
      </c>
      <c r="W310" s="518"/>
      <c r="X310" s="518"/>
      <c r="Y310" s="518">
        <v>4</v>
      </c>
      <c r="Z310" s="518">
        <v>4</v>
      </c>
      <c r="AA310" s="518">
        <v>4</v>
      </c>
      <c r="AB310" s="518">
        <v>4</v>
      </c>
      <c r="AC310" s="518">
        <v>4</v>
      </c>
      <c r="AD310" s="518">
        <v>4</v>
      </c>
      <c r="AE310" s="518">
        <v>4</v>
      </c>
      <c r="AF310" s="518">
        <v>4</v>
      </c>
      <c r="AG310" s="518">
        <v>4</v>
      </c>
      <c r="AH310" s="518">
        <v>4</v>
      </c>
      <c r="AI310" s="518">
        <v>4</v>
      </c>
      <c r="AJ310" s="518">
        <v>4</v>
      </c>
      <c r="AK310" s="518">
        <v>4</v>
      </c>
      <c r="AL310" s="518">
        <v>4</v>
      </c>
      <c r="AM310" s="518">
        <v>4</v>
      </c>
      <c r="AN310" s="518">
        <v>4</v>
      </c>
      <c r="AO310" s="518">
        <v>4</v>
      </c>
      <c r="AP310" s="518">
        <v>4</v>
      </c>
      <c r="AQ310" s="518">
        <v>4</v>
      </c>
      <c r="AR310" s="518">
        <v>4</v>
      </c>
      <c r="AS310" s="518">
        <v>4</v>
      </c>
      <c r="AT310" s="518">
        <v>4</v>
      </c>
      <c r="AU310" s="518">
        <v>4</v>
      </c>
      <c r="AV310" s="518">
        <v>4</v>
      </c>
      <c r="AW310" s="518">
        <v>4</v>
      </c>
      <c r="AX310" s="518">
        <v>4</v>
      </c>
      <c r="AY310" s="518">
        <v>4</v>
      </c>
      <c r="AZ310" s="518">
        <v>4</v>
      </c>
      <c r="BA310" s="518">
        <v>4</v>
      </c>
      <c r="BB310" s="518">
        <v>4</v>
      </c>
      <c r="BC310" s="518">
        <v>4</v>
      </c>
      <c r="BD310" s="518">
        <v>4</v>
      </c>
      <c r="BE310" s="518">
        <v>4</v>
      </c>
      <c r="BF310" s="518">
        <v>4</v>
      </c>
      <c r="BG310" s="495">
        <f t="shared" si="67"/>
        <v>208</v>
      </c>
      <c r="BH310" s="1056"/>
      <c r="BI310" s="496">
        <f t="shared" si="62"/>
        <v>52</v>
      </c>
    </row>
    <row r="311" spans="1:63" ht="199.9" customHeight="1" thickTop="1" thickBot="1" x14ac:dyDescent="1.3">
      <c r="A311" s="1063"/>
      <c r="B311" s="502" t="s">
        <v>343</v>
      </c>
      <c r="C311" s="1052" t="s">
        <v>539</v>
      </c>
      <c r="D311" s="1052"/>
      <c r="E311" s="518">
        <v>4</v>
      </c>
      <c r="F311" s="518">
        <v>4</v>
      </c>
      <c r="G311" s="518">
        <v>4</v>
      </c>
      <c r="H311" s="518">
        <v>4</v>
      </c>
      <c r="I311" s="518">
        <v>4</v>
      </c>
      <c r="J311" s="518">
        <v>4</v>
      </c>
      <c r="K311" s="518">
        <v>4</v>
      </c>
      <c r="L311" s="518">
        <v>4</v>
      </c>
      <c r="M311" s="518">
        <v>4</v>
      </c>
      <c r="N311" s="518">
        <v>4</v>
      </c>
      <c r="O311" s="518">
        <v>4</v>
      </c>
      <c r="P311" s="518">
        <v>4</v>
      </c>
      <c r="Q311" s="518">
        <v>4</v>
      </c>
      <c r="R311" s="518">
        <v>4</v>
      </c>
      <c r="S311" s="518">
        <v>4</v>
      </c>
      <c r="T311" s="518">
        <v>4</v>
      </c>
      <c r="U311" s="518">
        <v>4</v>
      </c>
      <c r="V311" s="518">
        <v>4</v>
      </c>
      <c r="W311" s="518"/>
      <c r="X311" s="518"/>
      <c r="Y311" s="518">
        <v>4</v>
      </c>
      <c r="Z311" s="518">
        <v>4</v>
      </c>
      <c r="AA311" s="518">
        <v>4</v>
      </c>
      <c r="AB311" s="518">
        <v>4</v>
      </c>
      <c r="AC311" s="518">
        <v>4</v>
      </c>
      <c r="AD311" s="518">
        <v>4</v>
      </c>
      <c r="AE311" s="518">
        <v>4</v>
      </c>
      <c r="AF311" s="518">
        <v>4</v>
      </c>
      <c r="AG311" s="518">
        <v>4</v>
      </c>
      <c r="AH311" s="518">
        <v>4</v>
      </c>
      <c r="AI311" s="518">
        <v>4</v>
      </c>
      <c r="AJ311" s="518">
        <v>4</v>
      </c>
      <c r="AK311" s="518">
        <v>4</v>
      </c>
      <c r="AL311" s="518">
        <v>4</v>
      </c>
      <c r="AM311" s="518">
        <v>4</v>
      </c>
      <c r="AN311" s="518">
        <v>4</v>
      </c>
      <c r="AO311" s="518">
        <v>4</v>
      </c>
      <c r="AP311" s="518">
        <v>4</v>
      </c>
      <c r="AQ311" s="518">
        <v>4</v>
      </c>
      <c r="AR311" s="518">
        <v>4</v>
      </c>
      <c r="AS311" s="518">
        <v>4</v>
      </c>
      <c r="AT311" s="518">
        <v>4</v>
      </c>
      <c r="AU311" s="518">
        <v>4</v>
      </c>
      <c r="AV311" s="518">
        <v>4</v>
      </c>
      <c r="AW311" s="518">
        <v>4</v>
      </c>
      <c r="AX311" s="518">
        <v>4</v>
      </c>
      <c r="AY311" s="518">
        <v>4</v>
      </c>
      <c r="AZ311" s="518">
        <v>4</v>
      </c>
      <c r="BA311" s="518">
        <v>4</v>
      </c>
      <c r="BB311" s="518">
        <v>4</v>
      </c>
      <c r="BC311" s="518">
        <v>4</v>
      </c>
      <c r="BD311" s="518">
        <v>4</v>
      </c>
      <c r="BE311" s="518">
        <v>4</v>
      </c>
      <c r="BF311" s="518">
        <v>4</v>
      </c>
      <c r="BG311" s="495">
        <f t="shared" si="67"/>
        <v>208</v>
      </c>
      <c r="BH311" s="1056"/>
      <c r="BI311" s="496">
        <f t="shared" si="62"/>
        <v>52</v>
      </c>
    </row>
    <row r="312" spans="1:63" ht="199.9" customHeight="1" thickTop="1" thickBot="1" x14ac:dyDescent="1.3">
      <c r="A312" s="1063"/>
      <c r="B312" s="502" t="s">
        <v>344</v>
      </c>
      <c r="C312" s="1052" t="s">
        <v>539</v>
      </c>
      <c r="D312" s="1052"/>
      <c r="E312" s="518">
        <v>4</v>
      </c>
      <c r="F312" s="518">
        <v>4</v>
      </c>
      <c r="G312" s="518">
        <v>4</v>
      </c>
      <c r="H312" s="518">
        <v>4</v>
      </c>
      <c r="I312" s="518">
        <v>4</v>
      </c>
      <c r="J312" s="518">
        <v>4</v>
      </c>
      <c r="K312" s="518">
        <v>4</v>
      </c>
      <c r="L312" s="518">
        <v>4</v>
      </c>
      <c r="M312" s="518">
        <v>4</v>
      </c>
      <c r="N312" s="518">
        <v>4</v>
      </c>
      <c r="O312" s="518">
        <v>4</v>
      </c>
      <c r="P312" s="518">
        <v>4</v>
      </c>
      <c r="Q312" s="518">
        <v>4</v>
      </c>
      <c r="R312" s="518">
        <v>4</v>
      </c>
      <c r="S312" s="518">
        <v>4</v>
      </c>
      <c r="T312" s="518">
        <v>4</v>
      </c>
      <c r="U312" s="518">
        <v>4</v>
      </c>
      <c r="V312" s="518">
        <v>4</v>
      </c>
      <c r="W312" s="518"/>
      <c r="X312" s="518"/>
      <c r="Y312" s="518">
        <v>4</v>
      </c>
      <c r="Z312" s="518">
        <v>4</v>
      </c>
      <c r="AA312" s="518">
        <v>4</v>
      </c>
      <c r="AB312" s="518">
        <v>4</v>
      </c>
      <c r="AC312" s="518">
        <v>4</v>
      </c>
      <c r="AD312" s="518">
        <v>4</v>
      </c>
      <c r="AE312" s="518">
        <v>4</v>
      </c>
      <c r="AF312" s="518">
        <v>4</v>
      </c>
      <c r="AG312" s="518">
        <v>4</v>
      </c>
      <c r="AH312" s="518">
        <v>4</v>
      </c>
      <c r="AI312" s="518">
        <v>4</v>
      </c>
      <c r="AJ312" s="518">
        <v>4</v>
      </c>
      <c r="AK312" s="518">
        <v>4</v>
      </c>
      <c r="AL312" s="518">
        <v>4</v>
      </c>
      <c r="AM312" s="518">
        <v>4</v>
      </c>
      <c r="AN312" s="518">
        <v>4</v>
      </c>
      <c r="AO312" s="518">
        <v>4</v>
      </c>
      <c r="AP312" s="518">
        <v>4</v>
      </c>
      <c r="AQ312" s="518">
        <v>4</v>
      </c>
      <c r="AR312" s="518">
        <v>4</v>
      </c>
      <c r="AS312" s="518">
        <v>4</v>
      </c>
      <c r="AT312" s="518">
        <v>4</v>
      </c>
      <c r="AU312" s="518">
        <v>4</v>
      </c>
      <c r="AV312" s="518">
        <v>4</v>
      </c>
      <c r="AW312" s="518">
        <v>4</v>
      </c>
      <c r="AX312" s="518">
        <v>4</v>
      </c>
      <c r="AY312" s="518">
        <v>4</v>
      </c>
      <c r="AZ312" s="518">
        <v>4</v>
      </c>
      <c r="BA312" s="518">
        <v>4</v>
      </c>
      <c r="BB312" s="518">
        <v>4</v>
      </c>
      <c r="BC312" s="518">
        <v>4</v>
      </c>
      <c r="BD312" s="518">
        <v>4</v>
      </c>
      <c r="BE312" s="518">
        <v>4</v>
      </c>
      <c r="BF312" s="518">
        <v>4</v>
      </c>
      <c r="BG312" s="495">
        <f t="shared" si="67"/>
        <v>208</v>
      </c>
      <c r="BH312" s="1056"/>
      <c r="BI312" s="496">
        <f t="shared" ref="BI312:BI326" si="68">BG312/BF312</f>
        <v>52</v>
      </c>
    </row>
    <row r="313" spans="1:63" ht="199.9" customHeight="1" thickTop="1" thickBot="1" x14ac:dyDescent="1.3">
      <c r="A313" s="1063"/>
      <c r="B313" s="502" t="s">
        <v>345</v>
      </c>
      <c r="C313" s="1052" t="s">
        <v>539</v>
      </c>
      <c r="D313" s="1052"/>
      <c r="E313" s="518">
        <v>4</v>
      </c>
      <c r="F313" s="518">
        <v>4</v>
      </c>
      <c r="G313" s="518">
        <v>4</v>
      </c>
      <c r="H313" s="518">
        <v>4</v>
      </c>
      <c r="I313" s="518">
        <v>4</v>
      </c>
      <c r="J313" s="518">
        <v>4</v>
      </c>
      <c r="K313" s="518">
        <v>4</v>
      </c>
      <c r="L313" s="518">
        <v>4</v>
      </c>
      <c r="M313" s="518">
        <v>4</v>
      </c>
      <c r="N313" s="518">
        <v>4</v>
      </c>
      <c r="O313" s="518">
        <v>4</v>
      </c>
      <c r="P313" s="518">
        <v>4</v>
      </c>
      <c r="Q313" s="518">
        <v>4</v>
      </c>
      <c r="R313" s="518">
        <v>4</v>
      </c>
      <c r="S313" s="518">
        <v>4</v>
      </c>
      <c r="T313" s="518">
        <v>4</v>
      </c>
      <c r="U313" s="518">
        <v>4</v>
      </c>
      <c r="V313" s="518">
        <v>4</v>
      </c>
      <c r="W313" s="518"/>
      <c r="X313" s="518"/>
      <c r="Y313" s="518">
        <v>4</v>
      </c>
      <c r="Z313" s="518">
        <v>4</v>
      </c>
      <c r="AA313" s="518">
        <v>4</v>
      </c>
      <c r="AB313" s="518">
        <v>4</v>
      </c>
      <c r="AC313" s="518">
        <v>4</v>
      </c>
      <c r="AD313" s="518">
        <v>4</v>
      </c>
      <c r="AE313" s="518">
        <v>4</v>
      </c>
      <c r="AF313" s="518">
        <v>4</v>
      </c>
      <c r="AG313" s="518">
        <v>4</v>
      </c>
      <c r="AH313" s="518">
        <v>4</v>
      </c>
      <c r="AI313" s="518">
        <v>4</v>
      </c>
      <c r="AJ313" s="518">
        <v>4</v>
      </c>
      <c r="AK313" s="518">
        <v>4</v>
      </c>
      <c r="AL313" s="518">
        <v>4</v>
      </c>
      <c r="AM313" s="518">
        <v>4</v>
      </c>
      <c r="AN313" s="518">
        <v>4</v>
      </c>
      <c r="AO313" s="518">
        <v>4</v>
      </c>
      <c r="AP313" s="518">
        <v>4</v>
      </c>
      <c r="AQ313" s="518">
        <v>4</v>
      </c>
      <c r="AR313" s="518">
        <v>4</v>
      </c>
      <c r="AS313" s="518">
        <v>4</v>
      </c>
      <c r="AT313" s="518">
        <v>4</v>
      </c>
      <c r="AU313" s="518">
        <v>4</v>
      </c>
      <c r="AV313" s="518">
        <v>4</v>
      </c>
      <c r="AW313" s="518">
        <v>4</v>
      </c>
      <c r="AX313" s="518">
        <v>4</v>
      </c>
      <c r="AY313" s="518">
        <v>4</v>
      </c>
      <c r="AZ313" s="518">
        <v>4</v>
      </c>
      <c r="BA313" s="518">
        <v>4</v>
      </c>
      <c r="BB313" s="518">
        <v>4</v>
      </c>
      <c r="BC313" s="518">
        <v>4</v>
      </c>
      <c r="BD313" s="518">
        <v>4</v>
      </c>
      <c r="BE313" s="518">
        <v>4</v>
      </c>
      <c r="BF313" s="518">
        <v>4</v>
      </c>
      <c r="BG313" s="495">
        <f t="shared" si="67"/>
        <v>208</v>
      </c>
      <c r="BH313" s="1056"/>
      <c r="BI313" s="496">
        <f t="shared" si="68"/>
        <v>52</v>
      </c>
    </row>
    <row r="314" spans="1:63" ht="199.9" customHeight="1" thickTop="1" thickBot="1" x14ac:dyDescent="1.3">
      <c r="A314" s="1063"/>
      <c r="B314" s="502" t="s">
        <v>346</v>
      </c>
      <c r="C314" s="1052" t="s">
        <v>539</v>
      </c>
      <c r="D314" s="1052"/>
      <c r="E314" s="518">
        <v>4</v>
      </c>
      <c r="F314" s="518">
        <v>4</v>
      </c>
      <c r="G314" s="518">
        <v>4</v>
      </c>
      <c r="H314" s="518">
        <v>4</v>
      </c>
      <c r="I314" s="518">
        <v>4</v>
      </c>
      <c r="J314" s="518">
        <v>4</v>
      </c>
      <c r="K314" s="518">
        <v>4</v>
      </c>
      <c r="L314" s="518">
        <v>4</v>
      </c>
      <c r="M314" s="518">
        <v>4</v>
      </c>
      <c r="N314" s="518">
        <v>4</v>
      </c>
      <c r="O314" s="518">
        <v>4</v>
      </c>
      <c r="P314" s="518">
        <v>4</v>
      </c>
      <c r="Q314" s="518">
        <v>4</v>
      </c>
      <c r="R314" s="518">
        <v>4</v>
      </c>
      <c r="S314" s="518">
        <v>4</v>
      </c>
      <c r="T314" s="518">
        <v>4</v>
      </c>
      <c r="U314" s="518">
        <v>4</v>
      </c>
      <c r="V314" s="518">
        <v>4</v>
      </c>
      <c r="W314" s="518"/>
      <c r="X314" s="518"/>
      <c r="Y314" s="518">
        <v>4</v>
      </c>
      <c r="Z314" s="518">
        <v>4</v>
      </c>
      <c r="AA314" s="518">
        <v>4</v>
      </c>
      <c r="AB314" s="518">
        <v>4</v>
      </c>
      <c r="AC314" s="518">
        <v>4</v>
      </c>
      <c r="AD314" s="518">
        <v>4</v>
      </c>
      <c r="AE314" s="518">
        <v>4</v>
      </c>
      <c r="AF314" s="518">
        <v>4</v>
      </c>
      <c r="AG314" s="518">
        <v>4</v>
      </c>
      <c r="AH314" s="518">
        <v>4</v>
      </c>
      <c r="AI314" s="518">
        <v>4</v>
      </c>
      <c r="AJ314" s="518">
        <v>4</v>
      </c>
      <c r="AK314" s="518">
        <v>4</v>
      </c>
      <c r="AL314" s="518">
        <v>4</v>
      </c>
      <c r="AM314" s="518">
        <v>4</v>
      </c>
      <c r="AN314" s="518">
        <v>4</v>
      </c>
      <c r="AO314" s="518">
        <v>4</v>
      </c>
      <c r="AP314" s="518">
        <v>4</v>
      </c>
      <c r="AQ314" s="518">
        <v>4</v>
      </c>
      <c r="AR314" s="518">
        <v>4</v>
      </c>
      <c r="AS314" s="518">
        <v>4</v>
      </c>
      <c r="AT314" s="518">
        <v>4</v>
      </c>
      <c r="AU314" s="518">
        <v>4</v>
      </c>
      <c r="AV314" s="518">
        <v>4</v>
      </c>
      <c r="AW314" s="518">
        <v>4</v>
      </c>
      <c r="AX314" s="518">
        <v>4</v>
      </c>
      <c r="AY314" s="518">
        <v>4</v>
      </c>
      <c r="AZ314" s="518">
        <v>4</v>
      </c>
      <c r="BA314" s="518">
        <v>4</v>
      </c>
      <c r="BB314" s="518">
        <v>4</v>
      </c>
      <c r="BC314" s="518">
        <v>4</v>
      </c>
      <c r="BD314" s="518">
        <v>4</v>
      </c>
      <c r="BE314" s="518">
        <v>4</v>
      </c>
      <c r="BF314" s="518">
        <v>4</v>
      </c>
      <c r="BG314" s="495">
        <f t="shared" si="67"/>
        <v>208</v>
      </c>
      <c r="BH314" s="1056"/>
      <c r="BI314" s="496">
        <f t="shared" si="68"/>
        <v>52</v>
      </c>
    </row>
    <row r="315" spans="1:63" s="511" customFormat="1" ht="205.5" customHeight="1" thickTop="1" thickBot="1" x14ac:dyDescent="1.3">
      <c r="A315" s="1055" t="s">
        <v>646</v>
      </c>
      <c r="B315" s="1054" t="s">
        <v>645</v>
      </c>
      <c r="C315" s="1053" t="s">
        <v>127</v>
      </c>
      <c r="D315" s="1053"/>
      <c r="E315" s="508">
        <v>45</v>
      </c>
      <c r="F315" s="508">
        <v>45</v>
      </c>
      <c r="G315" s="508">
        <v>45</v>
      </c>
      <c r="H315" s="508">
        <v>45</v>
      </c>
      <c r="I315" s="508">
        <v>45</v>
      </c>
      <c r="J315" s="508">
        <v>45</v>
      </c>
      <c r="K315" s="508">
        <v>45</v>
      </c>
      <c r="L315" s="508">
        <v>45</v>
      </c>
      <c r="M315" s="508">
        <v>45</v>
      </c>
      <c r="N315" s="508">
        <v>45</v>
      </c>
      <c r="O315" s="508">
        <v>45</v>
      </c>
      <c r="P315" s="508">
        <v>45</v>
      </c>
      <c r="Q315" s="508">
        <v>45</v>
      </c>
      <c r="R315" s="508">
        <v>45</v>
      </c>
      <c r="S315" s="508">
        <v>45</v>
      </c>
      <c r="T315" s="508">
        <v>45</v>
      </c>
      <c r="U315" s="508">
        <v>45</v>
      </c>
      <c r="V315" s="508">
        <v>45</v>
      </c>
      <c r="W315" s="508">
        <v>45</v>
      </c>
      <c r="X315" s="508">
        <v>45</v>
      </c>
      <c r="Y315" s="508">
        <v>45</v>
      </c>
      <c r="Z315" s="508">
        <v>45</v>
      </c>
      <c r="AA315" s="508">
        <v>45</v>
      </c>
      <c r="AB315" s="508">
        <v>45</v>
      </c>
      <c r="AC315" s="508">
        <v>45</v>
      </c>
      <c r="AD315" s="508">
        <v>45</v>
      </c>
      <c r="AE315" s="508">
        <v>45</v>
      </c>
      <c r="AF315" s="508">
        <v>45</v>
      </c>
      <c r="AG315" s="508">
        <v>45</v>
      </c>
      <c r="AH315" s="508">
        <v>45</v>
      </c>
      <c r="AI315" s="508">
        <v>45</v>
      </c>
      <c r="AJ315" s="508">
        <v>45</v>
      </c>
      <c r="AK315" s="508">
        <v>45</v>
      </c>
      <c r="AL315" s="508">
        <v>45</v>
      </c>
      <c r="AM315" s="508">
        <v>45</v>
      </c>
      <c r="AN315" s="508">
        <v>45</v>
      </c>
      <c r="AO315" s="508">
        <v>45</v>
      </c>
      <c r="AP315" s="508">
        <v>45</v>
      </c>
      <c r="AQ315" s="508">
        <v>45</v>
      </c>
      <c r="AR315" s="508">
        <v>45</v>
      </c>
      <c r="AS315" s="508">
        <v>45</v>
      </c>
      <c r="AT315" s="508">
        <v>45</v>
      </c>
      <c r="AU315" s="508">
        <v>45</v>
      </c>
      <c r="AV315" s="508">
        <v>45</v>
      </c>
      <c r="AW315" s="508">
        <v>45</v>
      </c>
      <c r="AX315" s="508">
        <v>45</v>
      </c>
      <c r="AY315" s="508">
        <v>45</v>
      </c>
      <c r="AZ315" s="508">
        <v>45</v>
      </c>
      <c r="BA315" s="508">
        <v>45</v>
      </c>
      <c r="BB315" s="508">
        <v>45</v>
      </c>
      <c r="BC315" s="508">
        <v>45</v>
      </c>
      <c r="BD315" s="508">
        <v>45</v>
      </c>
      <c r="BE315" s="508">
        <v>45</v>
      </c>
      <c r="BF315" s="508">
        <v>45</v>
      </c>
      <c r="BG315" s="490">
        <f t="shared" si="67"/>
        <v>2430</v>
      </c>
      <c r="BH315" s="509"/>
      <c r="BI315" s="491">
        <f t="shared" si="68"/>
        <v>54</v>
      </c>
    </row>
    <row r="316" spans="1:63" ht="199.9" customHeight="1" thickTop="1" thickBot="1" x14ac:dyDescent="1.3">
      <c r="A316" s="1055"/>
      <c r="B316" s="1054"/>
      <c r="C316" s="1052" t="s">
        <v>128</v>
      </c>
      <c r="D316" s="1052"/>
      <c r="E316" s="512">
        <v>60</v>
      </c>
      <c r="F316" s="755">
        <v>60</v>
      </c>
      <c r="G316" s="755">
        <v>60</v>
      </c>
      <c r="H316" s="755">
        <v>60</v>
      </c>
      <c r="I316" s="755">
        <v>60</v>
      </c>
      <c r="J316" s="755">
        <v>60</v>
      </c>
      <c r="K316" s="755">
        <v>60</v>
      </c>
      <c r="L316" s="755">
        <v>60</v>
      </c>
      <c r="M316" s="755">
        <v>60</v>
      </c>
      <c r="N316" s="755">
        <v>60</v>
      </c>
      <c r="O316" s="755">
        <v>60</v>
      </c>
      <c r="P316" s="755">
        <v>60</v>
      </c>
      <c r="Q316" s="755">
        <v>60</v>
      </c>
      <c r="R316" s="755">
        <v>60</v>
      </c>
      <c r="S316" s="755">
        <v>60</v>
      </c>
      <c r="T316" s="755">
        <v>60</v>
      </c>
      <c r="U316" s="755">
        <v>60</v>
      </c>
      <c r="V316" s="755">
        <v>60</v>
      </c>
      <c r="W316" s="755">
        <v>60</v>
      </c>
      <c r="X316" s="755">
        <v>60</v>
      </c>
      <c r="Y316" s="755">
        <v>60</v>
      </c>
      <c r="Z316" s="755">
        <v>60</v>
      </c>
      <c r="AA316" s="755">
        <v>60</v>
      </c>
      <c r="AB316" s="755">
        <v>60</v>
      </c>
      <c r="AC316" s="755">
        <v>60</v>
      </c>
      <c r="AD316" s="755">
        <v>60</v>
      </c>
      <c r="AE316" s="755">
        <v>60</v>
      </c>
      <c r="AF316" s="755">
        <v>60</v>
      </c>
      <c r="AG316" s="755">
        <v>60</v>
      </c>
      <c r="AH316" s="755">
        <v>60</v>
      </c>
      <c r="AI316" s="755">
        <v>60</v>
      </c>
      <c r="AJ316" s="755">
        <v>60</v>
      </c>
      <c r="AK316" s="755">
        <v>60</v>
      </c>
      <c r="AL316" s="755">
        <v>60</v>
      </c>
      <c r="AM316" s="755">
        <v>60</v>
      </c>
      <c r="AN316" s="755">
        <v>60</v>
      </c>
      <c r="AO316" s="755">
        <v>60</v>
      </c>
      <c r="AP316" s="755">
        <v>60</v>
      </c>
      <c r="AQ316" s="755">
        <v>60</v>
      </c>
      <c r="AR316" s="755">
        <v>60</v>
      </c>
      <c r="AS316" s="755">
        <v>60</v>
      </c>
      <c r="AT316" s="755">
        <v>60</v>
      </c>
      <c r="AU316" s="755">
        <v>60</v>
      </c>
      <c r="AV316" s="755">
        <v>60</v>
      </c>
      <c r="AW316" s="755">
        <v>60</v>
      </c>
      <c r="AX316" s="755">
        <v>60</v>
      </c>
      <c r="AY316" s="755">
        <v>60</v>
      </c>
      <c r="AZ316" s="755">
        <v>60</v>
      </c>
      <c r="BA316" s="755">
        <v>60</v>
      </c>
      <c r="BB316" s="755">
        <v>60</v>
      </c>
      <c r="BC316" s="755">
        <v>60</v>
      </c>
      <c r="BD316" s="755">
        <v>60</v>
      </c>
      <c r="BE316" s="755">
        <v>60</v>
      </c>
      <c r="BF316" s="755">
        <v>60</v>
      </c>
      <c r="BG316" s="495">
        <f t="shared" si="67"/>
        <v>3240</v>
      </c>
      <c r="BH316" s="701">
        <f>BG316</f>
        <v>3240</v>
      </c>
      <c r="BI316" s="496">
        <f>BG316/BF316</f>
        <v>54</v>
      </c>
      <c r="BJ316" s="513">
        <f>BH316/54</f>
        <v>60</v>
      </c>
      <c r="BK316" s="513">
        <f>60*54</f>
        <v>3240</v>
      </c>
    </row>
    <row r="317" spans="1:63" s="511" customFormat="1" ht="205.5" customHeight="1" thickTop="1" thickBot="1" x14ac:dyDescent="1.3">
      <c r="A317" s="1063" t="s">
        <v>428</v>
      </c>
      <c r="B317" s="1054" t="s">
        <v>429</v>
      </c>
      <c r="C317" s="1053" t="s">
        <v>127</v>
      </c>
      <c r="D317" s="1053"/>
      <c r="E317" s="508">
        <v>85</v>
      </c>
      <c r="F317" s="508">
        <v>85</v>
      </c>
      <c r="G317" s="508">
        <v>85</v>
      </c>
      <c r="H317" s="508">
        <v>85</v>
      </c>
      <c r="I317" s="508">
        <v>85</v>
      </c>
      <c r="J317" s="508">
        <v>85</v>
      </c>
      <c r="K317" s="508">
        <v>85</v>
      </c>
      <c r="L317" s="508">
        <v>85</v>
      </c>
      <c r="M317" s="508">
        <v>85</v>
      </c>
      <c r="N317" s="508">
        <v>85</v>
      </c>
      <c r="O317" s="508">
        <v>85</v>
      </c>
      <c r="P317" s="508">
        <v>85</v>
      </c>
      <c r="Q317" s="508">
        <v>85</v>
      </c>
      <c r="R317" s="508">
        <v>85</v>
      </c>
      <c r="S317" s="508">
        <v>85</v>
      </c>
      <c r="T317" s="508">
        <v>85</v>
      </c>
      <c r="U317" s="508">
        <v>85</v>
      </c>
      <c r="V317" s="508">
        <v>85</v>
      </c>
      <c r="W317" s="508">
        <v>85</v>
      </c>
      <c r="X317" s="508">
        <v>85</v>
      </c>
      <c r="Y317" s="508">
        <v>85</v>
      </c>
      <c r="Z317" s="508">
        <v>85</v>
      </c>
      <c r="AA317" s="508">
        <v>85</v>
      </c>
      <c r="AB317" s="508">
        <v>85</v>
      </c>
      <c r="AC317" s="508">
        <v>85</v>
      </c>
      <c r="AD317" s="508">
        <v>85</v>
      </c>
      <c r="AE317" s="508">
        <v>85</v>
      </c>
      <c r="AF317" s="508">
        <v>85</v>
      </c>
      <c r="AG317" s="508">
        <v>85</v>
      </c>
      <c r="AH317" s="508">
        <v>85</v>
      </c>
      <c r="AI317" s="508">
        <v>85</v>
      </c>
      <c r="AJ317" s="508">
        <v>85</v>
      </c>
      <c r="AK317" s="508">
        <v>85</v>
      </c>
      <c r="AL317" s="508">
        <v>85</v>
      </c>
      <c r="AM317" s="508">
        <v>85</v>
      </c>
      <c r="AN317" s="508">
        <v>85</v>
      </c>
      <c r="AO317" s="508">
        <v>85</v>
      </c>
      <c r="AP317" s="508">
        <v>85</v>
      </c>
      <c r="AQ317" s="508">
        <v>85</v>
      </c>
      <c r="AR317" s="508">
        <v>85</v>
      </c>
      <c r="AS317" s="508">
        <v>85</v>
      </c>
      <c r="AT317" s="508">
        <v>85</v>
      </c>
      <c r="AU317" s="508">
        <v>85</v>
      </c>
      <c r="AV317" s="508">
        <v>85</v>
      </c>
      <c r="AW317" s="508">
        <v>85</v>
      </c>
      <c r="AX317" s="508">
        <v>85</v>
      </c>
      <c r="AY317" s="508">
        <v>85</v>
      </c>
      <c r="AZ317" s="508">
        <v>85</v>
      </c>
      <c r="BA317" s="508">
        <v>85</v>
      </c>
      <c r="BB317" s="508">
        <v>85</v>
      </c>
      <c r="BC317" s="508">
        <v>85</v>
      </c>
      <c r="BD317" s="508">
        <v>85</v>
      </c>
      <c r="BE317" s="508">
        <v>85</v>
      </c>
      <c r="BF317" s="508">
        <v>85</v>
      </c>
      <c r="BG317" s="490">
        <f t="shared" ref="BG317:BG324" si="69">SUM(E317:BF317)</f>
        <v>4590</v>
      </c>
      <c r="BH317" s="509"/>
      <c r="BI317" s="491">
        <f t="shared" si="68"/>
        <v>54</v>
      </c>
    </row>
    <row r="318" spans="1:63" ht="199.9" customHeight="1" thickTop="1" thickBot="1" x14ac:dyDescent="1.3">
      <c r="A318" s="1063"/>
      <c r="B318" s="1054"/>
      <c r="C318" s="1052" t="s">
        <v>128</v>
      </c>
      <c r="D318" s="1052"/>
      <c r="E318" s="565">
        <v>85.3</v>
      </c>
      <c r="F318" s="565">
        <v>85.3</v>
      </c>
      <c r="G318" s="565">
        <v>85.3</v>
      </c>
      <c r="H318" s="565">
        <v>85.3</v>
      </c>
      <c r="I318" s="565">
        <v>85.3</v>
      </c>
      <c r="J318" s="565">
        <v>85.3</v>
      </c>
      <c r="K318" s="565">
        <v>85.3</v>
      </c>
      <c r="L318" s="565">
        <v>85.3</v>
      </c>
      <c r="M318" s="565">
        <v>85.3</v>
      </c>
      <c r="N318" s="565">
        <v>85.3</v>
      </c>
      <c r="O318" s="565">
        <v>85.3</v>
      </c>
      <c r="P318" s="565">
        <v>85.3</v>
      </c>
      <c r="Q318" s="565">
        <v>85.3</v>
      </c>
      <c r="R318" s="565">
        <v>85.3</v>
      </c>
      <c r="S318" s="565">
        <v>85.3</v>
      </c>
      <c r="T318" s="565">
        <v>85.3</v>
      </c>
      <c r="U318" s="565">
        <v>85.3</v>
      </c>
      <c r="V318" s="565">
        <v>85.3</v>
      </c>
      <c r="W318" s="565">
        <v>85.3</v>
      </c>
      <c r="X318" s="565">
        <v>85.3</v>
      </c>
      <c r="Y318" s="565">
        <v>85.3</v>
      </c>
      <c r="Z318" s="565">
        <v>85.3</v>
      </c>
      <c r="AA318" s="565">
        <v>85.3</v>
      </c>
      <c r="AB318" s="565">
        <v>85.3</v>
      </c>
      <c r="AC318" s="565">
        <v>85.3</v>
      </c>
      <c r="AD318" s="565">
        <v>85.3</v>
      </c>
      <c r="AE318" s="565">
        <v>85.3</v>
      </c>
      <c r="AF318" s="565">
        <v>85.3</v>
      </c>
      <c r="AG318" s="565">
        <v>85.3</v>
      </c>
      <c r="AH318" s="565">
        <v>85.3</v>
      </c>
      <c r="AI318" s="565">
        <v>85.3</v>
      </c>
      <c r="AJ318" s="565">
        <v>85.3</v>
      </c>
      <c r="AK318" s="565">
        <v>85.3</v>
      </c>
      <c r="AL318" s="565">
        <v>85.3</v>
      </c>
      <c r="AM318" s="565">
        <v>85.3</v>
      </c>
      <c r="AN318" s="565">
        <v>85.3</v>
      </c>
      <c r="AO318" s="565">
        <v>85.3</v>
      </c>
      <c r="AP318" s="565">
        <v>85.3</v>
      </c>
      <c r="AQ318" s="565">
        <v>85.3</v>
      </c>
      <c r="AR318" s="565">
        <v>85.3</v>
      </c>
      <c r="AS318" s="565">
        <v>85.3</v>
      </c>
      <c r="AT318" s="565">
        <v>85.3</v>
      </c>
      <c r="AU318" s="565">
        <v>85.3</v>
      </c>
      <c r="AV318" s="565">
        <v>85.3</v>
      </c>
      <c r="AW318" s="565">
        <v>85.3</v>
      </c>
      <c r="AX318" s="565">
        <v>85.3</v>
      </c>
      <c r="AY318" s="565">
        <v>85.3</v>
      </c>
      <c r="AZ318" s="565">
        <v>85.3</v>
      </c>
      <c r="BA318" s="565">
        <v>85.3</v>
      </c>
      <c r="BB318" s="565">
        <v>85.3</v>
      </c>
      <c r="BC318" s="565">
        <v>85.3</v>
      </c>
      <c r="BD318" s="565">
        <v>85.3</v>
      </c>
      <c r="BE318" s="565">
        <v>85.3</v>
      </c>
      <c r="BF318" s="512">
        <v>85.3</v>
      </c>
      <c r="BG318" s="495">
        <f t="shared" si="69"/>
        <v>4606.2000000000044</v>
      </c>
      <c r="BH318" s="495">
        <f>BG318</f>
        <v>4606.2000000000044</v>
      </c>
      <c r="BI318" s="496">
        <f t="shared" si="68"/>
        <v>54.00000000000005</v>
      </c>
    </row>
    <row r="319" spans="1:63" s="511" customFormat="1" ht="199.9" customHeight="1" thickTop="1" thickBot="1" x14ac:dyDescent="1.3">
      <c r="A319" s="1063"/>
      <c r="B319" s="1054" t="s">
        <v>430</v>
      </c>
      <c r="C319" s="1053" t="s">
        <v>127</v>
      </c>
      <c r="D319" s="1053"/>
      <c r="E319" s="508">
        <v>165</v>
      </c>
      <c r="F319" s="508">
        <v>165</v>
      </c>
      <c r="G319" s="508">
        <v>165</v>
      </c>
      <c r="H319" s="508">
        <v>165</v>
      </c>
      <c r="I319" s="508">
        <v>165</v>
      </c>
      <c r="J319" s="508">
        <v>165</v>
      </c>
      <c r="K319" s="508">
        <v>165</v>
      </c>
      <c r="L319" s="508">
        <v>165</v>
      </c>
      <c r="M319" s="508">
        <v>165</v>
      </c>
      <c r="N319" s="508">
        <v>165</v>
      </c>
      <c r="O319" s="508">
        <v>165</v>
      </c>
      <c r="P319" s="508">
        <v>165</v>
      </c>
      <c r="Q319" s="508">
        <v>165</v>
      </c>
      <c r="R319" s="508">
        <v>165</v>
      </c>
      <c r="S319" s="508">
        <v>165</v>
      </c>
      <c r="T319" s="508">
        <v>165</v>
      </c>
      <c r="U319" s="508">
        <v>165</v>
      </c>
      <c r="V319" s="508">
        <v>165</v>
      </c>
      <c r="W319" s="508">
        <v>165</v>
      </c>
      <c r="X319" s="508">
        <v>165</v>
      </c>
      <c r="Y319" s="508">
        <v>165</v>
      </c>
      <c r="Z319" s="508">
        <v>165</v>
      </c>
      <c r="AA319" s="508">
        <v>165</v>
      </c>
      <c r="AB319" s="508">
        <v>165</v>
      </c>
      <c r="AC319" s="508">
        <v>165</v>
      </c>
      <c r="AD319" s="508">
        <v>165</v>
      </c>
      <c r="AE319" s="508">
        <v>165</v>
      </c>
      <c r="AF319" s="508">
        <v>165</v>
      </c>
      <c r="AG319" s="508">
        <v>165</v>
      </c>
      <c r="AH319" s="508">
        <v>165</v>
      </c>
      <c r="AI319" s="508">
        <v>165</v>
      </c>
      <c r="AJ319" s="508">
        <v>165</v>
      </c>
      <c r="AK319" s="508">
        <v>165</v>
      </c>
      <c r="AL319" s="508">
        <v>165</v>
      </c>
      <c r="AM319" s="508">
        <v>165</v>
      </c>
      <c r="AN319" s="508">
        <v>165</v>
      </c>
      <c r="AO319" s="508">
        <v>165</v>
      </c>
      <c r="AP319" s="508">
        <v>165</v>
      </c>
      <c r="AQ319" s="508">
        <v>165</v>
      </c>
      <c r="AR319" s="508">
        <v>165</v>
      </c>
      <c r="AS319" s="508">
        <v>165</v>
      </c>
      <c r="AT319" s="508">
        <v>165</v>
      </c>
      <c r="AU319" s="508">
        <v>165</v>
      </c>
      <c r="AV319" s="508">
        <v>165</v>
      </c>
      <c r="AW319" s="508">
        <v>165</v>
      </c>
      <c r="AX319" s="508">
        <v>165</v>
      </c>
      <c r="AY319" s="508">
        <v>165</v>
      </c>
      <c r="AZ319" s="508">
        <v>165</v>
      </c>
      <c r="BA319" s="508">
        <v>165</v>
      </c>
      <c r="BB319" s="508">
        <v>165</v>
      </c>
      <c r="BC319" s="508">
        <v>165</v>
      </c>
      <c r="BD319" s="508">
        <v>165</v>
      </c>
      <c r="BE319" s="508">
        <v>165</v>
      </c>
      <c r="BF319" s="508">
        <v>165</v>
      </c>
      <c r="BG319" s="490">
        <f t="shared" si="69"/>
        <v>8910</v>
      </c>
      <c r="BH319" s="501"/>
      <c r="BI319" s="491">
        <f t="shared" si="68"/>
        <v>54</v>
      </c>
    </row>
    <row r="320" spans="1:63" ht="199.9" customHeight="1" thickTop="1" thickBot="1" x14ac:dyDescent="1.3">
      <c r="A320" s="1063"/>
      <c r="B320" s="1054"/>
      <c r="C320" s="1052" t="s">
        <v>128</v>
      </c>
      <c r="D320" s="1052"/>
      <c r="E320" s="557">
        <v>167</v>
      </c>
      <c r="F320" s="565">
        <v>167</v>
      </c>
      <c r="G320" s="565">
        <v>167</v>
      </c>
      <c r="H320" s="565">
        <v>167</v>
      </c>
      <c r="I320" s="565">
        <v>167</v>
      </c>
      <c r="J320" s="565">
        <v>167</v>
      </c>
      <c r="K320" s="565">
        <v>167</v>
      </c>
      <c r="L320" s="565">
        <v>167</v>
      </c>
      <c r="M320" s="565">
        <v>167</v>
      </c>
      <c r="N320" s="565">
        <v>167</v>
      </c>
      <c r="O320" s="565">
        <v>167</v>
      </c>
      <c r="P320" s="565">
        <v>167</v>
      </c>
      <c r="Q320" s="565">
        <v>167</v>
      </c>
      <c r="R320" s="565">
        <v>167</v>
      </c>
      <c r="S320" s="565">
        <v>167</v>
      </c>
      <c r="T320" s="565">
        <v>167</v>
      </c>
      <c r="U320" s="565">
        <v>167</v>
      </c>
      <c r="V320" s="565">
        <v>167</v>
      </c>
      <c r="W320" s="565">
        <v>167</v>
      </c>
      <c r="X320" s="565">
        <v>167</v>
      </c>
      <c r="Y320" s="565">
        <v>167</v>
      </c>
      <c r="Z320" s="565">
        <v>167</v>
      </c>
      <c r="AA320" s="565">
        <v>167</v>
      </c>
      <c r="AB320" s="565">
        <v>167</v>
      </c>
      <c r="AC320" s="565">
        <v>167</v>
      </c>
      <c r="AD320" s="565">
        <v>167</v>
      </c>
      <c r="AE320" s="565">
        <v>167</v>
      </c>
      <c r="AF320" s="565">
        <v>167</v>
      </c>
      <c r="AG320" s="565">
        <v>167</v>
      </c>
      <c r="AH320" s="565">
        <v>167</v>
      </c>
      <c r="AI320" s="565">
        <v>167</v>
      </c>
      <c r="AJ320" s="565">
        <v>167</v>
      </c>
      <c r="AK320" s="565">
        <v>167</v>
      </c>
      <c r="AL320" s="565">
        <v>167</v>
      </c>
      <c r="AM320" s="565">
        <v>167</v>
      </c>
      <c r="AN320" s="565">
        <v>167</v>
      </c>
      <c r="AO320" s="565">
        <v>167</v>
      </c>
      <c r="AP320" s="565">
        <v>167</v>
      </c>
      <c r="AQ320" s="565">
        <v>167</v>
      </c>
      <c r="AR320" s="565">
        <v>167</v>
      </c>
      <c r="AS320" s="565">
        <v>167</v>
      </c>
      <c r="AT320" s="565">
        <v>167</v>
      </c>
      <c r="AU320" s="565">
        <v>167</v>
      </c>
      <c r="AV320" s="565">
        <v>167</v>
      </c>
      <c r="AW320" s="565">
        <v>167</v>
      </c>
      <c r="AX320" s="565">
        <v>167</v>
      </c>
      <c r="AY320" s="565">
        <v>167</v>
      </c>
      <c r="AZ320" s="565">
        <v>167</v>
      </c>
      <c r="BA320" s="565">
        <v>167</v>
      </c>
      <c r="BB320" s="565">
        <v>167</v>
      </c>
      <c r="BC320" s="565">
        <v>167</v>
      </c>
      <c r="BD320" s="565">
        <v>167</v>
      </c>
      <c r="BE320" s="565">
        <v>167</v>
      </c>
      <c r="BF320" s="565">
        <v>167</v>
      </c>
      <c r="BG320" s="495">
        <f t="shared" si="69"/>
        <v>9018</v>
      </c>
      <c r="BH320" s="507">
        <f>BG320</f>
        <v>9018</v>
      </c>
      <c r="BI320" s="496">
        <f t="shared" si="68"/>
        <v>54</v>
      </c>
    </row>
    <row r="321" spans="1:114" s="511" customFormat="1" ht="199.9" customHeight="1" thickTop="1" thickBot="1" x14ac:dyDescent="1.3">
      <c r="A321" s="1063"/>
      <c r="B321" s="1054" t="s">
        <v>431</v>
      </c>
      <c r="C321" s="1053" t="s">
        <v>127</v>
      </c>
      <c r="D321" s="1053"/>
      <c r="E321" s="508">
        <v>65</v>
      </c>
      <c r="F321" s="508">
        <v>65</v>
      </c>
      <c r="G321" s="508">
        <v>65</v>
      </c>
      <c r="H321" s="508">
        <v>65</v>
      </c>
      <c r="I321" s="508">
        <v>65</v>
      </c>
      <c r="J321" s="508">
        <v>65</v>
      </c>
      <c r="K321" s="508">
        <v>65</v>
      </c>
      <c r="L321" s="508">
        <v>65</v>
      </c>
      <c r="M321" s="508">
        <v>65</v>
      </c>
      <c r="N321" s="508">
        <v>65</v>
      </c>
      <c r="O321" s="508">
        <v>65</v>
      </c>
      <c r="P321" s="508">
        <v>65</v>
      </c>
      <c r="Q321" s="508">
        <v>65</v>
      </c>
      <c r="R321" s="508">
        <v>65</v>
      </c>
      <c r="S321" s="508">
        <v>65</v>
      </c>
      <c r="T321" s="508">
        <v>65</v>
      </c>
      <c r="U321" s="508">
        <v>65</v>
      </c>
      <c r="V321" s="508">
        <v>65</v>
      </c>
      <c r="W321" s="508">
        <v>65</v>
      </c>
      <c r="X321" s="508">
        <v>65</v>
      </c>
      <c r="Y321" s="508">
        <v>65</v>
      </c>
      <c r="Z321" s="508">
        <v>65</v>
      </c>
      <c r="AA321" s="508">
        <v>65</v>
      </c>
      <c r="AB321" s="508">
        <v>65</v>
      </c>
      <c r="AC321" s="508">
        <v>65</v>
      </c>
      <c r="AD321" s="508">
        <v>65</v>
      </c>
      <c r="AE321" s="508">
        <v>65</v>
      </c>
      <c r="AF321" s="508">
        <v>65</v>
      </c>
      <c r="AG321" s="508">
        <v>65</v>
      </c>
      <c r="AH321" s="508">
        <v>65</v>
      </c>
      <c r="AI321" s="508">
        <v>65</v>
      </c>
      <c r="AJ321" s="508">
        <v>65</v>
      </c>
      <c r="AK321" s="508">
        <v>65</v>
      </c>
      <c r="AL321" s="508">
        <v>65</v>
      </c>
      <c r="AM321" s="508">
        <v>65</v>
      </c>
      <c r="AN321" s="508">
        <v>65</v>
      </c>
      <c r="AO321" s="508">
        <v>65</v>
      </c>
      <c r="AP321" s="508">
        <v>65</v>
      </c>
      <c r="AQ321" s="508">
        <v>65</v>
      </c>
      <c r="AR321" s="508">
        <v>65</v>
      </c>
      <c r="AS321" s="508">
        <v>65</v>
      </c>
      <c r="AT321" s="508">
        <v>65</v>
      </c>
      <c r="AU321" s="508">
        <v>65</v>
      </c>
      <c r="AV321" s="508">
        <v>65</v>
      </c>
      <c r="AW321" s="508">
        <v>65</v>
      </c>
      <c r="AX321" s="508">
        <v>65</v>
      </c>
      <c r="AY321" s="508">
        <v>65</v>
      </c>
      <c r="AZ321" s="508">
        <v>65</v>
      </c>
      <c r="BA321" s="508">
        <v>65</v>
      </c>
      <c r="BB321" s="508">
        <v>65</v>
      </c>
      <c r="BC321" s="508">
        <v>65</v>
      </c>
      <c r="BD321" s="508">
        <v>65</v>
      </c>
      <c r="BE321" s="508">
        <v>65</v>
      </c>
      <c r="BF321" s="508">
        <v>65</v>
      </c>
      <c r="BG321" s="490">
        <f t="shared" si="69"/>
        <v>3510</v>
      </c>
      <c r="BH321" s="501"/>
      <c r="BI321" s="491">
        <f t="shared" si="68"/>
        <v>54</v>
      </c>
    </row>
    <row r="322" spans="1:114" ht="199.9" customHeight="1" thickTop="1" thickBot="1" x14ac:dyDescent="1.3">
      <c r="A322" s="1063"/>
      <c r="B322" s="1054"/>
      <c r="C322" s="1052" t="s">
        <v>128</v>
      </c>
      <c r="D322" s="1052"/>
      <c r="E322" s="565">
        <v>65.100000000000009</v>
      </c>
      <c r="F322" s="565">
        <v>65.100000000000009</v>
      </c>
      <c r="G322" s="565">
        <v>65.100000000000009</v>
      </c>
      <c r="H322" s="565">
        <v>65.100000000000009</v>
      </c>
      <c r="I322" s="565">
        <v>65.100000000000009</v>
      </c>
      <c r="J322" s="565">
        <v>65.100000000000009</v>
      </c>
      <c r="K322" s="565">
        <v>65.100000000000009</v>
      </c>
      <c r="L322" s="565">
        <v>65.100000000000009</v>
      </c>
      <c r="M322" s="565">
        <v>65.100000000000009</v>
      </c>
      <c r="N322" s="565">
        <v>65.100000000000009</v>
      </c>
      <c r="O322" s="565">
        <v>65.100000000000009</v>
      </c>
      <c r="P322" s="565">
        <v>65.100000000000009</v>
      </c>
      <c r="Q322" s="565">
        <v>65.100000000000009</v>
      </c>
      <c r="R322" s="565">
        <v>65.100000000000009</v>
      </c>
      <c r="S322" s="565">
        <v>65.100000000000009</v>
      </c>
      <c r="T322" s="565">
        <v>65.100000000000009</v>
      </c>
      <c r="U322" s="565">
        <v>65.100000000000009</v>
      </c>
      <c r="V322" s="565">
        <v>65.100000000000009</v>
      </c>
      <c r="W322" s="565">
        <v>65.100000000000009</v>
      </c>
      <c r="X322" s="565">
        <v>65.100000000000009</v>
      </c>
      <c r="Y322" s="565">
        <v>65.100000000000009</v>
      </c>
      <c r="Z322" s="565">
        <v>65.100000000000009</v>
      </c>
      <c r="AA322" s="565">
        <v>65.100000000000009</v>
      </c>
      <c r="AB322" s="565">
        <v>65.100000000000009</v>
      </c>
      <c r="AC322" s="565">
        <v>65.100000000000009</v>
      </c>
      <c r="AD322" s="565">
        <v>65.100000000000009</v>
      </c>
      <c r="AE322" s="565">
        <v>65.100000000000009</v>
      </c>
      <c r="AF322" s="565">
        <v>65.100000000000009</v>
      </c>
      <c r="AG322" s="565">
        <v>65.100000000000009</v>
      </c>
      <c r="AH322" s="565">
        <v>65.100000000000009</v>
      </c>
      <c r="AI322" s="565">
        <v>65.100000000000009</v>
      </c>
      <c r="AJ322" s="565">
        <v>65.100000000000009</v>
      </c>
      <c r="AK322" s="565">
        <v>65.100000000000009</v>
      </c>
      <c r="AL322" s="565">
        <v>65.100000000000009</v>
      </c>
      <c r="AM322" s="565">
        <v>65.100000000000009</v>
      </c>
      <c r="AN322" s="565">
        <v>65.100000000000009</v>
      </c>
      <c r="AO322" s="565">
        <v>65.100000000000009</v>
      </c>
      <c r="AP322" s="565">
        <v>65.100000000000009</v>
      </c>
      <c r="AQ322" s="565">
        <v>65.100000000000009</v>
      </c>
      <c r="AR322" s="565">
        <v>65.100000000000009</v>
      </c>
      <c r="AS322" s="565">
        <v>65.100000000000009</v>
      </c>
      <c r="AT322" s="565">
        <v>65.100000000000009</v>
      </c>
      <c r="AU322" s="565">
        <v>65.100000000000009</v>
      </c>
      <c r="AV322" s="565">
        <v>65.100000000000009</v>
      </c>
      <c r="AW322" s="565">
        <v>65.100000000000009</v>
      </c>
      <c r="AX322" s="565">
        <v>65.100000000000009</v>
      </c>
      <c r="AY322" s="565">
        <v>65.100000000000009</v>
      </c>
      <c r="AZ322" s="565">
        <v>65.100000000000009</v>
      </c>
      <c r="BA322" s="565">
        <v>65.100000000000009</v>
      </c>
      <c r="BB322" s="565">
        <v>65.100000000000009</v>
      </c>
      <c r="BC322" s="565">
        <v>65.100000000000009</v>
      </c>
      <c r="BD322" s="565">
        <v>65.100000000000009</v>
      </c>
      <c r="BE322" s="565">
        <v>65.100000000000009</v>
      </c>
      <c r="BF322" s="512">
        <v>65.100000000000009</v>
      </c>
      <c r="BG322" s="495">
        <f t="shared" si="69"/>
        <v>3515.3999999999969</v>
      </c>
      <c r="BH322" s="507">
        <f>BG322</f>
        <v>3515.3999999999969</v>
      </c>
      <c r="BI322" s="496">
        <f t="shared" si="68"/>
        <v>53.999999999999943</v>
      </c>
    </row>
    <row r="323" spans="1:114" s="511" customFormat="1" ht="199.9" customHeight="1" thickTop="1" thickBot="1" x14ac:dyDescent="1.3">
      <c r="A323" s="1063" t="s">
        <v>541</v>
      </c>
      <c r="B323" s="1054" t="s">
        <v>542</v>
      </c>
      <c r="C323" s="1053" t="s">
        <v>127</v>
      </c>
      <c r="D323" s="1053"/>
      <c r="E323" s="508">
        <v>4</v>
      </c>
      <c r="F323" s="508">
        <v>4</v>
      </c>
      <c r="G323" s="508">
        <v>4</v>
      </c>
      <c r="H323" s="508">
        <v>4</v>
      </c>
      <c r="I323" s="508">
        <v>4</v>
      </c>
      <c r="J323" s="508">
        <v>4</v>
      </c>
      <c r="K323" s="508">
        <v>4</v>
      </c>
      <c r="L323" s="508">
        <v>4</v>
      </c>
      <c r="M323" s="508">
        <v>4</v>
      </c>
      <c r="N323" s="508">
        <v>4</v>
      </c>
      <c r="O323" s="508">
        <v>4</v>
      </c>
      <c r="P323" s="508">
        <v>4</v>
      </c>
      <c r="Q323" s="508">
        <v>4</v>
      </c>
      <c r="R323" s="508">
        <v>4</v>
      </c>
      <c r="S323" s="508">
        <v>4</v>
      </c>
      <c r="T323" s="508">
        <v>4</v>
      </c>
      <c r="U323" s="508">
        <v>4</v>
      </c>
      <c r="V323" s="508">
        <v>4</v>
      </c>
      <c r="W323" s="508">
        <v>4</v>
      </c>
      <c r="X323" s="508">
        <v>4</v>
      </c>
      <c r="Y323" s="508">
        <v>4</v>
      </c>
      <c r="Z323" s="508">
        <v>4</v>
      </c>
      <c r="AA323" s="508">
        <v>4</v>
      </c>
      <c r="AB323" s="508">
        <v>4</v>
      </c>
      <c r="AC323" s="508">
        <v>4</v>
      </c>
      <c r="AD323" s="508">
        <v>4</v>
      </c>
      <c r="AE323" s="508">
        <v>4</v>
      </c>
      <c r="AF323" s="508">
        <v>4</v>
      </c>
      <c r="AG323" s="508">
        <v>4</v>
      </c>
      <c r="AH323" s="508">
        <v>4</v>
      </c>
      <c r="AI323" s="508">
        <v>4</v>
      </c>
      <c r="AJ323" s="508">
        <v>4</v>
      </c>
      <c r="AK323" s="508">
        <v>4</v>
      </c>
      <c r="AL323" s="508">
        <v>4</v>
      </c>
      <c r="AM323" s="508">
        <v>4</v>
      </c>
      <c r="AN323" s="508">
        <v>4</v>
      </c>
      <c r="AO323" s="508">
        <v>4</v>
      </c>
      <c r="AP323" s="508">
        <v>4</v>
      </c>
      <c r="AQ323" s="508">
        <v>4</v>
      </c>
      <c r="AR323" s="508">
        <v>4</v>
      </c>
      <c r="AS323" s="508">
        <v>4</v>
      </c>
      <c r="AT323" s="508">
        <v>4</v>
      </c>
      <c r="AU323" s="508">
        <v>4</v>
      </c>
      <c r="AV323" s="508">
        <v>4</v>
      </c>
      <c r="AW323" s="508">
        <v>4</v>
      </c>
      <c r="AX323" s="508">
        <v>4</v>
      </c>
      <c r="AY323" s="508">
        <v>4</v>
      </c>
      <c r="AZ323" s="508">
        <v>4</v>
      </c>
      <c r="BA323" s="508">
        <v>4</v>
      </c>
      <c r="BB323" s="508">
        <v>4</v>
      </c>
      <c r="BC323" s="508">
        <v>4</v>
      </c>
      <c r="BD323" s="508">
        <v>4</v>
      </c>
      <c r="BE323" s="508">
        <v>4</v>
      </c>
      <c r="BF323" s="508">
        <v>4</v>
      </c>
      <c r="BG323" s="490">
        <f t="shared" si="69"/>
        <v>216</v>
      </c>
      <c r="BH323" s="1056">
        <f>BG324</f>
        <v>216</v>
      </c>
      <c r="BI323" s="491">
        <f t="shared" si="68"/>
        <v>54</v>
      </c>
    </row>
    <row r="324" spans="1:114" ht="199.9" customHeight="1" thickTop="1" thickBot="1" x14ac:dyDescent="1.3">
      <c r="A324" s="1063"/>
      <c r="B324" s="1054"/>
      <c r="C324" s="1052" t="s">
        <v>128</v>
      </c>
      <c r="D324" s="1052"/>
      <c r="E324" s="512">
        <v>4</v>
      </c>
      <c r="F324" s="565">
        <v>4</v>
      </c>
      <c r="G324" s="565">
        <v>4</v>
      </c>
      <c r="H324" s="565">
        <v>4</v>
      </c>
      <c r="I324" s="565">
        <v>4</v>
      </c>
      <c r="J324" s="565">
        <v>4</v>
      </c>
      <c r="K324" s="565">
        <v>4</v>
      </c>
      <c r="L324" s="565">
        <v>4</v>
      </c>
      <c r="M324" s="565">
        <v>4</v>
      </c>
      <c r="N324" s="565">
        <v>4</v>
      </c>
      <c r="O324" s="565">
        <v>4</v>
      </c>
      <c r="P324" s="565">
        <v>4</v>
      </c>
      <c r="Q324" s="565">
        <v>4</v>
      </c>
      <c r="R324" s="565">
        <v>4</v>
      </c>
      <c r="S324" s="565">
        <v>4</v>
      </c>
      <c r="T324" s="565">
        <v>4</v>
      </c>
      <c r="U324" s="565">
        <v>4</v>
      </c>
      <c r="V324" s="565">
        <v>4</v>
      </c>
      <c r="W324" s="565">
        <v>4</v>
      </c>
      <c r="X324" s="565">
        <v>4</v>
      </c>
      <c r="Y324" s="565">
        <v>4</v>
      </c>
      <c r="Z324" s="565">
        <v>4</v>
      </c>
      <c r="AA324" s="565">
        <v>4</v>
      </c>
      <c r="AB324" s="565">
        <v>4</v>
      </c>
      <c r="AC324" s="565">
        <v>4</v>
      </c>
      <c r="AD324" s="565">
        <v>4</v>
      </c>
      <c r="AE324" s="565">
        <v>4</v>
      </c>
      <c r="AF324" s="565">
        <v>4</v>
      </c>
      <c r="AG324" s="565">
        <v>4</v>
      </c>
      <c r="AH324" s="565">
        <v>4</v>
      </c>
      <c r="AI324" s="565">
        <v>4</v>
      </c>
      <c r="AJ324" s="565">
        <v>4</v>
      </c>
      <c r="AK324" s="565">
        <v>4</v>
      </c>
      <c r="AL324" s="565">
        <v>4</v>
      </c>
      <c r="AM324" s="565">
        <v>4</v>
      </c>
      <c r="AN324" s="565">
        <v>4</v>
      </c>
      <c r="AO324" s="565">
        <v>4</v>
      </c>
      <c r="AP324" s="565">
        <v>4</v>
      </c>
      <c r="AQ324" s="565">
        <v>4</v>
      </c>
      <c r="AR324" s="565">
        <v>4</v>
      </c>
      <c r="AS324" s="565">
        <v>4</v>
      </c>
      <c r="AT324" s="565">
        <v>4</v>
      </c>
      <c r="AU324" s="565">
        <v>4</v>
      </c>
      <c r="AV324" s="565">
        <v>4</v>
      </c>
      <c r="AW324" s="565">
        <v>4</v>
      </c>
      <c r="AX324" s="565">
        <v>4</v>
      </c>
      <c r="AY324" s="565">
        <v>4</v>
      </c>
      <c r="AZ324" s="565">
        <v>4</v>
      </c>
      <c r="BA324" s="565">
        <v>4</v>
      </c>
      <c r="BB324" s="565">
        <v>4</v>
      </c>
      <c r="BC324" s="565">
        <v>4</v>
      </c>
      <c r="BD324" s="565">
        <v>4</v>
      </c>
      <c r="BE324" s="565">
        <v>4</v>
      </c>
      <c r="BF324" s="565">
        <v>4</v>
      </c>
      <c r="BG324" s="495">
        <f t="shared" si="69"/>
        <v>216</v>
      </c>
      <c r="BH324" s="1056"/>
      <c r="BI324" s="496">
        <f t="shared" si="68"/>
        <v>54</v>
      </c>
    </row>
    <row r="325" spans="1:114" s="511" customFormat="1" ht="199.9" customHeight="1" thickTop="1" thickBot="1" x14ac:dyDescent="1.3">
      <c r="A325" s="1063" t="s">
        <v>647</v>
      </c>
      <c r="B325" s="1054" t="s">
        <v>637</v>
      </c>
      <c r="C325" s="1053" t="s">
        <v>127</v>
      </c>
      <c r="D325" s="1053"/>
      <c r="E325" s="508">
        <v>8</v>
      </c>
      <c r="F325" s="508">
        <v>8</v>
      </c>
      <c r="G325" s="508">
        <v>8</v>
      </c>
      <c r="H325" s="508">
        <v>8</v>
      </c>
      <c r="I325" s="508">
        <v>8</v>
      </c>
      <c r="J325" s="508">
        <v>8</v>
      </c>
      <c r="K325" s="508">
        <v>8</v>
      </c>
      <c r="L325" s="508">
        <v>8</v>
      </c>
      <c r="M325" s="508">
        <v>8</v>
      </c>
      <c r="N325" s="508">
        <v>8</v>
      </c>
      <c r="O325" s="508">
        <v>8</v>
      </c>
      <c r="P325" s="508">
        <v>8</v>
      </c>
      <c r="Q325" s="508">
        <v>8</v>
      </c>
      <c r="R325" s="508">
        <v>8</v>
      </c>
      <c r="S325" s="508">
        <v>8</v>
      </c>
      <c r="T325" s="508">
        <v>8</v>
      </c>
      <c r="U325" s="508">
        <v>8</v>
      </c>
      <c r="V325" s="508">
        <v>8</v>
      </c>
      <c r="W325" s="508">
        <v>8</v>
      </c>
      <c r="X325" s="508">
        <v>8</v>
      </c>
      <c r="Y325" s="508">
        <v>8</v>
      </c>
      <c r="Z325" s="508">
        <v>8</v>
      </c>
      <c r="AA325" s="508">
        <v>8</v>
      </c>
      <c r="AB325" s="508">
        <v>8</v>
      </c>
      <c r="AC325" s="508">
        <v>8</v>
      </c>
      <c r="AD325" s="508">
        <v>8</v>
      </c>
      <c r="AE325" s="508">
        <v>8</v>
      </c>
      <c r="AF325" s="508">
        <v>8</v>
      </c>
      <c r="AG325" s="508">
        <v>8</v>
      </c>
      <c r="AH325" s="508">
        <v>8</v>
      </c>
      <c r="AI325" s="508">
        <v>8</v>
      </c>
      <c r="AJ325" s="508">
        <v>8</v>
      </c>
      <c r="AK325" s="508">
        <v>8</v>
      </c>
      <c r="AL325" s="508">
        <v>8</v>
      </c>
      <c r="AM325" s="508">
        <v>8</v>
      </c>
      <c r="AN325" s="508">
        <v>8</v>
      </c>
      <c r="AO325" s="508">
        <v>8</v>
      </c>
      <c r="AP325" s="508">
        <v>8</v>
      </c>
      <c r="AQ325" s="508">
        <v>8</v>
      </c>
      <c r="AR325" s="508">
        <v>8</v>
      </c>
      <c r="AS325" s="508">
        <v>8</v>
      </c>
      <c r="AT325" s="508">
        <v>8</v>
      </c>
      <c r="AU325" s="508">
        <v>8</v>
      </c>
      <c r="AV325" s="508">
        <v>8</v>
      </c>
      <c r="AW325" s="508">
        <v>8</v>
      </c>
      <c r="AX325" s="508">
        <v>8</v>
      </c>
      <c r="AY325" s="508">
        <v>8</v>
      </c>
      <c r="AZ325" s="508">
        <v>8</v>
      </c>
      <c r="BA325" s="508">
        <v>8</v>
      </c>
      <c r="BB325" s="508">
        <v>8</v>
      </c>
      <c r="BC325" s="508">
        <v>8</v>
      </c>
      <c r="BD325" s="508">
        <v>8</v>
      </c>
      <c r="BE325" s="508">
        <v>8</v>
      </c>
      <c r="BF325" s="508">
        <v>8</v>
      </c>
      <c r="BG325" s="490">
        <f t="shared" ref="BG325:BG326" si="70">SUM(E325:BF325)</f>
        <v>432</v>
      </c>
      <c r="BH325" s="1056">
        <f>BG326</f>
        <v>432</v>
      </c>
      <c r="BI325" s="491">
        <f t="shared" si="68"/>
        <v>54</v>
      </c>
    </row>
    <row r="326" spans="1:114" ht="199.9" customHeight="1" thickTop="1" thickBot="1" x14ac:dyDescent="1.3">
      <c r="A326" s="1063"/>
      <c r="B326" s="1054"/>
      <c r="C326" s="1052" t="s">
        <v>128</v>
      </c>
      <c r="D326" s="1052"/>
      <c r="E326" s="512">
        <v>8</v>
      </c>
      <c r="F326" s="512">
        <v>8</v>
      </c>
      <c r="G326" s="512">
        <v>8</v>
      </c>
      <c r="H326" s="512">
        <v>8</v>
      </c>
      <c r="I326" s="512">
        <v>8</v>
      </c>
      <c r="J326" s="512">
        <v>8</v>
      </c>
      <c r="K326" s="512">
        <v>8</v>
      </c>
      <c r="L326" s="512">
        <v>8</v>
      </c>
      <c r="M326" s="557">
        <v>8</v>
      </c>
      <c r="N326" s="557">
        <v>8</v>
      </c>
      <c r="O326" s="557">
        <v>8</v>
      </c>
      <c r="P326" s="557">
        <v>8</v>
      </c>
      <c r="Q326" s="557">
        <v>8</v>
      </c>
      <c r="R326" s="557">
        <v>8</v>
      </c>
      <c r="S326" s="557">
        <v>8</v>
      </c>
      <c r="T326" s="557">
        <v>8</v>
      </c>
      <c r="U326" s="557">
        <v>8</v>
      </c>
      <c r="V326" s="557">
        <v>8</v>
      </c>
      <c r="W326" s="557">
        <v>8</v>
      </c>
      <c r="X326" s="557">
        <v>8</v>
      </c>
      <c r="Y326" s="557">
        <v>8</v>
      </c>
      <c r="Z326" s="557">
        <v>8</v>
      </c>
      <c r="AA326" s="557">
        <v>8</v>
      </c>
      <c r="AB326" s="557">
        <v>8</v>
      </c>
      <c r="AC326" s="557">
        <v>8</v>
      </c>
      <c r="AD326" s="565">
        <v>8</v>
      </c>
      <c r="AE326" s="631">
        <v>8</v>
      </c>
      <c r="AF326" s="631">
        <v>8</v>
      </c>
      <c r="AG326" s="631">
        <v>8</v>
      </c>
      <c r="AH326" s="631">
        <v>8</v>
      </c>
      <c r="AI326" s="565">
        <v>8</v>
      </c>
      <c r="AJ326" s="565">
        <v>8</v>
      </c>
      <c r="AK326" s="565">
        <v>8</v>
      </c>
      <c r="AL326" s="565">
        <v>8</v>
      </c>
      <c r="AM326" s="565">
        <v>8</v>
      </c>
      <c r="AN326" s="565">
        <v>8</v>
      </c>
      <c r="AO326" s="565">
        <v>8</v>
      </c>
      <c r="AP326" s="565">
        <v>8</v>
      </c>
      <c r="AQ326" s="565">
        <v>8</v>
      </c>
      <c r="AR326" s="565">
        <v>8</v>
      </c>
      <c r="AS326" s="565">
        <v>8</v>
      </c>
      <c r="AT326" s="565">
        <v>8</v>
      </c>
      <c r="AU326" s="565">
        <v>8</v>
      </c>
      <c r="AV326" s="565">
        <v>8</v>
      </c>
      <c r="AW326" s="565">
        <v>8</v>
      </c>
      <c r="AX326" s="565">
        <v>8</v>
      </c>
      <c r="AY326" s="565">
        <v>8</v>
      </c>
      <c r="AZ326" s="565">
        <v>8</v>
      </c>
      <c r="BA326" s="565">
        <v>8</v>
      </c>
      <c r="BB326" s="565">
        <v>8</v>
      </c>
      <c r="BC326" s="565">
        <v>8</v>
      </c>
      <c r="BD326" s="565">
        <v>8</v>
      </c>
      <c r="BE326" s="565">
        <v>8</v>
      </c>
      <c r="BF326" s="512">
        <v>8</v>
      </c>
      <c r="BG326" s="495">
        <f t="shared" si="70"/>
        <v>432</v>
      </c>
      <c r="BH326" s="1056"/>
      <c r="BI326" s="496">
        <f t="shared" si="68"/>
        <v>54</v>
      </c>
      <c r="BJ326" s="513">
        <f>3255/54</f>
        <v>60.277777777777779</v>
      </c>
    </row>
    <row r="327" spans="1:114" s="511" customFormat="1" ht="199.9" customHeight="1" thickTop="1" thickBot="1" x14ac:dyDescent="1.3">
      <c r="A327" s="1063" t="s">
        <v>648</v>
      </c>
      <c r="B327" s="1054" t="s">
        <v>649</v>
      </c>
      <c r="C327" s="1053" t="s">
        <v>127</v>
      </c>
      <c r="D327" s="1053"/>
      <c r="E327" s="508">
        <v>4</v>
      </c>
      <c r="F327" s="508">
        <v>4</v>
      </c>
      <c r="G327" s="508">
        <v>4</v>
      </c>
      <c r="H327" s="508">
        <v>4</v>
      </c>
      <c r="I327" s="508">
        <v>4</v>
      </c>
      <c r="J327" s="508">
        <v>4</v>
      </c>
      <c r="K327" s="508">
        <v>4</v>
      </c>
      <c r="L327" s="508">
        <v>4</v>
      </c>
      <c r="M327" s="508">
        <v>4</v>
      </c>
      <c r="N327" s="508">
        <v>4</v>
      </c>
      <c r="O327" s="508">
        <v>4</v>
      </c>
      <c r="P327" s="508">
        <v>4</v>
      </c>
      <c r="Q327" s="508">
        <v>4</v>
      </c>
      <c r="R327" s="508">
        <v>4</v>
      </c>
      <c r="S327" s="508">
        <v>4</v>
      </c>
      <c r="T327" s="508">
        <v>4</v>
      </c>
      <c r="U327" s="508">
        <v>4</v>
      </c>
      <c r="V327" s="508">
        <v>4</v>
      </c>
      <c r="W327" s="508">
        <v>4</v>
      </c>
      <c r="X327" s="508">
        <v>4</v>
      </c>
      <c r="Y327" s="508">
        <v>4</v>
      </c>
      <c r="Z327" s="508">
        <v>4</v>
      </c>
      <c r="AA327" s="508">
        <v>4</v>
      </c>
      <c r="AB327" s="508">
        <v>4</v>
      </c>
      <c r="AC327" s="508">
        <v>4</v>
      </c>
      <c r="AD327" s="508">
        <v>4</v>
      </c>
      <c r="AE327" s="508">
        <v>4</v>
      </c>
      <c r="AF327" s="508">
        <v>4</v>
      </c>
      <c r="AG327" s="508">
        <v>4</v>
      </c>
      <c r="AH327" s="508">
        <v>4</v>
      </c>
      <c r="AI327" s="508">
        <v>4</v>
      </c>
      <c r="AJ327" s="508">
        <v>4</v>
      </c>
      <c r="AK327" s="508">
        <v>4</v>
      </c>
      <c r="AL327" s="508">
        <v>4</v>
      </c>
      <c r="AM327" s="508">
        <v>4</v>
      </c>
      <c r="AN327" s="508">
        <v>4</v>
      </c>
      <c r="AO327" s="508">
        <v>4</v>
      </c>
      <c r="AP327" s="508">
        <v>4</v>
      </c>
      <c r="AQ327" s="508">
        <v>4</v>
      </c>
      <c r="AR327" s="508">
        <v>4</v>
      </c>
      <c r="AS327" s="508">
        <v>4</v>
      </c>
      <c r="AT327" s="508">
        <v>4</v>
      </c>
      <c r="AU327" s="508">
        <v>4</v>
      </c>
      <c r="AV327" s="508">
        <v>4</v>
      </c>
      <c r="AW327" s="508">
        <v>4</v>
      </c>
      <c r="AX327" s="508">
        <v>4</v>
      </c>
      <c r="AY327" s="508">
        <v>4</v>
      </c>
      <c r="AZ327" s="508">
        <v>4</v>
      </c>
      <c r="BA327" s="508">
        <v>4</v>
      </c>
      <c r="BB327" s="508">
        <v>4</v>
      </c>
      <c r="BC327" s="508">
        <v>4</v>
      </c>
      <c r="BD327" s="508">
        <v>4</v>
      </c>
      <c r="BE327" s="508">
        <v>4</v>
      </c>
      <c r="BF327" s="508">
        <v>4</v>
      </c>
      <c r="BG327" s="490">
        <f t="shared" ref="BG327:BG328" si="71">SUM(E327:BF327)</f>
        <v>216</v>
      </c>
      <c r="BH327" s="1075">
        <f>BG328</f>
        <v>250</v>
      </c>
      <c r="BI327" s="491">
        <f>BG327/BF327</f>
        <v>54</v>
      </c>
    </row>
    <row r="328" spans="1:114" ht="199.9" customHeight="1" thickTop="1" thickBot="1" x14ac:dyDescent="1.3">
      <c r="A328" s="1063"/>
      <c r="B328" s="1054"/>
      <c r="C328" s="1052" t="s">
        <v>128</v>
      </c>
      <c r="D328" s="1052"/>
      <c r="E328" s="512">
        <v>5</v>
      </c>
      <c r="F328" s="755">
        <v>5</v>
      </c>
      <c r="G328" s="755">
        <v>5</v>
      </c>
      <c r="H328" s="755">
        <v>5</v>
      </c>
      <c r="I328" s="755">
        <v>5</v>
      </c>
      <c r="J328" s="755">
        <v>5</v>
      </c>
      <c r="K328" s="755">
        <v>5</v>
      </c>
      <c r="L328" s="755">
        <v>5</v>
      </c>
      <c r="M328" s="755">
        <v>5</v>
      </c>
      <c r="N328" s="755">
        <v>5</v>
      </c>
      <c r="O328" s="755">
        <v>5</v>
      </c>
      <c r="P328" s="755">
        <v>5</v>
      </c>
      <c r="Q328" s="755">
        <v>5</v>
      </c>
      <c r="R328" s="755">
        <v>5</v>
      </c>
      <c r="S328" s="755">
        <v>5</v>
      </c>
      <c r="T328" s="755">
        <v>5</v>
      </c>
      <c r="U328" s="755">
        <v>5</v>
      </c>
      <c r="V328" s="755">
        <v>5</v>
      </c>
      <c r="W328" s="755">
        <v>5</v>
      </c>
      <c r="X328" s="755">
        <v>5</v>
      </c>
      <c r="Y328" s="755">
        <v>5</v>
      </c>
      <c r="Z328" s="755">
        <v>5</v>
      </c>
      <c r="AA328" s="755">
        <v>5</v>
      </c>
      <c r="AB328" s="755">
        <v>5</v>
      </c>
      <c r="AC328" s="755">
        <v>5</v>
      </c>
      <c r="AD328" s="755">
        <v>5</v>
      </c>
      <c r="AE328" s="755">
        <v>5</v>
      </c>
      <c r="AF328" s="755">
        <v>5</v>
      </c>
      <c r="AG328" s="755">
        <v>5</v>
      </c>
      <c r="AH328" s="755">
        <v>5</v>
      </c>
      <c r="AI328" s="755">
        <v>5</v>
      </c>
      <c r="AJ328" s="755">
        <v>5</v>
      </c>
      <c r="AK328" s="755">
        <v>5</v>
      </c>
      <c r="AL328" s="755">
        <v>5</v>
      </c>
      <c r="AM328" s="755">
        <v>4</v>
      </c>
      <c r="AN328" s="755">
        <v>4</v>
      </c>
      <c r="AO328" s="755">
        <v>4</v>
      </c>
      <c r="AP328" s="755">
        <v>4</v>
      </c>
      <c r="AQ328" s="755">
        <v>4</v>
      </c>
      <c r="AR328" s="755">
        <v>4</v>
      </c>
      <c r="AS328" s="755">
        <v>4</v>
      </c>
      <c r="AT328" s="755">
        <v>4</v>
      </c>
      <c r="AU328" s="755">
        <v>4</v>
      </c>
      <c r="AV328" s="755">
        <v>4</v>
      </c>
      <c r="AW328" s="755">
        <v>4</v>
      </c>
      <c r="AX328" s="755">
        <v>4</v>
      </c>
      <c r="AY328" s="755">
        <v>4</v>
      </c>
      <c r="AZ328" s="755">
        <v>4</v>
      </c>
      <c r="BA328" s="755">
        <v>4</v>
      </c>
      <c r="BB328" s="755">
        <v>4</v>
      </c>
      <c r="BC328" s="755">
        <v>4</v>
      </c>
      <c r="BD328" s="755">
        <v>4</v>
      </c>
      <c r="BE328" s="755">
        <v>4</v>
      </c>
      <c r="BF328" s="755">
        <v>4</v>
      </c>
      <c r="BG328" s="495">
        <f t="shared" si="71"/>
        <v>250</v>
      </c>
      <c r="BH328" s="1075"/>
      <c r="BI328" s="496">
        <f>BG328/BF328</f>
        <v>62.5</v>
      </c>
    </row>
    <row r="329" spans="1:114" s="511" customFormat="1" ht="199.9" customHeight="1" thickTop="1" thickBot="1" x14ac:dyDescent="1.3">
      <c r="A329" s="1063" t="s">
        <v>648</v>
      </c>
      <c r="B329" s="1054" t="s">
        <v>650</v>
      </c>
      <c r="C329" s="1053" t="s">
        <v>127</v>
      </c>
      <c r="D329" s="1053"/>
      <c r="E329" s="508">
        <v>2</v>
      </c>
      <c r="F329" s="508">
        <v>2</v>
      </c>
      <c r="G329" s="508">
        <v>2</v>
      </c>
      <c r="H329" s="508">
        <v>2</v>
      </c>
      <c r="I329" s="508">
        <v>2</v>
      </c>
      <c r="J329" s="508">
        <v>2</v>
      </c>
      <c r="K329" s="508">
        <v>2</v>
      </c>
      <c r="L329" s="508">
        <v>2</v>
      </c>
      <c r="M329" s="508">
        <v>2</v>
      </c>
      <c r="N329" s="508">
        <v>2</v>
      </c>
      <c r="O329" s="508">
        <v>2</v>
      </c>
      <c r="P329" s="508">
        <v>2</v>
      </c>
      <c r="Q329" s="508">
        <v>2</v>
      </c>
      <c r="R329" s="508">
        <v>2</v>
      </c>
      <c r="S329" s="508">
        <v>2</v>
      </c>
      <c r="T329" s="508">
        <v>2</v>
      </c>
      <c r="U329" s="508">
        <v>2</v>
      </c>
      <c r="V329" s="508">
        <v>2</v>
      </c>
      <c r="W329" s="508">
        <v>2</v>
      </c>
      <c r="X329" s="508">
        <v>2</v>
      </c>
      <c r="Y329" s="508">
        <v>2</v>
      </c>
      <c r="Z329" s="508">
        <v>2</v>
      </c>
      <c r="AA329" s="508">
        <v>2</v>
      </c>
      <c r="AB329" s="508">
        <v>2</v>
      </c>
      <c r="AC329" s="508">
        <v>2</v>
      </c>
      <c r="AD329" s="508">
        <v>2</v>
      </c>
      <c r="AE329" s="508">
        <v>2</v>
      </c>
      <c r="AF329" s="508">
        <v>2</v>
      </c>
      <c r="AG329" s="508">
        <v>2</v>
      </c>
      <c r="AH329" s="508">
        <v>2</v>
      </c>
      <c r="AI329" s="508">
        <v>2</v>
      </c>
      <c r="AJ329" s="508">
        <v>2</v>
      </c>
      <c r="AK329" s="508">
        <v>2</v>
      </c>
      <c r="AL329" s="508">
        <v>2</v>
      </c>
      <c r="AM329" s="508">
        <v>2</v>
      </c>
      <c r="AN329" s="508">
        <v>2</v>
      </c>
      <c r="AO329" s="508">
        <v>2</v>
      </c>
      <c r="AP329" s="508">
        <v>2</v>
      </c>
      <c r="AQ329" s="508">
        <v>2</v>
      </c>
      <c r="AR329" s="508">
        <v>2</v>
      </c>
      <c r="AS329" s="508">
        <v>2</v>
      </c>
      <c r="AT329" s="508">
        <v>2</v>
      </c>
      <c r="AU329" s="508">
        <v>2</v>
      </c>
      <c r="AV329" s="508">
        <v>2</v>
      </c>
      <c r="AW329" s="508">
        <v>2</v>
      </c>
      <c r="AX329" s="508">
        <v>2</v>
      </c>
      <c r="AY329" s="508">
        <v>2</v>
      </c>
      <c r="AZ329" s="508">
        <v>2</v>
      </c>
      <c r="BA329" s="508">
        <v>2</v>
      </c>
      <c r="BB329" s="508">
        <v>2</v>
      </c>
      <c r="BC329" s="508">
        <v>2</v>
      </c>
      <c r="BD329" s="508">
        <v>2</v>
      </c>
      <c r="BE329" s="508">
        <v>2</v>
      </c>
      <c r="BF329" s="508">
        <v>2</v>
      </c>
      <c r="BG329" s="490">
        <f>SUM(E329:BF329)</f>
        <v>108</v>
      </c>
      <c r="BH329" s="1075">
        <f>BG330</f>
        <v>104</v>
      </c>
      <c r="BI329" s="496">
        <f t="shared" ref="BI329" si="72">BG329/BF329</f>
        <v>54</v>
      </c>
      <c r="BJ329" s="734"/>
      <c r="BK329" s="734"/>
      <c r="BL329" s="734"/>
      <c r="BM329" s="734"/>
      <c r="BN329" s="734"/>
      <c r="BO329" s="734"/>
      <c r="BP329" s="734"/>
      <c r="BQ329" s="734"/>
      <c r="BR329" s="734"/>
      <c r="BS329" s="734"/>
      <c r="BT329" s="734">
        <v>4</v>
      </c>
      <c r="BU329" s="734">
        <v>4</v>
      </c>
      <c r="BV329" s="734">
        <v>4</v>
      </c>
      <c r="BW329" s="734">
        <v>4</v>
      </c>
      <c r="BX329" s="734">
        <v>4</v>
      </c>
      <c r="BY329" s="734">
        <v>4</v>
      </c>
      <c r="BZ329" s="734">
        <v>4</v>
      </c>
      <c r="CA329" s="518">
        <v>4</v>
      </c>
      <c r="CB329" s="734">
        <v>4</v>
      </c>
      <c r="CC329" s="734"/>
      <c r="CD329" s="734"/>
      <c r="CE329" s="734"/>
      <c r="CF329" s="734"/>
      <c r="CG329" s="734"/>
      <c r="CH329" s="734"/>
      <c r="CI329" s="734"/>
      <c r="CJ329" s="734"/>
      <c r="CK329" s="734"/>
      <c r="CL329" s="734"/>
      <c r="CM329" s="734"/>
      <c r="CN329" s="734"/>
      <c r="CO329" s="734"/>
      <c r="CP329" s="734"/>
      <c r="CQ329" s="734"/>
      <c r="CR329" s="734"/>
      <c r="CS329" s="734"/>
      <c r="CT329" s="734"/>
      <c r="CU329" s="734"/>
      <c r="CV329" s="734"/>
      <c r="CW329" s="734"/>
      <c r="CX329" s="734"/>
      <c r="CY329" s="734"/>
      <c r="CZ329" s="734"/>
      <c r="DA329" s="734"/>
      <c r="DB329" s="734"/>
      <c r="DC329" s="734"/>
      <c r="DD329" s="734"/>
      <c r="DE329" s="734"/>
      <c r="DF329" s="734"/>
      <c r="DG329" s="734"/>
      <c r="DH329" s="734"/>
      <c r="DI329" s="734"/>
      <c r="DJ329" s="734"/>
    </row>
    <row r="330" spans="1:114" ht="199.9" customHeight="1" thickTop="1" thickBot="1" x14ac:dyDescent="1.3">
      <c r="A330" s="1063"/>
      <c r="B330" s="1054"/>
      <c r="C330" s="1052" t="s">
        <v>128</v>
      </c>
      <c r="D330" s="1052"/>
      <c r="E330" s="512">
        <v>2</v>
      </c>
      <c r="F330" s="557">
        <v>2</v>
      </c>
      <c r="G330" s="557">
        <v>2</v>
      </c>
      <c r="H330" s="557">
        <v>2</v>
      </c>
      <c r="I330" s="557">
        <v>2</v>
      </c>
      <c r="J330" s="557">
        <v>2</v>
      </c>
      <c r="K330" s="557">
        <v>2</v>
      </c>
      <c r="L330" s="557">
        <v>2</v>
      </c>
      <c r="M330" s="557">
        <v>2</v>
      </c>
      <c r="N330" s="557">
        <v>2</v>
      </c>
      <c r="O330" s="557">
        <v>2</v>
      </c>
      <c r="P330" s="557">
        <v>2</v>
      </c>
      <c r="Q330" s="557">
        <v>2</v>
      </c>
      <c r="R330" s="557">
        <v>2</v>
      </c>
      <c r="S330" s="557">
        <v>2</v>
      </c>
      <c r="T330" s="557">
        <v>2</v>
      </c>
      <c r="U330" s="557">
        <v>2</v>
      </c>
      <c r="V330" s="557">
        <v>2</v>
      </c>
      <c r="W330" s="557">
        <v>2</v>
      </c>
      <c r="X330" s="557">
        <v>2</v>
      </c>
      <c r="Y330" s="557">
        <v>2</v>
      </c>
      <c r="Z330" s="557">
        <v>2</v>
      </c>
      <c r="AA330" s="557">
        <v>2</v>
      </c>
      <c r="AB330" s="557">
        <v>2</v>
      </c>
      <c r="AC330" s="557">
        <v>2</v>
      </c>
      <c r="AD330" s="565">
        <v>2</v>
      </c>
      <c r="AE330" s="693">
        <v>2</v>
      </c>
      <c r="AF330" s="693">
        <v>2</v>
      </c>
      <c r="AG330" s="512"/>
      <c r="AH330" s="512"/>
      <c r="AI330" s="565">
        <v>2</v>
      </c>
      <c r="AJ330" s="565">
        <v>2</v>
      </c>
      <c r="AK330" s="565">
        <v>2</v>
      </c>
      <c r="AL330" s="565">
        <v>2</v>
      </c>
      <c r="AM330" s="565">
        <v>2</v>
      </c>
      <c r="AN330" s="512">
        <v>2</v>
      </c>
      <c r="AO330" s="512">
        <v>2</v>
      </c>
      <c r="AP330" s="512">
        <v>2</v>
      </c>
      <c r="AQ330" s="512">
        <v>2</v>
      </c>
      <c r="AR330" s="512">
        <v>2</v>
      </c>
      <c r="AS330" s="512">
        <v>2</v>
      </c>
      <c r="AT330" s="512">
        <v>2</v>
      </c>
      <c r="AU330" s="512">
        <v>2</v>
      </c>
      <c r="AV330" s="512">
        <v>2</v>
      </c>
      <c r="AW330" s="512">
        <v>2</v>
      </c>
      <c r="AX330" s="557">
        <v>2</v>
      </c>
      <c r="AY330" s="512">
        <v>2</v>
      </c>
      <c r="AZ330" s="512">
        <v>2</v>
      </c>
      <c r="BA330" s="512">
        <v>2</v>
      </c>
      <c r="BB330" s="512">
        <v>2</v>
      </c>
      <c r="BC330" s="512">
        <v>2</v>
      </c>
      <c r="BD330" s="512">
        <v>2</v>
      </c>
      <c r="BE330" s="512">
        <v>2</v>
      </c>
      <c r="BF330" s="512">
        <v>2</v>
      </c>
      <c r="BG330" s="495">
        <f t="shared" ref="BG330" si="73">SUM(E330:BF330)</f>
        <v>104</v>
      </c>
      <c r="BH330" s="1075"/>
      <c r="BI330" s="496">
        <f>BG330/BF330</f>
        <v>52</v>
      </c>
      <c r="BJ330" s="734"/>
      <c r="BK330" s="734"/>
      <c r="BL330" s="734"/>
      <c r="BM330" s="734"/>
      <c r="BN330" s="734"/>
      <c r="BO330" s="734"/>
      <c r="BP330" s="734"/>
      <c r="BQ330" s="734"/>
      <c r="BR330" s="734"/>
      <c r="BS330" s="734"/>
      <c r="BT330" s="734">
        <v>4</v>
      </c>
      <c r="BU330" s="734">
        <v>4</v>
      </c>
      <c r="BV330" s="734">
        <v>4</v>
      </c>
      <c r="BW330" s="734">
        <v>4</v>
      </c>
      <c r="BX330" s="734">
        <v>4</v>
      </c>
      <c r="BY330" s="734">
        <v>4</v>
      </c>
      <c r="BZ330" s="734">
        <v>4</v>
      </c>
      <c r="CA330" s="518">
        <v>4</v>
      </c>
      <c r="CB330" s="734">
        <v>4</v>
      </c>
      <c r="CC330" s="734"/>
      <c r="CD330" s="734"/>
      <c r="CE330" s="734"/>
      <c r="CF330" s="734"/>
      <c r="CG330" s="734"/>
      <c r="CH330" s="734"/>
      <c r="CI330" s="734"/>
      <c r="CJ330" s="734"/>
      <c r="CK330" s="734"/>
      <c r="CL330" s="734"/>
      <c r="CM330" s="734"/>
      <c r="CN330" s="734"/>
      <c r="CO330" s="734"/>
      <c r="CP330" s="734"/>
      <c r="CQ330" s="734"/>
      <c r="CR330" s="734"/>
      <c r="CS330" s="734"/>
      <c r="CT330" s="734"/>
      <c r="CU330" s="734"/>
      <c r="CV330" s="734"/>
      <c r="CW330" s="734"/>
      <c r="CX330" s="734"/>
      <c r="CY330" s="734"/>
      <c r="CZ330" s="734"/>
      <c r="DA330" s="734"/>
      <c r="DB330" s="734"/>
      <c r="DC330" s="734"/>
      <c r="DD330" s="734"/>
      <c r="DE330" s="734"/>
      <c r="DF330" s="734"/>
      <c r="DG330" s="734"/>
      <c r="DH330" s="734"/>
      <c r="DI330" s="734"/>
      <c r="DJ330" s="734"/>
    </row>
    <row r="331" spans="1:114" s="511" customFormat="1" ht="199.9" customHeight="1" thickTop="1" thickBot="1" x14ac:dyDescent="1.3">
      <c r="A331" s="1063" t="s">
        <v>720</v>
      </c>
      <c r="B331" s="1054" t="s">
        <v>721</v>
      </c>
      <c r="C331" s="1053" t="s">
        <v>127</v>
      </c>
      <c r="D331" s="1053"/>
      <c r="E331" s="508">
        <v>1</v>
      </c>
      <c r="F331" s="508">
        <v>1</v>
      </c>
      <c r="G331" s="508">
        <v>1</v>
      </c>
      <c r="H331" s="508">
        <v>1</v>
      </c>
      <c r="I331" s="508">
        <v>1</v>
      </c>
      <c r="J331" s="508">
        <v>1</v>
      </c>
      <c r="K331" s="508">
        <v>1</v>
      </c>
      <c r="L331" s="508">
        <v>1</v>
      </c>
      <c r="M331" s="508">
        <v>1</v>
      </c>
      <c r="N331" s="508">
        <v>1</v>
      </c>
      <c r="O331" s="508">
        <v>1</v>
      </c>
      <c r="P331" s="508">
        <v>1</v>
      </c>
      <c r="Q331" s="508">
        <v>1</v>
      </c>
      <c r="R331" s="508">
        <v>1</v>
      </c>
      <c r="S331" s="508">
        <v>1</v>
      </c>
      <c r="T331" s="508">
        <v>1</v>
      </c>
      <c r="U331" s="508">
        <v>1</v>
      </c>
      <c r="V331" s="508">
        <v>1</v>
      </c>
      <c r="W331" s="508">
        <v>1</v>
      </c>
      <c r="X331" s="508">
        <v>1</v>
      </c>
      <c r="Y331" s="508">
        <v>1</v>
      </c>
      <c r="Z331" s="508">
        <v>1</v>
      </c>
      <c r="AA331" s="508">
        <v>1</v>
      </c>
      <c r="AB331" s="508">
        <v>1</v>
      </c>
      <c r="AC331" s="508">
        <v>1</v>
      </c>
      <c r="AD331" s="508">
        <v>1</v>
      </c>
      <c r="AE331" s="508">
        <v>1</v>
      </c>
      <c r="AF331" s="508">
        <v>1</v>
      </c>
      <c r="AG331" s="508">
        <v>1</v>
      </c>
      <c r="AH331" s="508">
        <v>1</v>
      </c>
      <c r="AI331" s="508">
        <v>1</v>
      </c>
      <c r="AJ331" s="508">
        <v>1</v>
      </c>
      <c r="AK331" s="508">
        <v>1</v>
      </c>
      <c r="AL331" s="508">
        <v>1</v>
      </c>
      <c r="AM331" s="508">
        <v>1</v>
      </c>
      <c r="AN331" s="508">
        <v>1</v>
      </c>
      <c r="AO331" s="508">
        <v>1</v>
      </c>
      <c r="AP331" s="508">
        <v>1</v>
      </c>
      <c r="AQ331" s="508">
        <v>1</v>
      </c>
      <c r="AR331" s="508">
        <v>1</v>
      </c>
      <c r="AS331" s="508">
        <v>1</v>
      </c>
      <c r="AT331" s="508">
        <v>1</v>
      </c>
      <c r="AU331" s="508">
        <v>1</v>
      </c>
      <c r="AV331" s="508">
        <v>1</v>
      </c>
      <c r="AW331" s="508">
        <v>1</v>
      </c>
      <c r="AX331" s="508">
        <v>1</v>
      </c>
      <c r="AY331" s="508">
        <v>1</v>
      </c>
      <c r="AZ331" s="508">
        <v>1</v>
      </c>
      <c r="BA331" s="508">
        <v>1</v>
      </c>
      <c r="BB331" s="508">
        <v>1</v>
      </c>
      <c r="BC331" s="508">
        <v>1</v>
      </c>
      <c r="BD331" s="508">
        <v>1</v>
      </c>
      <c r="BE331" s="508">
        <v>1</v>
      </c>
      <c r="BF331" s="508">
        <v>1</v>
      </c>
      <c r="BG331" s="490">
        <f>SUM(E331:BF331)</f>
        <v>54</v>
      </c>
      <c r="BH331" s="1056">
        <f>BG332</f>
        <v>52</v>
      </c>
      <c r="BI331" s="496">
        <f>BG331/BF331</f>
        <v>54</v>
      </c>
      <c r="BJ331" s="734"/>
      <c r="BK331" s="734"/>
      <c r="BL331" s="734"/>
      <c r="BM331" s="734"/>
      <c r="BN331" s="734"/>
      <c r="BO331" s="734"/>
      <c r="BP331" s="734"/>
      <c r="BQ331" s="734"/>
      <c r="BR331" s="734"/>
      <c r="BS331" s="734"/>
      <c r="BT331" s="734">
        <v>4</v>
      </c>
      <c r="BU331" s="734">
        <v>4</v>
      </c>
      <c r="BV331" s="734">
        <v>4</v>
      </c>
      <c r="BW331" s="734">
        <v>4</v>
      </c>
      <c r="BX331" s="734">
        <v>4</v>
      </c>
      <c r="BY331" s="734">
        <v>4</v>
      </c>
      <c r="BZ331" s="734">
        <v>4</v>
      </c>
      <c r="CA331" s="518">
        <v>4</v>
      </c>
      <c r="CB331" s="734">
        <v>4</v>
      </c>
      <c r="CC331" s="734"/>
      <c r="CD331" s="734"/>
      <c r="CE331" s="734"/>
      <c r="CF331" s="734"/>
      <c r="CG331" s="734"/>
      <c r="CH331" s="734"/>
      <c r="CI331" s="734"/>
      <c r="CJ331" s="734"/>
      <c r="CK331" s="734"/>
      <c r="CL331" s="734"/>
      <c r="CM331" s="734"/>
      <c r="CN331" s="734"/>
      <c r="CO331" s="734"/>
      <c r="CP331" s="734"/>
      <c r="CQ331" s="734"/>
      <c r="CR331" s="734"/>
      <c r="CS331" s="734"/>
      <c r="CT331" s="734"/>
      <c r="CU331" s="734"/>
      <c r="CV331" s="734"/>
      <c r="CW331" s="734"/>
      <c r="CX331" s="734"/>
      <c r="CY331" s="734"/>
      <c r="CZ331" s="734"/>
      <c r="DA331" s="734"/>
      <c r="DB331" s="734"/>
      <c r="DC331" s="734"/>
      <c r="DD331" s="734"/>
      <c r="DE331" s="734"/>
      <c r="DF331" s="734"/>
      <c r="DG331" s="734"/>
      <c r="DH331" s="734"/>
      <c r="DI331" s="734"/>
      <c r="DJ331" s="734"/>
    </row>
    <row r="332" spans="1:114" ht="199.9" customHeight="1" thickTop="1" thickBot="1" x14ac:dyDescent="1.3">
      <c r="A332" s="1063"/>
      <c r="B332" s="1054"/>
      <c r="C332" s="1052" t="s">
        <v>128</v>
      </c>
      <c r="D332" s="1052"/>
      <c r="E332" s="565">
        <v>1</v>
      </c>
      <c r="F332" s="693">
        <v>1</v>
      </c>
      <c r="G332" s="693">
        <v>1</v>
      </c>
      <c r="H332" s="693">
        <v>1</v>
      </c>
      <c r="I332" s="693">
        <v>1</v>
      </c>
      <c r="J332" s="693">
        <v>1</v>
      </c>
      <c r="K332" s="693">
        <v>1</v>
      </c>
      <c r="L332" s="693">
        <v>1</v>
      </c>
      <c r="M332" s="693">
        <v>1</v>
      </c>
      <c r="N332" s="693">
        <v>1</v>
      </c>
      <c r="O332" s="693">
        <v>1</v>
      </c>
      <c r="P332" s="693">
        <v>1</v>
      </c>
      <c r="Q332" s="693">
        <v>1</v>
      </c>
      <c r="R332" s="693">
        <v>1</v>
      </c>
      <c r="S332" s="693">
        <v>1</v>
      </c>
      <c r="T332" s="693">
        <v>1</v>
      </c>
      <c r="U332" s="734">
        <v>1</v>
      </c>
      <c r="V332" s="734">
        <v>1</v>
      </c>
      <c r="W332" s="734">
        <v>1</v>
      </c>
      <c r="X332" s="734">
        <v>1</v>
      </c>
      <c r="Y332" s="734">
        <v>1</v>
      </c>
      <c r="Z332" s="734">
        <v>1</v>
      </c>
      <c r="AA332" s="734">
        <v>1</v>
      </c>
      <c r="AB332" s="734">
        <v>1</v>
      </c>
      <c r="AC332" s="734">
        <v>1</v>
      </c>
      <c r="AD332" s="734">
        <v>1</v>
      </c>
      <c r="AE332" s="734">
        <v>1</v>
      </c>
      <c r="AF332" s="734">
        <v>1</v>
      </c>
      <c r="AG332" s="631"/>
      <c r="AH332" s="631"/>
      <c r="AI332" s="631">
        <v>1</v>
      </c>
      <c r="AJ332" s="631">
        <v>1</v>
      </c>
      <c r="AK332" s="631">
        <v>1</v>
      </c>
      <c r="AL332" s="631">
        <v>1</v>
      </c>
      <c r="AM332" s="631">
        <v>1</v>
      </c>
      <c r="AN332" s="631">
        <v>1</v>
      </c>
      <c r="AO332" s="631">
        <v>1</v>
      </c>
      <c r="AP332" s="631">
        <v>1</v>
      </c>
      <c r="AQ332" s="631">
        <v>1</v>
      </c>
      <c r="AR332" s="565">
        <v>1</v>
      </c>
      <c r="AS332" s="565">
        <v>1</v>
      </c>
      <c r="AT332" s="565">
        <v>1</v>
      </c>
      <c r="AU332" s="565">
        <v>1</v>
      </c>
      <c r="AV332" s="565">
        <v>1</v>
      </c>
      <c r="AW332" s="565">
        <v>1</v>
      </c>
      <c r="AX332" s="565">
        <v>1</v>
      </c>
      <c r="AY332" s="565">
        <v>1</v>
      </c>
      <c r="AZ332" s="565">
        <v>1</v>
      </c>
      <c r="BA332" s="565">
        <v>1</v>
      </c>
      <c r="BB332" s="565">
        <v>1</v>
      </c>
      <c r="BC332" s="565">
        <v>1</v>
      </c>
      <c r="BD332" s="565">
        <v>1</v>
      </c>
      <c r="BE332" s="565">
        <v>1</v>
      </c>
      <c r="BF332" s="565">
        <v>1</v>
      </c>
      <c r="BG332" s="495">
        <f t="shared" ref="BG332" si="74">SUM(E332:BF332)</f>
        <v>52</v>
      </c>
      <c r="BH332" s="1056"/>
      <c r="BI332" s="496">
        <f>BG332/BF332</f>
        <v>52</v>
      </c>
      <c r="BJ332" s="518"/>
      <c r="BK332" s="518"/>
      <c r="BL332" s="518"/>
      <c r="BM332" s="518"/>
      <c r="BN332" s="518"/>
      <c r="BO332" s="518"/>
      <c r="BP332" s="518"/>
      <c r="BQ332" s="518"/>
      <c r="BR332" s="518"/>
      <c r="BS332" s="518"/>
      <c r="BT332" s="518">
        <v>4</v>
      </c>
      <c r="BU332" s="518">
        <v>4</v>
      </c>
      <c r="BV332" s="518">
        <v>4</v>
      </c>
      <c r="BW332" s="518">
        <v>4</v>
      </c>
      <c r="BX332" s="518">
        <v>4</v>
      </c>
      <c r="BY332" s="518">
        <v>4</v>
      </c>
      <c r="BZ332" s="518">
        <v>4</v>
      </c>
      <c r="CA332" s="518">
        <v>4</v>
      </c>
      <c r="CB332" s="734">
        <v>4</v>
      </c>
      <c r="CC332" s="518"/>
      <c r="CD332" s="518"/>
      <c r="CE332" s="518"/>
      <c r="CF332" s="518"/>
      <c r="CG332" s="518"/>
      <c r="CH332" s="518"/>
      <c r="CI332" s="518"/>
      <c r="CJ332" s="518"/>
      <c r="CK332" s="518"/>
      <c r="CL332" s="518"/>
      <c r="CM332" s="734"/>
      <c r="CN332" s="518"/>
      <c r="CO332" s="518"/>
      <c r="CP332" s="518"/>
      <c r="CQ332" s="518"/>
      <c r="CR332" s="518"/>
      <c r="CS332" s="518"/>
      <c r="CT332" s="734"/>
      <c r="CU332" s="518"/>
      <c r="CV332" s="518"/>
      <c r="CW332" s="518"/>
      <c r="CX332" s="518"/>
      <c r="CY332" s="518"/>
      <c r="CZ332" s="518"/>
      <c r="DA332" s="518"/>
      <c r="DB332" s="518"/>
      <c r="DC332" s="518"/>
      <c r="DD332" s="518"/>
      <c r="DE332" s="518"/>
      <c r="DF332" s="518"/>
      <c r="DG332" s="518"/>
      <c r="DH332" s="518"/>
      <c r="DI332" s="518"/>
      <c r="DJ332" s="518"/>
    </row>
    <row r="333" spans="1:114" s="511" customFormat="1" ht="199.9" customHeight="1" thickTop="1" thickBot="1" x14ac:dyDescent="1.3">
      <c r="A333" s="1063" t="s">
        <v>651</v>
      </c>
      <c r="B333" s="1054" t="s">
        <v>652</v>
      </c>
      <c r="C333" s="1053" t="s">
        <v>127</v>
      </c>
      <c r="D333" s="1053"/>
      <c r="E333" s="508">
        <v>4</v>
      </c>
      <c r="F333" s="508">
        <v>4</v>
      </c>
      <c r="G333" s="508">
        <v>4</v>
      </c>
      <c r="H333" s="508">
        <v>4</v>
      </c>
      <c r="I333" s="508">
        <v>4</v>
      </c>
      <c r="J333" s="508">
        <v>4</v>
      </c>
      <c r="K333" s="508">
        <v>4</v>
      </c>
      <c r="L333" s="508">
        <v>4</v>
      </c>
      <c r="M333" s="508">
        <v>4</v>
      </c>
      <c r="N333" s="508">
        <v>4</v>
      </c>
      <c r="O333" s="508">
        <v>4</v>
      </c>
      <c r="P333" s="508">
        <v>4</v>
      </c>
      <c r="Q333" s="508">
        <v>4</v>
      </c>
      <c r="R333" s="508">
        <v>4</v>
      </c>
      <c r="S333" s="508">
        <v>4</v>
      </c>
      <c r="T333" s="508">
        <v>4</v>
      </c>
      <c r="U333" s="508">
        <v>4</v>
      </c>
      <c r="V333" s="508">
        <v>4</v>
      </c>
      <c r="W333" s="508">
        <v>4</v>
      </c>
      <c r="X333" s="508">
        <v>4</v>
      </c>
      <c r="Y333" s="508">
        <v>4</v>
      </c>
      <c r="Z333" s="508">
        <v>4</v>
      </c>
      <c r="AA333" s="508">
        <v>4</v>
      </c>
      <c r="AB333" s="508">
        <v>4</v>
      </c>
      <c r="AC333" s="508">
        <v>4</v>
      </c>
      <c r="AD333" s="508">
        <v>4</v>
      </c>
      <c r="AE333" s="508">
        <v>4</v>
      </c>
      <c r="AF333" s="508">
        <v>4</v>
      </c>
      <c r="AG333" s="508">
        <v>4</v>
      </c>
      <c r="AH333" s="508">
        <v>4</v>
      </c>
      <c r="AI333" s="508">
        <v>4</v>
      </c>
      <c r="AJ333" s="508">
        <v>4</v>
      </c>
      <c r="AK333" s="508">
        <v>4</v>
      </c>
      <c r="AL333" s="508">
        <v>4</v>
      </c>
      <c r="AM333" s="508">
        <v>4</v>
      </c>
      <c r="AN333" s="508">
        <v>4</v>
      </c>
      <c r="AO333" s="508">
        <v>4</v>
      </c>
      <c r="AP333" s="508">
        <v>4</v>
      </c>
      <c r="AQ333" s="508">
        <v>4</v>
      </c>
      <c r="AR333" s="508">
        <v>4</v>
      </c>
      <c r="AS333" s="508">
        <v>4</v>
      </c>
      <c r="AT333" s="508">
        <v>4</v>
      </c>
      <c r="AU333" s="508">
        <v>4</v>
      </c>
      <c r="AV333" s="508">
        <v>4</v>
      </c>
      <c r="AW333" s="508">
        <v>4</v>
      </c>
      <c r="AX333" s="508">
        <v>4</v>
      </c>
      <c r="AY333" s="508">
        <v>4</v>
      </c>
      <c r="AZ333" s="508">
        <v>4</v>
      </c>
      <c r="BA333" s="508">
        <v>4</v>
      </c>
      <c r="BB333" s="508">
        <v>4</v>
      </c>
      <c r="BC333" s="508">
        <v>4</v>
      </c>
      <c r="BD333" s="508">
        <v>4</v>
      </c>
      <c r="BE333" s="508">
        <v>4</v>
      </c>
      <c r="BF333" s="508">
        <v>4</v>
      </c>
      <c r="BG333" s="490">
        <f>SUM(E333:BF333)</f>
        <v>216</v>
      </c>
      <c r="BH333" s="1056">
        <f>BG334</f>
        <v>208</v>
      </c>
      <c r="BI333" s="496">
        <f t="shared" ref="BI333:BI334" si="75">BG333/BF333</f>
        <v>54</v>
      </c>
      <c r="BJ333" s="734"/>
      <c r="BK333" s="734"/>
      <c r="BL333" s="734"/>
      <c r="BM333" s="734"/>
      <c r="BN333" s="734"/>
      <c r="BO333" s="734"/>
      <c r="BP333" s="734"/>
      <c r="BQ333" s="734"/>
      <c r="BR333" s="734"/>
      <c r="BS333" s="734"/>
      <c r="BT333" s="734">
        <v>4</v>
      </c>
      <c r="BU333" s="734">
        <v>4</v>
      </c>
      <c r="BV333" s="734">
        <v>4</v>
      </c>
      <c r="BW333" s="734">
        <v>4</v>
      </c>
      <c r="BX333" s="734">
        <v>4</v>
      </c>
      <c r="BY333" s="734">
        <v>4</v>
      </c>
      <c r="BZ333" s="734">
        <v>4</v>
      </c>
      <c r="CA333" s="518">
        <v>4</v>
      </c>
      <c r="CB333" s="734">
        <v>4</v>
      </c>
      <c r="CC333" s="734"/>
      <c r="CD333" s="734"/>
      <c r="CE333" s="734"/>
      <c r="CF333" s="734"/>
      <c r="CG333" s="734"/>
      <c r="CH333" s="734"/>
      <c r="CI333" s="734"/>
      <c r="CJ333" s="734"/>
      <c r="CK333" s="734"/>
      <c r="CL333" s="734"/>
      <c r="CM333" s="734"/>
      <c r="CN333" s="734"/>
      <c r="CO333" s="734"/>
      <c r="CP333" s="734"/>
      <c r="CQ333" s="734"/>
      <c r="CR333" s="734"/>
      <c r="CS333" s="734"/>
      <c r="CT333" s="734"/>
      <c r="CU333" s="734"/>
      <c r="CV333" s="734"/>
      <c r="CW333" s="734"/>
      <c r="CX333" s="734"/>
      <c r="CY333" s="734"/>
      <c r="CZ333" s="734"/>
      <c r="DA333" s="734"/>
      <c r="DB333" s="734"/>
      <c r="DC333" s="734"/>
      <c r="DD333" s="734"/>
      <c r="DE333" s="734"/>
      <c r="DF333" s="734"/>
      <c r="DG333" s="734"/>
      <c r="DH333" s="734"/>
      <c r="DI333" s="734"/>
      <c r="DJ333" s="734"/>
    </row>
    <row r="334" spans="1:114" ht="199.9" customHeight="1" thickTop="1" thickBot="1" x14ac:dyDescent="1.3">
      <c r="A334" s="1063"/>
      <c r="B334" s="1054"/>
      <c r="C334" s="1052" t="s">
        <v>128</v>
      </c>
      <c r="D334" s="1052"/>
      <c r="E334" s="512">
        <v>4</v>
      </c>
      <c r="F334" s="565">
        <v>4</v>
      </c>
      <c r="G334" s="565">
        <v>4</v>
      </c>
      <c r="H334" s="565">
        <v>4</v>
      </c>
      <c r="I334" s="565">
        <v>4</v>
      </c>
      <c r="J334" s="565">
        <v>4</v>
      </c>
      <c r="K334" s="693">
        <v>4</v>
      </c>
      <c r="L334" s="693">
        <v>4</v>
      </c>
      <c r="M334" s="693">
        <v>4</v>
      </c>
      <c r="N334" s="693">
        <v>4</v>
      </c>
      <c r="O334" s="693">
        <v>4</v>
      </c>
      <c r="P334" s="693">
        <v>4</v>
      </c>
      <c r="Q334" s="693">
        <v>4</v>
      </c>
      <c r="R334" s="693">
        <v>4</v>
      </c>
      <c r="S334" s="693">
        <v>4</v>
      </c>
      <c r="T334" s="693">
        <v>4</v>
      </c>
      <c r="U334" s="734">
        <v>4</v>
      </c>
      <c r="V334" s="734">
        <v>4</v>
      </c>
      <c r="W334" s="734">
        <v>4</v>
      </c>
      <c r="X334" s="734">
        <v>4</v>
      </c>
      <c r="Y334" s="734">
        <v>4</v>
      </c>
      <c r="Z334" s="734">
        <v>4</v>
      </c>
      <c r="AA334" s="734">
        <v>4</v>
      </c>
      <c r="AB334" s="734">
        <v>4</v>
      </c>
      <c r="AC334" s="734">
        <v>4</v>
      </c>
      <c r="AD334" s="734">
        <v>4</v>
      </c>
      <c r="AE334" s="734">
        <v>4</v>
      </c>
      <c r="AF334" s="734">
        <v>4</v>
      </c>
      <c r="AG334" s="631"/>
      <c r="AH334" s="631"/>
      <c r="AI334" s="631">
        <v>4</v>
      </c>
      <c r="AJ334" s="631">
        <v>4</v>
      </c>
      <c r="AK334" s="631">
        <v>4</v>
      </c>
      <c r="AL334" s="557">
        <v>4</v>
      </c>
      <c r="AM334" s="557">
        <v>4</v>
      </c>
      <c r="AN334" s="557">
        <v>4</v>
      </c>
      <c r="AO334" s="557">
        <v>4</v>
      </c>
      <c r="AP334" s="557">
        <v>4</v>
      </c>
      <c r="AQ334" s="557">
        <v>4</v>
      </c>
      <c r="AR334" s="557">
        <v>4</v>
      </c>
      <c r="AS334" s="557">
        <v>4</v>
      </c>
      <c r="AT334" s="557">
        <v>4</v>
      </c>
      <c r="AU334" s="557">
        <v>4</v>
      </c>
      <c r="AV334" s="557">
        <v>4</v>
      </c>
      <c r="AW334" s="557">
        <v>4</v>
      </c>
      <c r="AX334" s="557">
        <v>4</v>
      </c>
      <c r="AY334" s="557">
        <v>4</v>
      </c>
      <c r="AZ334" s="557">
        <v>4</v>
      </c>
      <c r="BA334" s="557">
        <v>4</v>
      </c>
      <c r="BB334" s="557">
        <v>4</v>
      </c>
      <c r="BC334" s="512">
        <v>4</v>
      </c>
      <c r="BD334" s="512">
        <v>4</v>
      </c>
      <c r="BE334" s="512">
        <v>4</v>
      </c>
      <c r="BF334" s="512">
        <v>4</v>
      </c>
      <c r="BG334" s="495">
        <f t="shared" ref="BG334" si="76">SUM(E334:BF334)</f>
        <v>208</v>
      </c>
      <c r="BH334" s="1056"/>
      <c r="BI334" s="496">
        <f t="shared" si="75"/>
        <v>52</v>
      </c>
      <c r="BJ334" s="518"/>
      <c r="BK334" s="518"/>
      <c r="BL334" s="518"/>
      <c r="BM334" s="518"/>
      <c r="BN334" s="518"/>
      <c r="BO334" s="518"/>
      <c r="BP334" s="518"/>
      <c r="BQ334" s="518"/>
      <c r="BR334" s="518"/>
      <c r="BS334" s="518"/>
      <c r="BT334" s="518">
        <v>4</v>
      </c>
      <c r="BU334" s="518">
        <v>4</v>
      </c>
      <c r="BV334" s="518">
        <v>4</v>
      </c>
      <c r="BW334" s="518">
        <v>4</v>
      </c>
      <c r="BX334" s="518">
        <v>4</v>
      </c>
      <c r="BY334" s="518">
        <v>4</v>
      </c>
      <c r="BZ334" s="518">
        <v>4</v>
      </c>
      <c r="CA334" s="518">
        <v>4</v>
      </c>
      <c r="CB334" s="734">
        <v>4</v>
      </c>
      <c r="CC334" s="518"/>
      <c r="CD334" s="518"/>
      <c r="CE334" s="518"/>
      <c r="CF334" s="518"/>
      <c r="CG334" s="518"/>
      <c r="CH334" s="518"/>
      <c r="CI334" s="518"/>
      <c r="CJ334" s="518"/>
      <c r="CK334" s="518"/>
      <c r="CL334" s="518"/>
      <c r="CM334" s="734"/>
      <c r="CN334" s="518"/>
      <c r="CO334" s="518"/>
      <c r="CP334" s="518"/>
      <c r="CQ334" s="518"/>
      <c r="CR334" s="518"/>
      <c r="CS334" s="518"/>
      <c r="CT334" s="734"/>
      <c r="CU334" s="518"/>
      <c r="CV334" s="518"/>
      <c r="CW334" s="518"/>
      <c r="CX334" s="518"/>
      <c r="CY334" s="518"/>
      <c r="CZ334" s="518"/>
      <c r="DA334" s="518"/>
      <c r="DB334" s="518"/>
      <c r="DC334" s="518"/>
      <c r="DD334" s="518"/>
      <c r="DE334" s="518"/>
      <c r="DF334" s="518"/>
      <c r="DG334" s="518"/>
      <c r="DH334" s="518"/>
      <c r="DI334" s="518"/>
      <c r="DJ334" s="518"/>
    </row>
    <row r="335" spans="1:114" ht="307.89999999999998" customHeight="1" thickTop="1" thickBot="1" x14ac:dyDescent="1.3">
      <c r="A335" s="540"/>
      <c r="B335" s="770" t="s">
        <v>162</v>
      </c>
      <c r="C335" s="542"/>
      <c r="D335" s="542"/>
      <c r="E335" s="543"/>
      <c r="F335" s="543"/>
      <c r="G335" s="543"/>
      <c r="H335" s="543"/>
      <c r="I335" s="543"/>
      <c r="J335" s="543"/>
      <c r="K335" s="543"/>
      <c r="L335" s="543"/>
      <c r="M335" s="543"/>
      <c r="N335" s="543"/>
      <c r="O335" s="543"/>
      <c r="P335" s="543"/>
      <c r="Q335" s="543"/>
      <c r="R335" s="543"/>
      <c r="S335" s="1059" t="s">
        <v>150</v>
      </c>
      <c r="T335" s="1059"/>
      <c r="U335" s="543"/>
      <c r="V335" s="543"/>
      <c r="W335" s="543"/>
      <c r="X335" s="543"/>
      <c r="Y335" s="543"/>
      <c r="Z335" s="543"/>
      <c r="AA335" s="543"/>
      <c r="AB335" s="543"/>
      <c r="AC335" s="543"/>
      <c r="AD335" s="543"/>
      <c r="AE335" s="543"/>
      <c r="AF335" s="543"/>
      <c r="AG335" s="543"/>
      <c r="AH335" s="543"/>
      <c r="AI335" s="543"/>
      <c r="AJ335" s="543"/>
      <c r="AK335" s="1059" t="s">
        <v>162</v>
      </c>
      <c r="AL335" s="1059"/>
      <c r="AM335" s="543"/>
      <c r="AN335" s="543"/>
      <c r="AO335" s="543"/>
      <c r="AP335" s="543"/>
      <c r="AQ335" s="543"/>
      <c r="AR335" s="543"/>
      <c r="AS335" s="543"/>
      <c r="AT335" s="543"/>
      <c r="AU335" s="543"/>
      <c r="AV335" s="543"/>
      <c r="AW335" s="543"/>
      <c r="AX335" s="543"/>
      <c r="AY335" s="543"/>
      <c r="AZ335" s="543"/>
      <c r="BA335" s="543"/>
      <c r="BB335" s="543"/>
      <c r="BC335" s="543"/>
      <c r="BD335" s="543"/>
      <c r="BE335" s="543"/>
      <c r="BF335" s="1059" t="s">
        <v>150</v>
      </c>
      <c r="BG335" s="1059"/>
      <c r="BH335" s="544"/>
      <c r="BI335" s="734"/>
      <c r="BJ335" s="734"/>
      <c r="BK335" s="734"/>
      <c r="BL335" s="734"/>
      <c r="BM335" s="734"/>
      <c r="BN335" s="734"/>
      <c r="BO335" s="734"/>
      <c r="BP335" s="734"/>
      <c r="BQ335" s="734"/>
      <c r="BR335" s="734"/>
      <c r="BS335" s="734"/>
      <c r="BT335" s="734"/>
      <c r="BU335" s="734"/>
      <c r="BV335" s="734"/>
      <c r="BW335" s="734"/>
      <c r="BX335" s="734"/>
      <c r="BY335" s="734"/>
      <c r="BZ335" s="734"/>
      <c r="CA335" s="518"/>
      <c r="CB335" s="734"/>
      <c r="CC335" s="734"/>
      <c r="CD335" s="734"/>
      <c r="CE335" s="734"/>
      <c r="CF335" s="734"/>
      <c r="CG335" s="734"/>
      <c r="CH335" s="734"/>
      <c r="CI335" s="734"/>
      <c r="CJ335" s="734"/>
      <c r="CK335" s="734"/>
      <c r="CL335" s="734"/>
      <c r="CM335" s="734"/>
      <c r="CN335" s="734"/>
      <c r="CO335" s="734"/>
      <c r="CP335" s="734"/>
      <c r="CQ335" s="734"/>
      <c r="CR335" s="734"/>
      <c r="CS335" s="734"/>
      <c r="CT335" s="734"/>
      <c r="CU335" s="734"/>
      <c r="CV335" s="734"/>
      <c r="CW335" s="734"/>
      <c r="CX335" s="734"/>
      <c r="CY335" s="734"/>
      <c r="CZ335" s="734"/>
      <c r="DA335" s="734"/>
      <c r="DB335" s="734"/>
      <c r="DC335" s="734"/>
      <c r="DD335" s="734"/>
      <c r="DE335" s="734"/>
      <c r="DF335" s="734"/>
      <c r="DG335" s="734"/>
      <c r="DH335" s="734"/>
      <c r="DI335" s="734"/>
      <c r="DJ335" s="734"/>
    </row>
    <row r="336" spans="1:114" s="511" customFormat="1" ht="199.9" customHeight="1" thickTop="1" thickBot="1" x14ac:dyDescent="1.3">
      <c r="A336" s="1055">
        <v>1</v>
      </c>
      <c r="B336" s="1054" t="s">
        <v>722</v>
      </c>
      <c r="C336" s="1053" t="s">
        <v>127</v>
      </c>
      <c r="D336" s="1053"/>
      <c r="E336" s="508">
        <v>100</v>
      </c>
      <c r="F336" s="508">
        <v>100</v>
      </c>
      <c r="G336" s="508">
        <v>100</v>
      </c>
      <c r="H336" s="508">
        <v>100</v>
      </c>
      <c r="I336" s="508">
        <v>100</v>
      </c>
      <c r="J336" s="508">
        <v>100</v>
      </c>
      <c r="K336" s="508">
        <v>100</v>
      </c>
      <c r="L336" s="508">
        <v>100</v>
      </c>
      <c r="M336" s="508">
        <v>100</v>
      </c>
      <c r="N336" s="508">
        <v>100</v>
      </c>
      <c r="O336" s="508">
        <v>100</v>
      </c>
      <c r="P336" s="508">
        <v>100</v>
      </c>
      <c r="Q336" s="508">
        <v>100</v>
      </c>
      <c r="R336" s="508">
        <v>100</v>
      </c>
      <c r="S336" s="508">
        <v>100</v>
      </c>
      <c r="T336" s="508">
        <v>100</v>
      </c>
      <c r="U336" s="508">
        <v>100</v>
      </c>
      <c r="V336" s="508">
        <v>100</v>
      </c>
      <c r="W336" s="508">
        <v>100</v>
      </c>
      <c r="X336" s="508">
        <v>100</v>
      </c>
      <c r="Y336" s="508">
        <v>100</v>
      </c>
      <c r="Z336" s="508">
        <v>100</v>
      </c>
      <c r="AA336" s="508">
        <v>100</v>
      </c>
      <c r="AB336" s="508">
        <v>100</v>
      </c>
      <c r="AC336" s="508">
        <v>100</v>
      </c>
      <c r="AD336" s="508">
        <v>100</v>
      </c>
      <c r="AE336" s="508">
        <v>100</v>
      </c>
      <c r="AF336" s="508">
        <v>100</v>
      </c>
      <c r="AG336" s="508">
        <v>100</v>
      </c>
      <c r="AH336" s="508">
        <v>100</v>
      </c>
      <c r="AI336" s="508">
        <v>100</v>
      </c>
      <c r="AJ336" s="508">
        <v>100</v>
      </c>
      <c r="AK336" s="508">
        <v>100</v>
      </c>
      <c r="AL336" s="508">
        <v>100</v>
      </c>
      <c r="AM336" s="508">
        <v>100</v>
      </c>
      <c r="AN336" s="508">
        <v>100</v>
      </c>
      <c r="AO336" s="508">
        <v>100</v>
      </c>
      <c r="AP336" s="508">
        <v>100</v>
      </c>
      <c r="AQ336" s="508">
        <v>100</v>
      </c>
      <c r="AR336" s="508">
        <v>100</v>
      </c>
      <c r="AS336" s="508">
        <v>100</v>
      </c>
      <c r="AT336" s="508">
        <v>100</v>
      </c>
      <c r="AU336" s="508">
        <v>100</v>
      </c>
      <c r="AV336" s="508">
        <v>100</v>
      </c>
      <c r="AW336" s="508">
        <v>100</v>
      </c>
      <c r="AX336" s="508">
        <v>100</v>
      </c>
      <c r="AY336" s="508">
        <v>100</v>
      </c>
      <c r="AZ336" s="508">
        <v>100</v>
      </c>
      <c r="BA336" s="508">
        <v>100</v>
      </c>
      <c r="BB336" s="508">
        <v>100</v>
      </c>
      <c r="BC336" s="508">
        <v>100</v>
      </c>
      <c r="BD336" s="508">
        <v>100</v>
      </c>
      <c r="BE336" s="508">
        <v>100</v>
      </c>
      <c r="BF336" s="508">
        <v>100</v>
      </c>
      <c r="BG336" s="490">
        <f>SUM(E336:BF336)</f>
        <v>5400</v>
      </c>
      <c r="BH336" s="1056">
        <f>BG337</f>
        <v>2500</v>
      </c>
      <c r="BI336" s="734">
        <f>BG336/BF336</f>
        <v>54</v>
      </c>
      <c r="BJ336" s="734"/>
      <c r="BK336" s="734"/>
      <c r="BL336" s="734"/>
      <c r="BM336" s="734"/>
      <c r="BN336" s="734"/>
      <c r="BO336" s="734"/>
      <c r="BP336" s="734"/>
      <c r="BQ336" s="734"/>
      <c r="BR336" s="734"/>
      <c r="BS336" s="734"/>
      <c r="BT336" s="734"/>
      <c r="BU336" s="734"/>
      <c r="BV336" s="734"/>
      <c r="BW336" s="734"/>
      <c r="BX336" s="734"/>
      <c r="BY336" s="734"/>
      <c r="BZ336" s="734"/>
      <c r="CA336" s="518"/>
      <c r="CB336" s="734"/>
      <c r="CC336" s="734"/>
      <c r="CD336" s="734"/>
      <c r="CE336" s="734"/>
      <c r="CF336" s="734"/>
      <c r="CG336" s="734"/>
      <c r="CH336" s="734"/>
      <c r="CI336" s="734"/>
      <c r="CJ336" s="734"/>
      <c r="CK336" s="734"/>
      <c r="CL336" s="734"/>
      <c r="CM336" s="734"/>
      <c r="CN336" s="518"/>
      <c r="CO336" s="518"/>
      <c r="CP336" s="518"/>
      <c r="CQ336" s="518"/>
      <c r="CR336" s="518"/>
      <c r="CS336" s="518"/>
      <c r="CT336" s="734"/>
      <c r="CU336" s="518"/>
      <c r="CV336" s="734"/>
      <c r="CW336" s="734"/>
      <c r="CX336" s="734"/>
      <c r="CY336" s="734"/>
      <c r="CZ336" s="734"/>
      <c r="DA336" s="734"/>
      <c r="DB336" s="734"/>
      <c r="DC336" s="734"/>
      <c r="DD336" s="734"/>
      <c r="DE336" s="734"/>
      <c r="DF336" s="734"/>
      <c r="DG336" s="734"/>
      <c r="DH336" s="734"/>
      <c r="DI336" s="734"/>
      <c r="DJ336" s="734"/>
    </row>
    <row r="337" spans="1:114" ht="199.9" customHeight="1" thickTop="1" thickBot="1" x14ac:dyDescent="1.3">
      <c r="A337" s="1055"/>
      <c r="B337" s="1054"/>
      <c r="C337" s="1052" t="s">
        <v>128</v>
      </c>
      <c r="D337" s="1052"/>
      <c r="E337" s="571"/>
      <c r="F337" s="571"/>
      <c r="G337" s="571"/>
      <c r="H337" s="571"/>
      <c r="I337" s="571"/>
      <c r="J337" s="571"/>
      <c r="K337" s="571"/>
      <c r="L337" s="571"/>
      <c r="M337" s="571"/>
      <c r="N337" s="571"/>
      <c r="O337" s="571"/>
      <c r="P337" s="571"/>
      <c r="Q337" s="571"/>
      <c r="R337" s="571"/>
      <c r="S337" s="571"/>
      <c r="T337" s="571"/>
      <c r="U337" s="571"/>
      <c r="V337" s="571"/>
      <c r="W337" s="571"/>
      <c r="X337" s="571"/>
      <c r="Y337" s="571"/>
      <c r="Z337" s="571"/>
      <c r="AA337" s="571"/>
      <c r="AB337" s="571"/>
      <c r="AC337" s="571"/>
      <c r="AD337" s="571"/>
      <c r="AE337" s="571"/>
      <c r="AF337" s="571"/>
      <c r="AG337" s="571"/>
      <c r="AH337" s="631">
        <v>100</v>
      </c>
      <c r="AI337" s="631">
        <v>100</v>
      </c>
      <c r="AJ337" s="631">
        <v>100</v>
      </c>
      <c r="AK337" s="631">
        <v>100</v>
      </c>
      <c r="AL337" s="631">
        <v>100</v>
      </c>
      <c r="AM337" s="571">
        <v>100</v>
      </c>
      <c r="AN337" s="571">
        <v>100</v>
      </c>
      <c r="AO337" s="571">
        <v>100</v>
      </c>
      <c r="AP337" s="571">
        <v>100</v>
      </c>
      <c r="AQ337" s="571">
        <v>100</v>
      </c>
      <c r="AR337" s="571">
        <v>100</v>
      </c>
      <c r="AS337" s="571">
        <v>100</v>
      </c>
      <c r="AT337" s="571">
        <v>100</v>
      </c>
      <c r="AU337" s="571">
        <v>100</v>
      </c>
      <c r="AV337" s="571">
        <v>100</v>
      </c>
      <c r="AW337" s="571">
        <v>100</v>
      </c>
      <c r="AX337" s="571">
        <v>100</v>
      </c>
      <c r="AY337" s="571">
        <v>100</v>
      </c>
      <c r="AZ337" s="571">
        <v>100</v>
      </c>
      <c r="BA337" s="571">
        <v>100</v>
      </c>
      <c r="BB337" s="571">
        <v>100</v>
      </c>
      <c r="BC337" s="571">
        <v>100</v>
      </c>
      <c r="BD337" s="571">
        <v>100</v>
      </c>
      <c r="BE337" s="571">
        <v>100</v>
      </c>
      <c r="BF337" s="571">
        <v>100</v>
      </c>
      <c r="BG337" s="495">
        <f t="shared" ref="BG337" si="77">SUM(E337:BF337)</f>
        <v>2500</v>
      </c>
      <c r="BH337" s="1056"/>
      <c r="BI337" s="734">
        <f t="shared" ref="BI337:BI349" si="78">BG337/BF337</f>
        <v>25</v>
      </c>
      <c r="BJ337" s="734"/>
      <c r="BK337" s="734"/>
      <c r="BL337" s="734"/>
      <c r="BM337" s="734"/>
      <c r="BN337" s="734"/>
      <c r="BO337" s="734"/>
      <c r="BP337" s="734"/>
      <c r="BQ337" s="734"/>
      <c r="BR337" s="734"/>
      <c r="BS337" s="734"/>
      <c r="BT337" s="734"/>
      <c r="BU337" s="734"/>
      <c r="BV337" s="734"/>
      <c r="BW337" s="734"/>
      <c r="BX337" s="734"/>
      <c r="BY337" s="734"/>
      <c r="BZ337" s="734"/>
      <c r="CA337" s="518"/>
      <c r="CB337" s="734"/>
      <c r="CC337" s="734"/>
      <c r="CD337" s="734"/>
      <c r="CE337" s="734"/>
      <c r="CF337" s="734"/>
      <c r="CG337" s="734"/>
      <c r="CH337" s="734"/>
      <c r="CI337" s="734"/>
      <c r="CJ337" s="734"/>
      <c r="CK337" s="734"/>
      <c r="CL337" s="734"/>
      <c r="CM337" s="734"/>
      <c r="CN337" s="734"/>
      <c r="CO337" s="734"/>
      <c r="CP337" s="734"/>
      <c r="CQ337" s="734"/>
      <c r="CR337" s="734"/>
      <c r="CS337" s="734"/>
      <c r="CT337" s="734"/>
      <c r="CU337" s="734"/>
      <c r="CV337" s="518"/>
      <c r="CW337" s="518"/>
      <c r="CX337" s="518"/>
      <c r="CY337" s="518"/>
      <c r="CZ337" s="518"/>
      <c r="DA337" s="734"/>
      <c r="DB337" s="734"/>
      <c r="DC337" s="734"/>
      <c r="DD337" s="734"/>
      <c r="DE337" s="734"/>
      <c r="DF337" s="734"/>
      <c r="DG337" s="734"/>
      <c r="DH337" s="734"/>
      <c r="DI337" s="734"/>
      <c r="DJ337" s="734"/>
    </row>
    <row r="338" spans="1:114" s="511" customFormat="1" ht="199.9" customHeight="1" thickTop="1" thickBot="1" x14ac:dyDescent="1.3">
      <c r="A338" s="1055">
        <v>2</v>
      </c>
      <c r="B338" s="1054" t="s">
        <v>723</v>
      </c>
      <c r="C338" s="1053" t="s">
        <v>127</v>
      </c>
      <c r="D338" s="1053"/>
      <c r="E338" s="508">
        <v>100</v>
      </c>
      <c r="F338" s="508">
        <v>100</v>
      </c>
      <c r="G338" s="508">
        <v>100</v>
      </c>
      <c r="H338" s="508">
        <v>100</v>
      </c>
      <c r="I338" s="508">
        <v>100</v>
      </c>
      <c r="J338" s="508">
        <v>100</v>
      </c>
      <c r="K338" s="508">
        <v>100</v>
      </c>
      <c r="L338" s="508">
        <v>100</v>
      </c>
      <c r="M338" s="508">
        <v>100</v>
      </c>
      <c r="N338" s="508">
        <v>100</v>
      </c>
      <c r="O338" s="508">
        <v>100</v>
      </c>
      <c r="P338" s="508">
        <v>100</v>
      </c>
      <c r="Q338" s="508">
        <v>100</v>
      </c>
      <c r="R338" s="508">
        <v>100</v>
      </c>
      <c r="S338" s="508">
        <v>100</v>
      </c>
      <c r="T338" s="508">
        <v>100</v>
      </c>
      <c r="U338" s="508">
        <v>100</v>
      </c>
      <c r="V338" s="508">
        <v>100</v>
      </c>
      <c r="W338" s="508">
        <v>100</v>
      </c>
      <c r="X338" s="508">
        <v>100</v>
      </c>
      <c r="Y338" s="508">
        <v>100</v>
      </c>
      <c r="Z338" s="508">
        <v>100</v>
      </c>
      <c r="AA338" s="508">
        <v>100</v>
      </c>
      <c r="AB338" s="508">
        <v>100</v>
      </c>
      <c r="AC338" s="508">
        <v>100</v>
      </c>
      <c r="AD338" s="508">
        <v>100</v>
      </c>
      <c r="AE338" s="508">
        <v>100</v>
      </c>
      <c r="AF338" s="508">
        <v>100</v>
      </c>
      <c r="AG338" s="508">
        <v>100</v>
      </c>
      <c r="AH338" s="508">
        <v>100</v>
      </c>
      <c r="AI338" s="508">
        <v>100</v>
      </c>
      <c r="AJ338" s="508">
        <v>100</v>
      </c>
      <c r="AK338" s="508">
        <v>100</v>
      </c>
      <c r="AL338" s="508">
        <v>100</v>
      </c>
      <c r="AM338" s="508">
        <v>100</v>
      </c>
      <c r="AN338" s="508">
        <v>100</v>
      </c>
      <c r="AO338" s="508">
        <v>100</v>
      </c>
      <c r="AP338" s="508">
        <v>100</v>
      </c>
      <c r="AQ338" s="508">
        <v>100</v>
      </c>
      <c r="AR338" s="508">
        <v>100</v>
      </c>
      <c r="AS338" s="508">
        <v>100</v>
      </c>
      <c r="AT338" s="508">
        <v>100</v>
      </c>
      <c r="AU338" s="508">
        <v>100</v>
      </c>
      <c r="AV338" s="508">
        <v>100</v>
      </c>
      <c r="AW338" s="508">
        <v>100</v>
      </c>
      <c r="AX338" s="508">
        <v>100</v>
      </c>
      <c r="AY338" s="508">
        <v>100</v>
      </c>
      <c r="AZ338" s="508">
        <v>100</v>
      </c>
      <c r="BA338" s="508">
        <v>100</v>
      </c>
      <c r="BB338" s="508">
        <v>100</v>
      </c>
      <c r="BC338" s="508">
        <v>100</v>
      </c>
      <c r="BD338" s="508">
        <v>100</v>
      </c>
      <c r="BE338" s="508">
        <v>100</v>
      </c>
      <c r="BF338" s="508">
        <v>100</v>
      </c>
      <c r="BG338" s="490">
        <f>SUM(E338:BF338)</f>
        <v>5400</v>
      </c>
      <c r="BH338" s="1056">
        <f>BG339</f>
        <v>2000</v>
      </c>
      <c r="BI338" s="734">
        <f t="shared" si="78"/>
        <v>54</v>
      </c>
      <c r="BJ338" s="518"/>
      <c r="BK338" s="518"/>
      <c r="BL338" s="518"/>
      <c r="BM338" s="518"/>
      <c r="BN338" s="518"/>
      <c r="BO338" s="518"/>
      <c r="BP338" s="518"/>
      <c r="BQ338" s="518"/>
      <c r="BR338" s="518"/>
      <c r="BS338" s="518"/>
      <c r="BT338" s="518"/>
      <c r="BU338" s="518"/>
      <c r="BV338" s="518"/>
      <c r="BW338" s="518"/>
      <c r="BX338" s="518"/>
      <c r="BY338" s="518"/>
      <c r="BZ338" s="518"/>
      <c r="CA338" s="518"/>
      <c r="CB338" s="734"/>
      <c r="CC338" s="518"/>
      <c r="CD338" s="518"/>
      <c r="CE338" s="518"/>
      <c r="CF338" s="518"/>
      <c r="CG338" s="518"/>
      <c r="CH338" s="518"/>
      <c r="CI338" s="518"/>
      <c r="CJ338" s="518"/>
      <c r="CK338" s="518"/>
      <c r="CL338" s="518"/>
      <c r="CM338" s="734"/>
      <c r="CN338" s="518"/>
      <c r="CO338" s="518"/>
      <c r="CP338" s="518"/>
      <c r="CQ338" s="518"/>
      <c r="CR338" s="518"/>
      <c r="CS338" s="518"/>
      <c r="CT338" s="734"/>
      <c r="CU338" s="518"/>
      <c r="CV338" s="734"/>
      <c r="CW338" s="734"/>
      <c r="CX338" s="734"/>
      <c r="CY338" s="734"/>
      <c r="CZ338" s="734"/>
      <c r="DA338" s="518"/>
      <c r="DB338" s="518"/>
      <c r="DC338" s="518"/>
      <c r="DD338" s="518"/>
      <c r="DE338" s="518"/>
      <c r="DF338" s="518"/>
      <c r="DG338" s="518"/>
      <c r="DH338" s="518"/>
      <c r="DI338" s="518"/>
      <c r="DJ338" s="518"/>
    </row>
    <row r="339" spans="1:114" ht="199.9" customHeight="1" thickTop="1" thickBot="1" x14ac:dyDescent="1.3">
      <c r="A339" s="1055"/>
      <c r="B339" s="1054"/>
      <c r="C339" s="1052" t="s">
        <v>128</v>
      </c>
      <c r="D339" s="1052"/>
      <c r="E339" s="571"/>
      <c r="F339" s="571"/>
      <c r="G339" s="571"/>
      <c r="H339" s="571"/>
      <c r="I339" s="571"/>
      <c r="J339" s="571"/>
      <c r="K339" s="571"/>
      <c r="L339" s="571"/>
      <c r="M339" s="571"/>
      <c r="N339" s="571"/>
      <c r="O339" s="571"/>
      <c r="P339" s="571"/>
      <c r="Q339" s="571"/>
      <c r="R339" s="571"/>
      <c r="S339" s="571"/>
      <c r="T339" s="571"/>
      <c r="U339" s="571"/>
      <c r="V339" s="571"/>
      <c r="W339" s="571"/>
      <c r="X339" s="571"/>
      <c r="Y339" s="571"/>
      <c r="Z339" s="571"/>
      <c r="AA339" s="571"/>
      <c r="AB339" s="571"/>
      <c r="AC339" s="571"/>
      <c r="AD339" s="571"/>
      <c r="AE339" s="571"/>
      <c r="AF339" s="571"/>
      <c r="AG339" s="571"/>
      <c r="AH339" s="571"/>
      <c r="AI339" s="571"/>
      <c r="AJ339" s="571"/>
      <c r="AK339" s="571"/>
      <c r="AL339" s="571"/>
      <c r="AM339" s="571">
        <v>100</v>
      </c>
      <c r="AN339" s="571">
        <v>100</v>
      </c>
      <c r="AO339" s="571">
        <v>100</v>
      </c>
      <c r="AP339" s="571">
        <v>100</v>
      </c>
      <c r="AQ339" s="571">
        <v>100</v>
      </c>
      <c r="AR339" s="571">
        <v>100</v>
      </c>
      <c r="AS339" s="571">
        <v>100</v>
      </c>
      <c r="AT339" s="571">
        <v>100</v>
      </c>
      <c r="AU339" s="571">
        <v>100</v>
      </c>
      <c r="AV339" s="571">
        <v>100</v>
      </c>
      <c r="AW339" s="571">
        <v>100</v>
      </c>
      <c r="AX339" s="571">
        <v>100</v>
      </c>
      <c r="AY339" s="571">
        <v>100</v>
      </c>
      <c r="AZ339" s="571">
        <v>100</v>
      </c>
      <c r="BA339" s="571">
        <v>100</v>
      </c>
      <c r="BB339" s="571">
        <v>100</v>
      </c>
      <c r="BC339" s="571">
        <v>100</v>
      </c>
      <c r="BD339" s="571">
        <v>100</v>
      </c>
      <c r="BE339" s="571">
        <v>100</v>
      </c>
      <c r="BF339" s="571">
        <v>100</v>
      </c>
      <c r="BG339" s="495">
        <f t="shared" ref="BG339" si="79">SUM(E339:BF339)</f>
        <v>2000</v>
      </c>
      <c r="BH339" s="1056"/>
      <c r="BI339" s="734">
        <f t="shared" si="78"/>
        <v>20</v>
      </c>
      <c r="BJ339" s="734"/>
      <c r="BK339" s="734"/>
      <c r="BL339" s="734"/>
      <c r="BM339" s="734"/>
      <c r="BN339" s="734"/>
      <c r="BO339" s="734"/>
      <c r="BP339" s="734"/>
      <c r="BQ339" s="734"/>
      <c r="BR339" s="734"/>
      <c r="BS339" s="734"/>
      <c r="BT339" s="734"/>
      <c r="BU339" s="734"/>
      <c r="BV339" s="734"/>
      <c r="BW339" s="734"/>
      <c r="BX339" s="734"/>
      <c r="BY339" s="734"/>
      <c r="BZ339" s="734"/>
      <c r="CA339" s="518"/>
      <c r="CB339" s="734"/>
      <c r="CC339" s="734"/>
      <c r="CD339" s="734"/>
      <c r="CE339" s="734"/>
      <c r="CF339" s="734"/>
      <c r="CG339" s="734"/>
      <c r="CH339" s="734"/>
      <c r="CI339" s="734"/>
      <c r="CJ339" s="734"/>
      <c r="CK339" s="734"/>
      <c r="CL339" s="734"/>
      <c r="CM339" s="734"/>
      <c r="CN339" s="734"/>
      <c r="CO339" s="734"/>
      <c r="CP339" s="734"/>
      <c r="CQ339" s="734"/>
      <c r="CR339" s="734"/>
      <c r="CS339" s="734"/>
      <c r="CT339" s="734"/>
      <c r="CU339" s="734"/>
      <c r="CV339" s="518"/>
      <c r="CW339" s="518"/>
      <c r="CX339" s="518"/>
      <c r="CY339" s="518"/>
      <c r="CZ339" s="518"/>
      <c r="DA339" s="734"/>
      <c r="DB339" s="734"/>
      <c r="DC339" s="734"/>
      <c r="DD339" s="734"/>
      <c r="DE339" s="734"/>
      <c r="DF339" s="734"/>
      <c r="DG339" s="734"/>
      <c r="DH339" s="734"/>
      <c r="DI339" s="734"/>
      <c r="DJ339" s="734"/>
    </row>
    <row r="340" spans="1:114" s="511" customFormat="1" ht="199.9" customHeight="1" thickTop="1" thickBot="1" x14ac:dyDescent="1.3">
      <c r="A340" s="1055" t="s">
        <v>423</v>
      </c>
      <c r="B340" s="1054" t="s">
        <v>72</v>
      </c>
      <c r="C340" s="1053" t="s">
        <v>127</v>
      </c>
      <c r="D340" s="1053"/>
      <c r="E340" s="508">
        <v>55</v>
      </c>
      <c r="F340" s="508">
        <v>55</v>
      </c>
      <c r="G340" s="508">
        <v>55</v>
      </c>
      <c r="H340" s="508">
        <v>55</v>
      </c>
      <c r="I340" s="508">
        <v>55</v>
      </c>
      <c r="J340" s="508">
        <v>55</v>
      </c>
      <c r="K340" s="508">
        <v>55</v>
      </c>
      <c r="L340" s="508">
        <v>55</v>
      </c>
      <c r="M340" s="508">
        <v>55</v>
      </c>
      <c r="N340" s="508">
        <v>55</v>
      </c>
      <c r="O340" s="508">
        <v>55</v>
      </c>
      <c r="P340" s="508">
        <v>55</v>
      </c>
      <c r="Q340" s="508">
        <v>55</v>
      </c>
      <c r="R340" s="508">
        <v>55</v>
      </c>
      <c r="S340" s="508">
        <v>55</v>
      </c>
      <c r="T340" s="508">
        <v>55</v>
      </c>
      <c r="U340" s="508">
        <v>55</v>
      </c>
      <c r="V340" s="508">
        <v>55</v>
      </c>
      <c r="W340" s="508">
        <v>55</v>
      </c>
      <c r="X340" s="508">
        <v>55</v>
      </c>
      <c r="Y340" s="508">
        <v>55</v>
      </c>
      <c r="Z340" s="508">
        <v>55</v>
      </c>
      <c r="AA340" s="508">
        <v>55</v>
      </c>
      <c r="AB340" s="508">
        <v>55</v>
      </c>
      <c r="AC340" s="508">
        <v>55</v>
      </c>
      <c r="AD340" s="508">
        <v>55</v>
      </c>
      <c r="AE340" s="508">
        <v>55</v>
      </c>
      <c r="AF340" s="508">
        <v>55</v>
      </c>
      <c r="AG340" s="508">
        <v>55</v>
      </c>
      <c r="AH340" s="508">
        <v>55</v>
      </c>
      <c r="AI340" s="508">
        <v>55</v>
      </c>
      <c r="AJ340" s="508">
        <v>55</v>
      </c>
      <c r="AK340" s="508">
        <v>55</v>
      </c>
      <c r="AL340" s="508">
        <v>55</v>
      </c>
      <c r="AM340" s="508">
        <v>55</v>
      </c>
      <c r="AN340" s="508">
        <v>55</v>
      </c>
      <c r="AO340" s="508">
        <v>55</v>
      </c>
      <c r="AP340" s="508">
        <v>55</v>
      </c>
      <c r="AQ340" s="508">
        <v>55</v>
      </c>
      <c r="AR340" s="508">
        <v>55</v>
      </c>
      <c r="AS340" s="508">
        <v>55</v>
      </c>
      <c r="AT340" s="508">
        <v>55</v>
      </c>
      <c r="AU340" s="508">
        <v>55</v>
      </c>
      <c r="AV340" s="508">
        <v>55</v>
      </c>
      <c r="AW340" s="508">
        <v>55</v>
      </c>
      <c r="AX340" s="508">
        <v>55</v>
      </c>
      <c r="AY340" s="508">
        <v>55</v>
      </c>
      <c r="AZ340" s="508">
        <v>55</v>
      </c>
      <c r="BA340" s="508">
        <v>55</v>
      </c>
      <c r="BB340" s="508">
        <v>55</v>
      </c>
      <c r="BC340" s="508">
        <v>55</v>
      </c>
      <c r="BD340" s="508">
        <v>55</v>
      </c>
      <c r="BE340" s="508">
        <v>55</v>
      </c>
      <c r="BF340" s="508">
        <v>55</v>
      </c>
      <c r="BG340" s="490">
        <f>SUM(E340:BF340)</f>
        <v>2970</v>
      </c>
      <c r="BH340" s="1056">
        <f>BG341</f>
        <v>2970</v>
      </c>
      <c r="BI340" s="734">
        <f t="shared" si="78"/>
        <v>54</v>
      </c>
      <c r="BJ340" s="518">
        <f>55*54</f>
        <v>2970</v>
      </c>
      <c r="BK340" s="518"/>
      <c r="BL340" s="518"/>
      <c r="BM340" s="518"/>
      <c r="BN340" s="518"/>
      <c r="BO340" s="518"/>
      <c r="BP340" s="518"/>
      <c r="BQ340" s="518"/>
      <c r="BR340" s="518"/>
      <c r="BS340" s="518"/>
      <c r="BT340" s="518"/>
      <c r="BU340" s="518"/>
      <c r="BV340" s="518"/>
      <c r="BW340" s="518"/>
      <c r="BX340" s="518"/>
      <c r="BY340" s="518"/>
      <c r="BZ340" s="518"/>
      <c r="CA340" s="518"/>
      <c r="CB340" s="734"/>
      <c r="CC340" s="518"/>
      <c r="CD340" s="518"/>
      <c r="CE340" s="518"/>
      <c r="CF340" s="518"/>
      <c r="CG340" s="518"/>
      <c r="CH340" s="518"/>
      <c r="CI340" s="518"/>
      <c r="CJ340" s="518"/>
      <c r="CK340" s="518"/>
      <c r="CL340" s="518"/>
      <c r="CM340" s="734"/>
      <c r="CN340" s="518"/>
      <c r="CO340" s="518"/>
      <c r="CP340" s="518"/>
      <c r="CQ340" s="518"/>
      <c r="CR340" s="518"/>
      <c r="CS340" s="518"/>
      <c r="CT340" s="734"/>
      <c r="CU340" s="518"/>
      <c r="CV340" s="518"/>
      <c r="CW340" s="518"/>
      <c r="CX340" s="518"/>
      <c r="CY340" s="518"/>
      <c r="CZ340" s="518"/>
      <c r="DA340" s="518"/>
      <c r="DB340" s="518"/>
      <c r="DC340" s="518"/>
      <c r="DD340" s="518"/>
      <c r="DE340" s="518"/>
      <c r="DF340" s="518"/>
      <c r="DG340" s="518"/>
      <c r="DH340" s="518"/>
      <c r="DI340" s="518"/>
      <c r="DJ340" s="518"/>
    </row>
    <row r="341" spans="1:114" ht="199.9" customHeight="1" thickTop="1" thickBot="1" x14ac:dyDescent="1.3">
      <c r="A341" s="1055"/>
      <c r="B341" s="1054"/>
      <c r="C341" s="1052" t="s">
        <v>128</v>
      </c>
      <c r="D341" s="1052"/>
      <c r="E341" s="571">
        <v>55</v>
      </c>
      <c r="F341" s="755">
        <v>55</v>
      </c>
      <c r="G341" s="755">
        <v>55</v>
      </c>
      <c r="H341" s="755">
        <v>55</v>
      </c>
      <c r="I341" s="755">
        <v>55</v>
      </c>
      <c r="J341" s="755">
        <v>55</v>
      </c>
      <c r="K341" s="755">
        <v>55</v>
      </c>
      <c r="L341" s="755">
        <v>55</v>
      </c>
      <c r="M341" s="755">
        <v>55</v>
      </c>
      <c r="N341" s="755">
        <v>55</v>
      </c>
      <c r="O341" s="755">
        <v>55</v>
      </c>
      <c r="P341" s="755">
        <v>55</v>
      </c>
      <c r="Q341" s="755">
        <v>55</v>
      </c>
      <c r="R341" s="755">
        <v>55</v>
      </c>
      <c r="S341" s="755">
        <v>55</v>
      </c>
      <c r="T341" s="755">
        <v>55</v>
      </c>
      <c r="U341" s="755">
        <v>55</v>
      </c>
      <c r="V341" s="755">
        <v>55</v>
      </c>
      <c r="W341" s="755">
        <v>55</v>
      </c>
      <c r="X341" s="755">
        <v>55</v>
      </c>
      <c r="Y341" s="755">
        <v>55</v>
      </c>
      <c r="Z341" s="755">
        <v>55</v>
      </c>
      <c r="AA341" s="755">
        <v>55</v>
      </c>
      <c r="AB341" s="755">
        <v>55</v>
      </c>
      <c r="AC341" s="755">
        <v>55</v>
      </c>
      <c r="AD341" s="755">
        <v>55</v>
      </c>
      <c r="AE341" s="755">
        <v>55</v>
      </c>
      <c r="AF341" s="755">
        <v>55</v>
      </c>
      <c r="AG341" s="755">
        <v>55</v>
      </c>
      <c r="AH341" s="755">
        <v>55</v>
      </c>
      <c r="AI341" s="755">
        <v>55</v>
      </c>
      <c r="AJ341" s="755">
        <v>55</v>
      </c>
      <c r="AK341" s="755">
        <v>55</v>
      </c>
      <c r="AL341" s="755">
        <v>55</v>
      </c>
      <c r="AM341" s="755">
        <v>55</v>
      </c>
      <c r="AN341" s="755">
        <v>55</v>
      </c>
      <c r="AO341" s="755">
        <v>55</v>
      </c>
      <c r="AP341" s="755">
        <v>55</v>
      </c>
      <c r="AQ341" s="755">
        <v>55</v>
      </c>
      <c r="AR341" s="755">
        <v>55</v>
      </c>
      <c r="AS341" s="755">
        <v>55</v>
      </c>
      <c r="AT341" s="755">
        <v>55</v>
      </c>
      <c r="AU341" s="755">
        <v>55</v>
      </c>
      <c r="AV341" s="755">
        <v>55</v>
      </c>
      <c r="AW341" s="755">
        <v>55</v>
      </c>
      <c r="AX341" s="755">
        <v>55</v>
      </c>
      <c r="AY341" s="755">
        <v>55</v>
      </c>
      <c r="AZ341" s="755">
        <v>55</v>
      </c>
      <c r="BA341" s="755">
        <v>55</v>
      </c>
      <c r="BB341" s="755">
        <v>55</v>
      </c>
      <c r="BC341" s="755">
        <v>55</v>
      </c>
      <c r="BD341" s="755">
        <v>55</v>
      </c>
      <c r="BE341" s="755">
        <v>55</v>
      </c>
      <c r="BF341" s="755">
        <v>55</v>
      </c>
      <c r="BG341" s="495">
        <f t="shared" ref="BG341" si="80">SUM(E341:BF341)</f>
        <v>2970</v>
      </c>
      <c r="BH341" s="1056"/>
      <c r="BI341" s="734">
        <f t="shared" si="78"/>
        <v>54</v>
      </c>
      <c r="BJ341" s="734"/>
      <c r="BK341" s="734"/>
      <c r="BL341" s="734"/>
      <c r="BM341" s="734"/>
      <c r="BN341" s="734"/>
      <c r="BO341" s="734"/>
      <c r="BP341" s="734"/>
      <c r="BQ341" s="734"/>
      <c r="BR341" s="734"/>
      <c r="BS341" s="734"/>
      <c r="BT341" s="734"/>
      <c r="BU341" s="734"/>
      <c r="BV341" s="734"/>
      <c r="BW341" s="734"/>
      <c r="BX341" s="734"/>
      <c r="BY341" s="734"/>
      <c r="BZ341" s="734"/>
      <c r="CA341" s="518"/>
      <c r="CB341" s="734"/>
      <c r="CC341" s="734">
        <v>4</v>
      </c>
      <c r="CD341" s="734">
        <v>4</v>
      </c>
      <c r="CE341" s="734">
        <v>4</v>
      </c>
      <c r="CF341" s="734">
        <v>4</v>
      </c>
      <c r="CG341" s="734">
        <v>4</v>
      </c>
      <c r="CH341" s="734">
        <v>4</v>
      </c>
      <c r="CI341" s="734">
        <v>4</v>
      </c>
      <c r="CJ341" s="734">
        <v>4</v>
      </c>
      <c r="CK341" s="734">
        <v>4</v>
      </c>
      <c r="CL341" s="734">
        <v>4</v>
      </c>
      <c r="CM341" s="734">
        <v>4</v>
      </c>
      <c r="CN341" s="734">
        <v>4</v>
      </c>
      <c r="CO341" s="734">
        <v>4</v>
      </c>
      <c r="CP341" s="734">
        <v>4</v>
      </c>
      <c r="CQ341" s="734">
        <v>4</v>
      </c>
      <c r="CR341" s="734">
        <v>4</v>
      </c>
      <c r="CS341" s="734">
        <v>4</v>
      </c>
      <c r="CT341" s="734">
        <v>4</v>
      </c>
      <c r="CU341" s="734">
        <v>4</v>
      </c>
      <c r="CV341" s="734">
        <v>4</v>
      </c>
      <c r="CW341" s="734">
        <v>4</v>
      </c>
      <c r="CX341" s="734">
        <v>4</v>
      </c>
      <c r="CY341" s="734">
        <v>4</v>
      </c>
      <c r="CZ341" s="734">
        <v>4</v>
      </c>
      <c r="DA341" s="734">
        <v>4</v>
      </c>
      <c r="DB341" s="734">
        <v>4</v>
      </c>
      <c r="DC341" s="734">
        <v>4</v>
      </c>
      <c r="DD341" s="734">
        <v>4</v>
      </c>
      <c r="DE341" s="734">
        <v>4</v>
      </c>
      <c r="DF341" s="734">
        <v>4</v>
      </c>
      <c r="DG341" s="734">
        <v>4</v>
      </c>
      <c r="DH341" s="734">
        <v>4</v>
      </c>
      <c r="DI341" s="734">
        <v>4</v>
      </c>
      <c r="DJ341" s="734">
        <v>4</v>
      </c>
    </row>
    <row r="342" spans="1:114" s="511" customFormat="1" ht="199.9" customHeight="1" thickTop="1" thickBot="1" x14ac:dyDescent="1.3">
      <c r="A342" s="1055" t="s">
        <v>424</v>
      </c>
      <c r="B342" s="1054" t="s">
        <v>73</v>
      </c>
      <c r="C342" s="1053" t="s">
        <v>127</v>
      </c>
      <c r="D342" s="1053"/>
      <c r="E342" s="508">
        <v>12</v>
      </c>
      <c r="F342" s="508">
        <v>12</v>
      </c>
      <c r="G342" s="508">
        <v>12</v>
      </c>
      <c r="H342" s="508">
        <v>12</v>
      </c>
      <c r="I342" s="508">
        <v>12</v>
      </c>
      <c r="J342" s="508">
        <v>12</v>
      </c>
      <c r="K342" s="508">
        <v>12</v>
      </c>
      <c r="L342" s="508">
        <v>12</v>
      </c>
      <c r="M342" s="508">
        <v>12</v>
      </c>
      <c r="N342" s="508">
        <v>12</v>
      </c>
      <c r="O342" s="508">
        <v>12</v>
      </c>
      <c r="P342" s="508">
        <v>12</v>
      </c>
      <c r="Q342" s="508">
        <v>12</v>
      </c>
      <c r="R342" s="508">
        <v>12</v>
      </c>
      <c r="S342" s="508">
        <v>12</v>
      </c>
      <c r="T342" s="508">
        <v>12</v>
      </c>
      <c r="U342" s="508">
        <v>12</v>
      </c>
      <c r="V342" s="508">
        <v>12</v>
      </c>
      <c r="W342" s="508">
        <v>12</v>
      </c>
      <c r="X342" s="508">
        <v>12</v>
      </c>
      <c r="Y342" s="508">
        <v>12</v>
      </c>
      <c r="Z342" s="508">
        <v>12</v>
      </c>
      <c r="AA342" s="508">
        <v>12</v>
      </c>
      <c r="AB342" s="508">
        <v>12</v>
      </c>
      <c r="AC342" s="508">
        <v>12</v>
      </c>
      <c r="AD342" s="508">
        <v>12</v>
      </c>
      <c r="AE342" s="508">
        <v>12</v>
      </c>
      <c r="AF342" s="508">
        <v>12</v>
      </c>
      <c r="AG342" s="508">
        <v>12</v>
      </c>
      <c r="AH342" s="508">
        <v>12</v>
      </c>
      <c r="AI342" s="508">
        <v>12</v>
      </c>
      <c r="AJ342" s="508">
        <v>12</v>
      </c>
      <c r="AK342" s="508">
        <v>12</v>
      </c>
      <c r="AL342" s="508">
        <v>12</v>
      </c>
      <c r="AM342" s="508">
        <v>12</v>
      </c>
      <c r="AN342" s="508">
        <v>12</v>
      </c>
      <c r="AO342" s="508">
        <v>12</v>
      </c>
      <c r="AP342" s="508">
        <v>12</v>
      </c>
      <c r="AQ342" s="508">
        <v>12</v>
      </c>
      <c r="AR342" s="508">
        <v>12</v>
      </c>
      <c r="AS342" s="508">
        <v>12</v>
      </c>
      <c r="AT342" s="508">
        <v>12</v>
      </c>
      <c r="AU342" s="508">
        <v>12</v>
      </c>
      <c r="AV342" s="508">
        <v>12</v>
      </c>
      <c r="AW342" s="508">
        <v>12</v>
      </c>
      <c r="AX342" s="508">
        <v>12</v>
      </c>
      <c r="AY342" s="508">
        <v>12</v>
      </c>
      <c r="AZ342" s="508">
        <v>12</v>
      </c>
      <c r="BA342" s="508">
        <v>12</v>
      </c>
      <c r="BB342" s="508">
        <v>12</v>
      </c>
      <c r="BC342" s="508">
        <v>12</v>
      </c>
      <c r="BD342" s="508">
        <v>12</v>
      </c>
      <c r="BE342" s="508">
        <v>12</v>
      </c>
      <c r="BF342" s="508">
        <v>12</v>
      </c>
      <c r="BG342" s="490">
        <f>SUM(E342:BF342)</f>
        <v>648</v>
      </c>
      <c r="BH342" s="1056">
        <f>BG343</f>
        <v>600</v>
      </c>
      <c r="BI342" s="734">
        <f t="shared" si="78"/>
        <v>54</v>
      </c>
      <c r="BJ342" s="734">
        <f>11*54</f>
        <v>594</v>
      </c>
      <c r="BK342" s="734"/>
      <c r="BL342" s="734"/>
      <c r="BM342" s="734"/>
      <c r="BN342" s="734"/>
      <c r="BO342" s="734"/>
      <c r="BP342" s="734"/>
      <c r="BQ342" s="734"/>
      <c r="BR342" s="734"/>
      <c r="BS342" s="734"/>
      <c r="BT342" s="734"/>
      <c r="BU342" s="734"/>
      <c r="BV342" s="734"/>
      <c r="BW342" s="734"/>
      <c r="BX342" s="734"/>
      <c r="BY342" s="734"/>
      <c r="BZ342" s="734"/>
      <c r="CA342" s="518"/>
      <c r="CB342" s="734"/>
      <c r="CC342" s="734">
        <v>4</v>
      </c>
      <c r="CD342" s="734">
        <v>4</v>
      </c>
      <c r="CE342" s="734">
        <v>4</v>
      </c>
      <c r="CF342" s="734">
        <v>4</v>
      </c>
      <c r="CG342" s="734">
        <v>4</v>
      </c>
      <c r="CH342" s="734">
        <v>4</v>
      </c>
      <c r="CI342" s="734">
        <v>4</v>
      </c>
      <c r="CJ342" s="734">
        <v>4</v>
      </c>
      <c r="CK342" s="734">
        <v>4</v>
      </c>
      <c r="CL342" s="734">
        <v>4</v>
      </c>
      <c r="CM342" s="734">
        <v>4</v>
      </c>
      <c r="CN342" s="518">
        <v>4</v>
      </c>
      <c r="CO342" s="518">
        <v>4</v>
      </c>
      <c r="CP342" s="518">
        <v>4</v>
      </c>
      <c r="CQ342" s="518">
        <v>4</v>
      </c>
      <c r="CR342" s="518">
        <v>4</v>
      </c>
      <c r="CS342" s="518">
        <v>4</v>
      </c>
      <c r="CT342" s="734">
        <v>4</v>
      </c>
      <c r="CU342" s="518">
        <v>4</v>
      </c>
      <c r="CV342" s="734">
        <v>4</v>
      </c>
      <c r="CW342" s="734">
        <v>4</v>
      </c>
      <c r="CX342" s="734">
        <v>4</v>
      </c>
      <c r="CY342" s="734">
        <v>4</v>
      </c>
      <c r="CZ342" s="734">
        <v>4</v>
      </c>
      <c r="DA342" s="734">
        <v>4</v>
      </c>
      <c r="DB342" s="734">
        <v>4</v>
      </c>
      <c r="DC342" s="734">
        <v>4</v>
      </c>
      <c r="DD342" s="734">
        <v>4</v>
      </c>
      <c r="DE342" s="734">
        <v>4</v>
      </c>
      <c r="DF342" s="734">
        <v>4</v>
      </c>
      <c r="DG342" s="734">
        <v>4</v>
      </c>
      <c r="DH342" s="734">
        <v>4</v>
      </c>
      <c r="DI342" s="734">
        <v>4</v>
      </c>
      <c r="DJ342" s="734">
        <v>4</v>
      </c>
    </row>
    <row r="343" spans="1:114" ht="199.9" customHeight="1" thickTop="1" thickBot="1" x14ac:dyDescent="1.3">
      <c r="A343" s="1055"/>
      <c r="B343" s="1054"/>
      <c r="C343" s="1052" t="s">
        <v>128</v>
      </c>
      <c r="D343" s="1052"/>
      <c r="E343" s="571">
        <v>12</v>
      </c>
      <c r="F343" s="693">
        <v>12</v>
      </c>
      <c r="G343" s="693">
        <v>12</v>
      </c>
      <c r="H343" s="693">
        <v>12</v>
      </c>
      <c r="I343" s="693">
        <v>12</v>
      </c>
      <c r="J343" s="693">
        <v>12</v>
      </c>
      <c r="K343" s="693">
        <v>12</v>
      </c>
      <c r="L343" s="693">
        <v>12</v>
      </c>
      <c r="M343" s="693">
        <v>12</v>
      </c>
      <c r="N343" s="693">
        <v>12</v>
      </c>
      <c r="O343" s="693">
        <v>12</v>
      </c>
      <c r="P343" s="693">
        <v>12</v>
      </c>
      <c r="Q343" s="693">
        <v>12</v>
      </c>
      <c r="R343" s="693">
        <v>12</v>
      </c>
      <c r="S343" s="693">
        <v>12</v>
      </c>
      <c r="T343" s="693">
        <v>12</v>
      </c>
      <c r="U343" s="734">
        <v>12</v>
      </c>
      <c r="V343" s="734">
        <v>12</v>
      </c>
      <c r="W343" s="734">
        <v>12</v>
      </c>
      <c r="X343" s="734">
        <v>12</v>
      </c>
      <c r="Y343" s="734">
        <v>12</v>
      </c>
      <c r="Z343" s="734">
        <v>12</v>
      </c>
      <c r="AA343" s="734">
        <v>12</v>
      </c>
      <c r="AB343" s="734">
        <v>12</v>
      </c>
      <c r="AC343" s="734">
        <v>12</v>
      </c>
      <c r="AD343" s="734">
        <v>12</v>
      </c>
      <c r="AE343" s="734">
        <v>12</v>
      </c>
      <c r="AF343" s="734">
        <v>12</v>
      </c>
      <c r="AG343" s="571"/>
      <c r="AH343" s="631"/>
      <c r="AI343" s="631"/>
      <c r="AJ343" s="631"/>
      <c r="AK343" s="631">
        <v>12</v>
      </c>
      <c r="AL343" s="631">
        <v>12</v>
      </c>
      <c r="AM343" s="631">
        <v>12</v>
      </c>
      <c r="AN343" s="631">
        <v>12</v>
      </c>
      <c r="AO343" s="631">
        <v>12</v>
      </c>
      <c r="AP343" s="631">
        <v>12</v>
      </c>
      <c r="AQ343" s="631">
        <v>12</v>
      </c>
      <c r="AR343" s="571">
        <v>12</v>
      </c>
      <c r="AS343" s="571">
        <v>12</v>
      </c>
      <c r="AT343" s="571">
        <v>12</v>
      </c>
      <c r="AU343" s="571">
        <v>12</v>
      </c>
      <c r="AV343" s="571">
        <v>12</v>
      </c>
      <c r="AW343" s="571">
        <v>12</v>
      </c>
      <c r="AX343" s="571">
        <v>12</v>
      </c>
      <c r="AY343" s="571">
        <v>12</v>
      </c>
      <c r="AZ343" s="571">
        <v>12</v>
      </c>
      <c r="BA343" s="571">
        <v>12</v>
      </c>
      <c r="BB343" s="571">
        <v>12</v>
      </c>
      <c r="BC343" s="571">
        <v>12</v>
      </c>
      <c r="BD343" s="571">
        <v>12</v>
      </c>
      <c r="BE343" s="571">
        <v>12</v>
      </c>
      <c r="BF343" s="571">
        <v>12</v>
      </c>
      <c r="BG343" s="495">
        <f t="shared" ref="BG343" si="81">SUM(E343:BF343)</f>
        <v>600</v>
      </c>
      <c r="BH343" s="1056"/>
      <c r="BI343" s="734">
        <f t="shared" si="78"/>
        <v>50</v>
      </c>
      <c r="BJ343" s="734"/>
      <c r="BK343" s="734"/>
      <c r="BL343" s="734"/>
      <c r="BM343" s="734"/>
      <c r="BN343" s="734"/>
      <c r="BO343" s="734"/>
      <c r="BP343" s="734"/>
      <c r="BQ343" s="734"/>
      <c r="BR343" s="734"/>
      <c r="BS343" s="734"/>
      <c r="BT343" s="734"/>
      <c r="BU343" s="734"/>
      <c r="BV343" s="734"/>
      <c r="BW343" s="734"/>
      <c r="BX343" s="734"/>
      <c r="BY343" s="734"/>
      <c r="BZ343" s="734"/>
      <c r="CA343" s="518"/>
      <c r="CB343" s="734"/>
      <c r="CC343" s="734">
        <v>4</v>
      </c>
      <c r="CD343" s="734">
        <v>4</v>
      </c>
      <c r="CE343" s="734">
        <v>4</v>
      </c>
      <c r="CF343" s="734">
        <v>4</v>
      </c>
      <c r="CG343" s="734">
        <v>4</v>
      </c>
      <c r="CH343" s="734">
        <v>4</v>
      </c>
      <c r="CI343" s="734">
        <v>4</v>
      </c>
      <c r="CJ343" s="734">
        <v>4</v>
      </c>
      <c r="CK343" s="734">
        <v>4</v>
      </c>
      <c r="CL343" s="734">
        <v>4</v>
      </c>
      <c r="CM343" s="734">
        <v>4</v>
      </c>
      <c r="CN343" s="734">
        <v>4</v>
      </c>
      <c r="CO343" s="734">
        <v>4</v>
      </c>
      <c r="CP343" s="734">
        <v>4</v>
      </c>
      <c r="CQ343" s="734">
        <v>4</v>
      </c>
      <c r="CR343" s="734">
        <v>4</v>
      </c>
      <c r="CS343" s="734">
        <v>4</v>
      </c>
      <c r="CT343" s="734">
        <v>4</v>
      </c>
      <c r="CU343" s="734">
        <v>4</v>
      </c>
      <c r="CV343" s="518">
        <v>4</v>
      </c>
      <c r="CW343" s="518">
        <v>4</v>
      </c>
      <c r="CX343" s="518">
        <v>4</v>
      </c>
      <c r="CY343" s="518">
        <v>4</v>
      </c>
      <c r="CZ343" s="518">
        <v>4</v>
      </c>
      <c r="DA343" s="734">
        <v>4</v>
      </c>
      <c r="DB343" s="734">
        <v>4</v>
      </c>
      <c r="DC343" s="734">
        <v>4</v>
      </c>
      <c r="DD343" s="734">
        <v>4</v>
      </c>
      <c r="DE343" s="734">
        <v>4</v>
      </c>
      <c r="DF343" s="734">
        <v>4</v>
      </c>
      <c r="DG343" s="734">
        <v>4</v>
      </c>
      <c r="DH343" s="734">
        <v>4</v>
      </c>
      <c r="DI343" s="734">
        <v>4</v>
      </c>
      <c r="DJ343" s="734">
        <v>4</v>
      </c>
    </row>
    <row r="344" spans="1:114" s="511" customFormat="1" ht="199.9" customHeight="1" thickTop="1" thickBot="1" x14ac:dyDescent="1.3">
      <c r="A344" s="1055" t="s">
        <v>724</v>
      </c>
      <c r="B344" s="1054" t="s">
        <v>725</v>
      </c>
      <c r="C344" s="1053" t="s">
        <v>127</v>
      </c>
      <c r="D344" s="1053"/>
      <c r="E344" s="508">
        <v>20</v>
      </c>
      <c r="F344" s="508">
        <v>20</v>
      </c>
      <c r="G344" s="508">
        <v>20</v>
      </c>
      <c r="H344" s="508">
        <v>20</v>
      </c>
      <c r="I344" s="508">
        <v>20</v>
      </c>
      <c r="J344" s="508">
        <v>20</v>
      </c>
      <c r="K344" s="508">
        <v>20</v>
      </c>
      <c r="L344" s="508">
        <v>20</v>
      </c>
      <c r="M344" s="508">
        <v>20</v>
      </c>
      <c r="N344" s="508">
        <v>20</v>
      </c>
      <c r="O344" s="508">
        <v>20</v>
      </c>
      <c r="P344" s="508">
        <v>20</v>
      </c>
      <c r="Q344" s="508">
        <v>20</v>
      </c>
      <c r="R344" s="508">
        <v>20</v>
      </c>
      <c r="S344" s="508">
        <v>20</v>
      </c>
      <c r="T344" s="508">
        <v>20</v>
      </c>
      <c r="U344" s="508">
        <v>20</v>
      </c>
      <c r="V344" s="508">
        <v>20</v>
      </c>
      <c r="W344" s="508">
        <v>20</v>
      </c>
      <c r="X344" s="508">
        <v>20</v>
      </c>
      <c r="Y344" s="508">
        <v>20</v>
      </c>
      <c r="Z344" s="508">
        <v>20</v>
      </c>
      <c r="AA344" s="508">
        <v>20</v>
      </c>
      <c r="AB344" s="508">
        <v>20</v>
      </c>
      <c r="AC344" s="508">
        <v>20</v>
      </c>
      <c r="AD344" s="508">
        <v>20</v>
      </c>
      <c r="AE344" s="508">
        <v>20</v>
      </c>
      <c r="AF344" s="508">
        <v>20</v>
      </c>
      <c r="AG344" s="508">
        <v>20</v>
      </c>
      <c r="AH344" s="508">
        <v>20</v>
      </c>
      <c r="AI344" s="508">
        <v>20</v>
      </c>
      <c r="AJ344" s="508">
        <v>20</v>
      </c>
      <c r="AK344" s="508">
        <v>20</v>
      </c>
      <c r="AL344" s="508">
        <v>20</v>
      </c>
      <c r="AM344" s="508">
        <v>20</v>
      </c>
      <c r="AN344" s="508">
        <v>20</v>
      </c>
      <c r="AO344" s="508">
        <v>20</v>
      </c>
      <c r="AP344" s="508">
        <v>20</v>
      </c>
      <c r="AQ344" s="508">
        <v>20</v>
      </c>
      <c r="AR344" s="508">
        <v>20</v>
      </c>
      <c r="AS344" s="508">
        <v>20</v>
      </c>
      <c r="AT344" s="508">
        <v>20</v>
      </c>
      <c r="AU344" s="508">
        <v>20</v>
      </c>
      <c r="AV344" s="508">
        <v>20</v>
      </c>
      <c r="AW344" s="508">
        <v>20</v>
      </c>
      <c r="AX344" s="508">
        <v>20</v>
      </c>
      <c r="AY344" s="508">
        <v>20</v>
      </c>
      <c r="AZ344" s="508">
        <v>20</v>
      </c>
      <c r="BA344" s="508">
        <v>20</v>
      </c>
      <c r="BB344" s="508">
        <v>20</v>
      </c>
      <c r="BC344" s="508">
        <v>20</v>
      </c>
      <c r="BD344" s="508">
        <v>20</v>
      </c>
      <c r="BE344" s="508">
        <v>20</v>
      </c>
      <c r="BF344" s="508">
        <v>20</v>
      </c>
      <c r="BG344" s="490">
        <f>SUM(E344:BF344)</f>
        <v>1080</v>
      </c>
      <c r="BH344" s="1056">
        <f>BG345</f>
        <v>599</v>
      </c>
      <c r="BI344" s="734">
        <f t="shared" si="78"/>
        <v>54</v>
      </c>
      <c r="BJ344" s="518">
        <f>11*54</f>
        <v>594</v>
      </c>
      <c r="BK344" s="518"/>
      <c r="BL344" s="518"/>
      <c r="BM344" s="518"/>
      <c r="BN344" s="518"/>
      <c r="BO344" s="518"/>
      <c r="BP344" s="518"/>
      <c r="BQ344" s="518"/>
      <c r="BR344" s="518"/>
      <c r="BS344" s="518"/>
      <c r="BT344" s="518"/>
      <c r="BU344" s="518"/>
      <c r="BV344" s="518"/>
      <c r="BW344" s="518"/>
      <c r="BX344" s="518"/>
      <c r="BY344" s="518"/>
      <c r="BZ344" s="518"/>
      <c r="CA344" s="518"/>
      <c r="CB344" s="734"/>
      <c r="CC344" s="518">
        <v>4</v>
      </c>
      <c r="CD344" s="518">
        <v>4</v>
      </c>
      <c r="CE344" s="518">
        <v>4</v>
      </c>
      <c r="CF344" s="518">
        <v>4</v>
      </c>
      <c r="CG344" s="518">
        <v>4</v>
      </c>
      <c r="CH344" s="518">
        <v>4</v>
      </c>
      <c r="CI344" s="518">
        <v>4</v>
      </c>
      <c r="CJ344" s="518">
        <v>4</v>
      </c>
      <c r="CK344" s="518">
        <v>4</v>
      </c>
      <c r="CL344" s="518">
        <v>4</v>
      </c>
      <c r="CM344" s="734">
        <v>4</v>
      </c>
      <c r="CN344" s="518">
        <v>4</v>
      </c>
      <c r="CO344" s="518">
        <v>4</v>
      </c>
      <c r="CP344" s="518">
        <v>4</v>
      </c>
      <c r="CQ344" s="518">
        <v>4</v>
      </c>
      <c r="CR344" s="518">
        <v>4</v>
      </c>
      <c r="CS344" s="518">
        <v>4</v>
      </c>
      <c r="CT344" s="734">
        <v>4</v>
      </c>
      <c r="CU344" s="518">
        <v>4</v>
      </c>
      <c r="CV344" s="734">
        <v>4</v>
      </c>
      <c r="CW344" s="734">
        <v>4</v>
      </c>
      <c r="CX344" s="734">
        <v>4</v>
      </c>
      <c r="CY344" s="734">
        <v>4</v>
      </c>
      <c r="CZ344" s="734">
        <v>4</v>
      </c>
      <c r="DA344" s="518">
        <v>4</v>
      </c>
      <c r="DB344" s="518">
        <v>4</v>
      </c>
      <c r="DC344" s="518">
        <v>4</v>
      </c>
      <c r="DD344" s="518">
        <v>4</v>
      </c>
      <c r="DE344" s="518">
        <v>4</v>
      </c>
      <c r="DF344" s="518">
        <v>4</v>
      </c>
      <c r="DG344" s="518">
        <v>4</v>
      </c>
      <c r="DH344" s="518">
        <v>4</v>
      </c>
      <c r="DI344" s="518">
        <v>4</v>
      </c>
      <c r="DJ344" s="518">
        <v>4</v>
      </c>
    </row>
    <row r="345" spans="1:114" ht="199.9" customHeight="1" thickTop="1" thickBot="1" x14ac:dyDescent="1.3">
      <c r="A345" s="1055"/>
      <c r="B345" s="1054"/>
      <c r="C345" s="1052" t="s">
        <v>128</v>
      </c>
      <c r="D345" s="1052"/>
      <c r="E345" s="693">
        <v>12</v>
      </c>
      <c r="F345" s="693">
        <v>12</v>
      </c>
      <c r="G345" s="693">
        <v>12</v>
      </c>
      <c r="H345" s="693">
        <v>12</v>
      </c>
      <c r="I345" s="693">
        <v>12</v>
      </c>
      <c r="J345" s="693">
        <v>12</v>
      </c>
      <c r="K345" s="693">
        <v>12</v>
      </c>
      <c r="L345" s="693">
        <v>12</v>
      </c>
      <c r="M345" s="693">
        <v>12</v>
      </c>
      <c r="N345" s="693">
        <v>12</v>
      </c>
      <c r="O345" s="693">
        <v>12</v>
      </c>
      <c r="P345" s="693">
        <v>12</v>
      </c>
      <c r="Q345" s="693">
        <v>12</v>
      </c>
      <c r="R345" s="693">
        <v>12</v>
      </c>
      <c r="S345" s="693">
        <v>12</v>
      </c>
      <c r="T345" s="693">
        <v>12</v>
      </c>
      <c r="U345" s="734">
        <v>12</v>
      </c>
      <c r="V345" s="734">
        <v>12</v>
      </c>
      <c r="W345" s="734">
        <v>12</v>
      </c>
      <c r="X345" s="734">
        <v>12</v>
      </c>
      <c r="Y345" s="734">
        <v>12</v>
      </c>
      <c r="Z345" s="734">
        <v>12</v>
      </c>
      <c r="AA345" s="734">
        <v>12</v>
      </c>
      <c r="AB345" s="734">
        <v>12</v>
      </c>
      <c r="AC345" s="734">
        <v>12</v>
      </c>
      <c r="AD345" s="734">
        <v>12</v>
      </c>
      <c r="AE345" s="734">
        <v>12</v>
      </c>
      <c r="AF345" s="734">
        <v>12</v>
      </c>
      <c r="AG345" s="571"/>
      <c r="AH345" s="631"/>
      <c r="AI345" s="631"/>
      <c r="AJ345" s="631"/>
      <c r="AK345" s="631">
        <v>12</v>
      </c>
      <c r="AL345" s="631">
        <v>12</v>
      </c>
      <c r="AM345" s="631">
        <v>12</v>
      </c>
      <c r="AN345" s="631">
        <v>12</v>
      </c>
      <c r="AO345" s="631">
        <v>12</v>
      </c>
      <c r="AP345" s="631">
        <v>12</v>
      </c>
      <c r="AQ345" s="631">
        <v>12</v>
      </c>
      <c r="AR345" s="571">
        <v>12</v>
      </c>
      <c r="AS345" s="571">
        <v>12</v>
      </c>
      <c r="AT345" s="571">
        <v>12</v>
      </c>
      <c r="AU345" s="571">
        <v>11</v>
      </c>
      <c r="AV345" s="571">
        <v>12</v>
      </c>
      <c r="AW345" s="571">
        <v>12</v>
      </c>
      <c r="AX345" s="571">
        <v>12</v>
      </c>
      <c r="AY345" s="571">
        <v>12</v>
      </c>
      <c r="AZ345" s="571">
        <v>12</v>
      </c>
      <c r="BA345" s="571">
        <v>12</v>
      </c>
      <c r="BB345" s="571">
        <v>12</v>
      </c>
      <c r="BC345" s="571">
        <v>12</v>
      </c>
      <c r="BD345" s="571">
        <v>12</v>
      </c>
      <c r="BE345" s="571">
        <v>12</v>
      </c>
      <c r="BF345" s="571">
        <v>12</v>
      </c>
      <c r="BG345" s="495">
        <f t="shared" ref="BG345" si="82">SUM(E345:BF345)</f>
        <v>599</v>
      </c>
      <c r="BH345" s="1056"/>
      <c r="BI345" s="734">
        <f t="shared" si="78"/>
        <v>49.916666666666664</v>
      </c>
      <c r="BJ345" s="734"/>
      <c r="BK345" s="734"/>
      <c r="BL345" s="734"/>
      <c r="BM345" s="734"/>
      <c r="BN345" s="734"/>
      <c r="BO345" s="734"/>
      <c r="BP345" s="734"/>
      <c r="BQ345" s="734"/>
      <c r="BR345" s="734"/>
      <c r="BS345" s="734"/>
      <c r="BT345" s="734"/>
      <c r="BU345" s="734"/>
      <c r="BV345" s="734"/>
      <c r="BW345" s="734"/>
      <c r="BX345" s="734"/>
      <c r="BY345" s="734"/>
      <c r="BZ345" s="734"/>
      <c r="CA345" s="518"/>
      <c r="CB345" s="734"/>
      <c r="CC345" s="734">
        <v>4</v>
      </c>
      <c r="CD345" s="734">
        <v>4</v>
      </c>
      <c r="CE345" s="734">
        <v>4</v>
      </c>
      <c r="CF345" s="734">
        <v>4</v>
      </c>
      <c r="CG345" s="734">
        <v>4</v>
      </c>
      <c r="CH345" s="734">
        <v>4</v>
      </c>
      <c r="CI345" s="734">
        <v>4</v>
      </c>
      <c r="CJ345" s="734">
        <v>4</v>
      </c>
      <c r="CK345" s="734">
        <v>4</v>
      </c>
      <c r="CL345" s="734">
        <v>4</v>
      </c>
      <c r="CM345" s="734">
        <v>4</v>
      </c>
      <c r="CN345" s="734">
        <v>4</v>
      </c>
      <c r="CO345" s="734">
        <v>4</v>
      </c>
      <c r="CP345" s="734">
        <v>4</v>
      </c>
      <c r="CQ345" s="734">
        <v>4</v>
      </c>
      <c r="CR345" s="734">
        <v>4</v>
      </c>
      <c r="CS345" s="734">
        <v>4</v>
      </c>
      <c r="CT345" s="734">
        <v>4</v>
      </c>
      <c r="CU345" s="734">
        <v>4</v>
      </c>
      <c r="CV345" s="518">
        <v>4</v>
      </c>
      <c r="CW345" s="518">
        <v>4</v>
      </c>
      <c r="CX345" s="518">
        <v>4</v>
      </c>
      <c r="CY345" s="518">
        <v>4</v>
      </c>
      <c r="CZ345" s="518">
        <v>4</v>
      </c>
      <c r="DA345" s="734">
        <v>4</v>
      </c>
      <c r="DB345" s="734">
        <v>4</v>
      </c>
      <c r="DC345" s="734">
        <v>4</v>
      </c>
      <c r="DD345" s="734">
        <v>4</v>
      </c>
      <c r="DE345" s="734">
        <v>4</v>
      </c>
      <c r="DF345" s="734">
        <v>4</v>
      </c>
      <c r="DG345" s="734">
        <v>4</v>
      </c>
      <c r="DH345" s="734">
        <v>4</v>
      </c>
      <c r="DI345" s="734">
        <v>4</v>
      </c>
      <c r="DJ345" s="734">
        <v>4</v>
      </c>
    </row>
    <row r="346" spans="1:114" s="511" customFormat="1" ht="199.9" customHeight="1" thickTop="1" thickBot="1" x14ac:dyDescent="1.3">
      <c r="A346" s="1055" t="s">
        <v>726</v>
      </c>
      <c r="B346" s="1054" t="s">
        <v>727</v>
      </c>
      <c r="C346" s="1053" t="s">
        <v>127</v>
      </c>
      <c r="D346" s="1053"/>
      <c r="E346" s="508">
        <v>0.5</v>
      </c>
      <c r="F346" s="508">
        <v>0.5</v>
      </c>
      <c r="G346" s="508">
        <v>0.5</v>
      </c>
      <c r="H346" s="508">
        <v>0.5</v>
      </c>
      <c r="I346" s="508">
        <v>0.5</v>
      </c>
      <c r="J346" s="508">
        <v>0.5</v>
      </c>
      <c r="K346" s="508">
        <v>0.5</v>
      </c>
      <c r="L346" s="508">
        <v>0.5</v>
      </c>
      <c r="M346" s="508">
        <v>0.5</v>
      </c>
      <c r="N346" s="508">
        <v>0.5</v>
      </c>
      <c r="O346" s="508">
        <v>0.5</v>
      </c>
      <c r="P346" s="508">
        <v>0.5</v>
      </c>
      <c r="Q346" s="508">
        <v>0.5</v>
      </c>
      <c r="R346" s="508">
        <v>0.5</v>
      </c>
      <c r="S346" s="508">
        <v>0.5</v>
      </c>
      <c r="T346" s="508">
        <v>0.5</v>
      </c>
      <c r="U346" s="508">
        <v>0.5</v>
      </c>
      <c r="V346" s="508">
        <v>0.5</v>
      </c>
      <c r="W346" s="508">
        <v>0.5</v>
      </c>
      <c r="X346" s="508">
        <v>0.5</v>
      </c>
      <c r="Y346" s="508">
        <v>0.5</v>
      </c>
      <c r="Z346" s="508">
        <v>0.5</v>
      </c>
      <c r="AA346" s="508">
        <v>0.5</v>
      </c>
      <c r="AB346" s="508">
        <v>0.5</v>
      </c>
      <c r="AC346" s="508">
        <v>0.5</v>
      </c>
      <c r="AD346" s="508">
        <v>0.5</v>
      </c>
      <c r="AE346" s="508">
        <v>0.5</v>
      </c>
      <c r="AF346" s="508">
        <v>0.5</v>
      </c>
      <c r="AG346" s="508">
        <v>0.5</v>
      </c>
      <c r="AH346" s="508">
        <v>0.5</v>
      </c>
      <c r="AI346" s="508">
        <v>0.5</v>
      </c>
      <c r="AJ346" s="508">
        <v>0.5</v>
      </c>
      <c r="AK346" s="508">
        <v>0.5</v>
      </c>
      <c r="AL346" s="508">
        <v>0.5</v>
      </c>
      <c r="AM346" s="508">
        <v>0.5</v>
      </c>
      <c r="AN346" s="508">
        <v>0.5</v>
      </c>
      <c r="AO346" s="508">
        <v>0.5</v>
      </c>
      <c r="AP346" s="508">
        <v>0.5</v>
      </c>
      <c r="AQ346" s="508">
        <v>0.5</v>
      </c>
      <c r="AR346" s="508">
        <v>0.5</v>
      </c>
      <c r="AS346" s="508">
        <v>0.5</v>
      </c>
      <c r="AT346" s="508">
        <v>0.5</v>
      </c>
      <c r="AU346" s="508">
        <v>0.5</v>
      </c>
      <c r="AV346" s="508">
        <v>0.5</v>
      </c>
      <c r="AW346" s="508">
        <v>0.5</v>
      </c>
      <c r="AX346" s="508">
        <v>0.5</v>
      </c>
      <c r="AY346" s="508">
        <v>0.5</v>
      </c>
      <c r="AZ346" s="508">
        <v>0.5</v>
      </c>
      <c r="BA346" s="508">
        <v>0.5</v>
      </c>
      <c r="BB346" s="508">
        <v>0.5</v>
      </c>
      <c r="BC346" s="508">
        <v>0.5</v>
      </c>
      <c r="BD346" s="508">
        <v>0.5</v>
      </c>
      <c r="BE346" s="508">
        <v>0.5</v>
      </c>
      <c r="BF346" s="508">
        <v>0.5</v>
      </c>
      <c r="BG346" s="490">
        <f>SUM(E346:BF346)</f>
        <v>27</v>
      </c>
      <c r="BH346" s="1056">
        <f>BG347</f>
        <v>12</v>
      </c>
      <c r="BI346" s="734">
        <f t="shared" si="78"/>
        <v>54</v>
      </c>
      <c r="BJ346" s="518">
        <v>16</v>
      </c>
      <c r="BK346" s="518"/>
      <c r="BL346" s="518"/>
      <c r="BM346" s="518"/>
      <c r="BN346" s="518"/>
      <c r="BO346" s="518"/>
      <c r="BP346" s="518"/>
      <c r="BQ346" s="518"/>
      <c r="BR346" s="518"/>
      <c r="BS346" s="518"/>
      <c r="BT346" s="518"/>
      <c r="BU346" s="518"/>
      <c r="BV346" s="518"/>
      <c r="BW346" s="518"/>
      <c r="BX346" s="518"/>
      <c r="BY346" s="518"/>
      <c r="BZ346" s="518"/>
      <c r="CA346" s="518"/>
      <c r="CB346" s="734"/>
      <c r="CC346" s="518">
        <v>4</v>
      </c>
      <c r="CD346" s="518">
        <v>4</v>
      </c>
      <c r="CE346" s="518">
        <v>4</v>
      </c>
      <c r="CF346" s="518">
        <v>4</v>
      </c>
      <c r="CG346" s="518">
        <v>4</v>
      </c>
      <c r="CH346" s="518">
        <v>4</v>
      </c>
      <c r="CI346" s="518">
        <v>4</v>
      </c>
      <c r="CJ346" s="518">
        <v>4</v>
      </c>
      <c r="CK346" s="518">
        <v>4</v>
      </c>
      <c r="CL346" s="518">
        <v>4</v>
      </c>
      <c r="CM346" s="734">
        <v>4</v>
      </c>
      <c r="CN346" s="518">
        <v>4</v>
      </c>
      <c r="CO346" s="518">
        <v>4</v>
      </c>
      <c r="CP346" s="518">
        <v>4</v>
      </c>
      <c r="CQ346" s="518">
        <v>4</v>
      </c>
      <c r="CR346" s="518">
        <v>4</v>
      </c>
      <c r="CS346" s="518">
        <v>4</v>
      </c>
      <c r="CT346" s="734">
        <v>4</v>
      </c>
      <c r="CU346" s="518">
        <v>4</v>
      </c>
      <c r="CV346" s="518">
        <v>4</v>
      </c>
      <c r="CW346" s="518">
        <v>4</v>
      </c>
      <c r="CX346" s="518">
        <v>4</v>
      </c>
      <c r="CY346" s="518">
        <v>4</v>
      </c>
      <c r="CZ346" s="518">
        <v>4</v>
      </c>
      <c r="DA346" s="518">
        <v>4</v>
      </c>
      <c r="DB346" s="518">
        <v>4</v>
      </c>
      <c r="DC346" s="518">
        <v>4</v>
      </c>
      <c r="DD346" s="518">
        <v>4</v>
      </c>
      <c r="DE346" s="518">
        <v>4</v>
      </c>
      <c r="DF346" s="518">
        <v>4</v>
      </c>
      <c r="DG346" s="518">
        <v>4</v>
      </c>
      <c r="DH346" s="518">
        <v>4</v>
      </c>
      <c r="DI346" s="518">
        <v>4</v>
      </c>
      <c r="DJ346" s="518">
        <v>4</v>
      </c>
    </row>
    <row r="347" spans="1:114" ht="199.9" customHeight="1" thickTop="1" thickBot="1" x14ac:dyDescent="1.3">
      <c r="A347" s="1055"/>
      <c r="B347" s="1054"/>
      <c r="C347" s="1052" t="s">
        <v>128</v>
      </c>
      <c r="D347" s="1052"/>
      <c r="E347" s="571"/>
      <c r="F347" s="571"/>
      <c r="G347" s="571"/>
      <c r="H347" s="571"/>
      <c r="I347" s="571"/>
      <c r="J347" s="571"/>
      <c r="K347" s="571"/>
      <c r="L347" s="571"/>
      <c r="M347" s="571"/>
      <c r="N347" s="571"/>
      <c r="O347" s="571"/>
      <c r="P347" s="571"/>
      <c r="Q347" s="571"/>
      <c r="R347" s="571"/>
      <c r="S347" s="571"/>
      <c r="T347" s="571"/>
      <c r="U347" s="571"/>
      <c r="V347" s="571"/>
      <c r="W347" s="571"/>
      <c r="X347" s="571"/>
      <c r="Y347" s="571"/>
      <c r="Z347" s="571"/>
      <c r="AA347" s="571"/>
      <c r="AB347" s="571"/>
      <c r="AC347" s="571"/>
      <c r="AD347" s="571"/>
      <c r="AE347" s="571"/>
      <c r="AF347" s="571"/>
      <c r="AG347" s="571"/>
      <c r="AH347" s="571"/>
      <c r="AI347" s="699">
        <v>0.5</v>
      </c>
      <c r="AJ347" s="699">
        <v>0.5</v>
      </c>
      <c r="AK347" s="699">
        <v>0.5</v>
      </c>
      <c r="AL347" s="699">
        <v>0.5</v>
      </c>
      <c r="AM347" s="631">
        <v>0.5</v>
      </c>
      <c r="AN347" s="631">
        <v>0.5</v>
      </c>
      <c r="AO347" s="631">
        <v>0.5</v>
      </c>
      <c r="AP347" s="631">
        <v>0.5</v>
      </c>
      <c r="AQ347" s="631">
        <v>0.5</v>
      </c>
      <c r="AR347" s="631">
        <v>0.5</v>
      </c>
      <c r="AS347" s="571">
        <v>0.5</v>
      </c>
      <c r="AT347" s="571">
        <v>0.5</v>
      </c>
      <c r="AU347" s="571">
        <v>0.5</v>
      </c>
      <c r="AV347" s="571">
        <v>0.5</v>
      </c>
      <c r="AW347" s="571">
        <v>0.5</v>
      </c>
      <c r="AX347" s="571">
        <v>0.5</v>
      </c>
      <c r="AY347" s="571">
        <v>0.5</v>
      </c>
      <c r="AZ347" s="571">
        <v>0.5</v>
      </c>
      <c r="BA347" s="571">
        <v>0.5</v>
      </c>
      <c r="BB347" s="571">
        <v>0.5</v>
      </c>
      <c r="BC347" s="571">
        <v>0.5</v>
      </c>
      <c r="BD347" s="571">
        <v>0.5</v>
      </c>
      <c r="BE347" s="571">
        <v>0.5</v>
      </c>
      <c r="BF347" s="571">
        <v>0.5</v>
      </c>
      <c r="BG347" s="495">
        <f t="shared" ref="BG347" si="83">SUM(E347:BF347)</f>
        <v>12</v>
      </c>
      <c r="BH347" s="1056"/>
      <c r="BI347" s="734">
        <f>BG347/BF347</f>
        <v>24</v>
      </c>
    </row>
    <row r="348" spans="1:114" s="511" customFormat="1" ht="199.9" customHeight="1" thickTop="1" thickBot="1" x14ac:dyDescent="1.3">
      <c r="A348" s="1055" t="s">
        <v>729</v>
      </c>
      <c r="B348" s="1054" t="s">
        <v>728</v>
      </c>
      <c r="C348" s="1053" t="s">
        <v>127</v>
      </c>
      <c r="D348" s="1053"/>
      <c r="E348" s="508">
        <v>1</v>
      </c>
      <c r="F348" s="508">
        <v>1</v>
      </c>
      <c r="G348" s="508">
        <v>1</v>
      </c>
      <c r="H348" s="508">
        <v>1</v>
      </c>
      <c r="I348" s="508">
        <v>1</v>
      </c>
      <c r="J348" s="508">
        <v>1</v>
      </c>
      <c r="K348" s="508">
        <v>1</v>
      </c>
      <c r="L348" s="508">
        <v>1</v>
      </c>
      <c r="M348" s="508">
        <v>1</v>
      </c>
      <c r="N348" s="508">
        <v>1</v>
      </c>
      <c r="O348" s="508">
        <v>1</v>
      </c>
      <c r="P348" s="508">
        <v>1</v>
      </c>
      <c r="Q348" s="508">
        <v>1</v>
      </c>
      <c r="R348" s="508">
        <v>1</v>
      </c>
      <c r="S348" s="508">
        <v>1</v>
      </c>
      <c r="T348" s="508">
        <v>1</v>
      </c>
      <c r="U348" s="508">
        <v>1</v>
      </c>
      <c r="V348" s="508">
        <v>1</v>
      </c>
      <c r="W348" s="508">
        <v>1</v>
      </c>
      <c r="X348" s="508">
        <v>1</v>
      </c>
      <c r="Y348" s="508">
        <v>1</v>
      </c>
      <c r="Z348" s="508">
        <v>1</v>
      </c>
      <c r="AA348" s="508">
        <v>1</v>
      </c>
      <c r="AB348" s="508">
        <v>1</v>
      </c>
      <c r="AC348" s="508">
        <v>1</v>
      </c>
      <c r="AD348" s="508">
        <v>1</v>
      </c>
      <c r="AE348" s="508">
        <v>1</v>
      </c>
      <c r="AF348" s="508">
        <v>1</v>
      </c>
      <c r="AG348" s="508">
        <v>1</v>
      </c>
      <c r="AH348" s="508">
        <v>1</v>
      </c>
      <c r="AI348" s="508">
        <v>1</v>
      </c>
      <c r="AJ348" s="508">
        <v>1</v>
      </c>
      <c r="AK348" s="508">
        <v>1</v>
      </c>
      <c r="AL348" s="508">
        <v>1</v>
      </c>
      <c r="AM348" s="508">
        <v>1</v>
      </c>
      <c r="AN348" s="508">
        <v>1</v>
      </c>
      <c r="AO348" s="508">
        <v>1</v>
      </c>
      <c r="AP348" s="508">
        <v>1</v>
      </c>
      <c r="AQ348" s="508">
        <v>1</v>
      </c>
      <c r="AR348" s="508">
        <v>1</v>
      </c>
      <c r="AS348" s="508">
        <v>1</v>
      </c>
      <c r="AT348" s="508">
        <v>1</v>
      </c>
      <c r="AU348" s="508">
        <v>1</v>
      </c>
      <c r="AV348" s="508">
        <v>1</v>
      </c>
      <c r="AW348" s="508">
        <v>1</v>
      </c>
      <c r="AX348" s="508">
        <v>1</v>
      </c>
      <c r="AY348" s="508">
        <v>1</v>
      </c>
      <c r="AZ348" s="508">
        <v>1</v>
      </c>
      <c r="BA348" s="508">
        <v>1</v>
      </c>
      <c r="BB348" s="508">
        <v>1</v>
      </c>
      <c r="BC348" s="508">
        <v>1</v>
      </c>
      <c r="BD348" s="508">
        <v>1</v>
      </c>
      <c r="BE348" s="508">
        <v>1</v>
      </c>
      <c r="BF348" s="508">
        <v>1</v>
      </c>
      <c r="BG348" s="490">
        <f>SUM(E348:BF348)</f>
        <v>54</v>
      </c>
      <c r="BH348" s="1056">
        <f>BG349</f>
        <v>40</v>
      </c>
      <c r="BI348" s="734">
        <f t="shared" si="78"/>
        <v>54</v>
      </c>
    </row>
    <row r="349" spans="1:114" ht="199.9" customHeight="1" thickTop="1" thickBot="1" x14ac:dyDescent="1.3">
      <c r="A349" s="1055"/>
      <c r="B349" s="1054"/>
      <c r="C349" s="1052" t="s">
        <v>128</v>
      </c>
      <c r="D349" s="1052"/>
      <c r="E349" s="571">
        <v>1</v>
      </c>
      <c r="F349" s="693">
        <v>1</v>
      </c>
      <c r="G349" s="693">
        <v>1</v>
      </c>
      <c r="H349" s="693">
        <v>1</v>
      </c>
      <c r="I349" s="693">
        <v>1</v>
      </c>
      <c r="J349" s="693">
        <v>1</v>
      </c>
      <c r="K349" s="693">
        <v>1</v>
      </c>
      <c r="L349" s="693">
        <v>1</v>
      </c>
      <c r="M349" s="693">
        <v>1</v>
      </c>
      <c r="N349" s="693">
        <v>1</v>
      </c>
      <c r="O349" s="693">
        <v>1</v>
      </c>
      <c r="P349" s="693">
        <v>1</v>
      </c>
      <c r="Q349" s="693">
        <v>1</v>
      </c>
      <c r="R349" s="693">
        <v>1</v>
      </c>
      <c r="S349" s="693">
        <v>1</v>
      </c>
      <c r="T349" s="693">
        <v>1</v>
      </c>
      <c r="U349" s="571"/>
      <c r="V349" s="571"/>
      <c r="W349" s="571"/>
      <c r="X349" s="571"/>
      <c r="Y349" s="571"/>
      <c r="Z349" s="571"/>
      <c r="AA349" s="571"/>
      <c r="AB349" s="571"/>
      <c r="AC349" s="571"/>
      <c r="AD349" s="571"/>
      <c r="AE349" s="571"/>
      <c r="AF349" s="571"/>
      <c r="AG349" s="571"/>
      <c r="AH349" s="631"/>
      <c r="AI349" s="631">
        <v>1</v>
      </c>
      <c r="AJ349" s="631">
        <v>1</v>
      </c>
      <c r="AK349" s="631">
        <v>1</v>
      </c>
      <c r="AL349" s="631">
        <v>1</v>
      </c>
      <c r="AM349" s="631">
        <v>1</v>
      </c>
      <c r="AN349" s="631">
        <v>1</v>
      </c>
      <c r="AO349" s="631">
        <v>1</v>
      </c>
      <c r="AP349" s="631">
        <v>1</v>
      </c>
      <c r="AQ349" s="631">
        <v>1</v>
      </c>
      <c r="AR349" s="631">
        <v>1</v>
      </c>
      <c r="AS349" s="631">
        <v>1</v>
      </c>
      <c r="AT349" s="631">
        <v>1</v>
      </c>
      <c r="AU349" s="631">
        <v>1</v>
      </c>
      <c r="AV349" s="631">
        <v>1</v>
      </c>
      <c r="AW349" s="571">
        <v>1</v>
      </c>
      <c r="AX349" s="571">
        <v>1</v>
      </c>
      <c r="AY349" s="571">
        <v>1</v>
      </c>
      <c r="AZ349" s="571">
        <v>1</v>
      </c>
      <c r="BA349" s="571">
        <v>1</v>
      </c>
      <c r="BB349" s="571">
        <v>1</v>
      </c>
      <c r="BC349" s="571">
        <v>1</v>
      </c>
      <c r="BD349" s="571">
        <v>1</v>
      </c>
      <c r="BE349" s="571">
        <v>1</v>
      </c>
      <c r="BF349" s="571">
        <v>1</v>
      </c>
      <c r="BG349" s="495">
        <f t="shared" ref="BG349" si="84">SUM(E349:BF349)</f>
        <v>40</v>
      </c>
      <c r="BH349" s="1056"/>
      <c r="BI349" s="734">
        <f t="shared" si="78"/>
        <v>40</v>
      </c>
    </row>
    <row r="350" spans="1:114" ht="307.89999999999998" customHeight="1" thickTop="1" thickBot="1" x14ac:dyDescent="1.3">
      <c r="A350" s="540"/>
      <c r="B350" s="541" t="s">
        <v>162</v>
      </c>
      <c r="C350" s="542"/>
      <c r="D350" s="542"/>
      <c r="E350" s="543"/>
      <c r="F350" s="543"/>
      <c r="G350" s="543"/>
      <c r="H350" s="543"/>
      <c r="I350" s="543"/>
      <c r="J350" s="543"/>
      <c r="K350" s="543"/>
      <c r="L350" s="543"/>
      <c r="M350" s="543"/>
      <c r="N350" s="543"/>
      <c r="O350" s="543"/>
      <c r="P350" s="543"/>
      <c r="Q350" s="543"/>
      <c r="R350" s="543"/>
      <c r="S350" s="1059" t="s">
        <v>150</v>
      </c>
      <c r="T350" s="1059"/>
      <c r="U350" s="543"/>
      <c r="V350" s="543"/>
      <c r="W350" s="543"/>
      <c r="X350" s="543"/>
      <c r="Y350" s="543"/>
      <c r="Z350" s="543"/>
      <c r="AA350" s="543"/>
      <c r="AB350" s="543"/>
      <c r="AC350" s="543"/>
      <c r="AD350" s="543"/>
      <c r="AE350" s="543"/>
      <c r="AF350" s="543"/>
      <c r="AG350" s="543"/>
      <c r="AH350" s="543"/>
      <c r="AI350" s="543"/>
      <c r="AJ350" s="543"/>
      <c r="AK350" s="1059" t="s">
        <v>162</v>
      </c>
      <c r="AL350" s="1059"/>
      <c r="AM350" s="543"/>
      <c r="AN350" s="543"/>
      <c r="AO350" s="543"/>
      <c r="AP350" s="543"/>
      <c r="AQ350" s="543"/>
      <c r="AR350" s="543"/>
      <c r="AS350" s="543"/>
      <c r="AT350" s="543"/>
      <c r="AU350" s="543"/>
      <c r="AV350" s="543"/>
      <c r="AW350" s="543"/>
      <c r="AX350" s="543"/>
      <c r="AY350" s="543"/>
      <c r="AZ350" s="543"/>
      <c r="BA350" s="543"/>
      <c r="BB350" s="543"/>
      <c r="BC350" s="543"/>
      <c r="BD350" s="543"/>
      <c r="BE350" s="543"/>
      <c r="BF350" s="1059" t="s">
        <v>150</v>
      </c>
      <c r="BG350" s="1059"/>
      <c r="BH350" s="544"/>
      <c r="BI350" s="530"/>
    </row>
    <row r="351" spans="1:114" ht="199.9" customHeight="1" thickTop="1" thickBot="1" x14ac:dyDescent="1.3">
      <c r="A351" s="545"/>
      <c r="B351" s="546"/>
      <c r="C351" s="547"/>
      <c r="D351" s="547"/>
      <c r="E351" s="548"/>
      <c r="F351" s="548"/>
      <c r="G351" s="548"/>
      <c r="H351" s="548"/>
      <c r="I351" s="548"/>
      <c r="J351" s="548"/>
      <c r="K351" s="548"/>
      <c r="L351" s="548"/>
      <c r="M351" s="548"/>
      <c r="N351" s="548"/>
      <c r="O351" s="548"/>
      <c r="P351" s="548"/>
      <c r="Q351" s="548"/>
      <c r="R351" s="548"/>
      <c r="S351" s="549"/>
      <c r="T351" s="549"/>
      <c r="U351" s="548"/>
      <c r="V351" s="548"/>
      <c r="W351" s="548"/>
      <c r="X351" s="548"/>
      <c r="Y351" s="548"/>
      <c r="Z351" s="548"/>
      <c r="AA351" s="548"/>
      <c r="AB351" s="548"/>
      <c r="AC351" s="548"/>
      <c r="AD351" s="548"/>
      <c r="AE351" s="548"/>
      <c r="AF351" s="548"/>
      <c r="AG351" s="548"/>
      <c r="AH351" s="548"/>
      <c r="AI351" s="548"/>
      <c r="AJ351" s="548"/>
      <c r="AK351" s="549"/>
      <c r="AL351" s="549"/>
      <c r="AM351" s="548"/>
      <c r="AN351" s="548"/>
      <c r="AO351" s="548"/>
      <c r="AP351" s="548"/>
      <c r="AQ351" s="548"/>
      <c r="AR351" s="548"/>
      <c r="AS351" s="548"/>
      <c r="AT351" s="548"/>
      <c r="AU351" s="548"/>
      <c r="AV351" s="548"/>
      <c r="AW351" s="548"/>
      <c r="AX351" s="548"/>
      <c r="AY351" s="548"/>
      <c r="AZ351" s="548"/>
      <c r="BA351" s="548"/>
      <c r="BB351" s="548"/>
      <c r="BC351" s="548"/>
      <c r="BD351" s="548"/>
      <c r="BE351" s="548"/>
      <c r="BF351" s="549"/>
      <c r="BG351" s="550"/>
      <c r="BH351" s="551"/>
      <c r="BI351" s="530"/>
    </row>
    <row r="352" spans="1:114" ht="199.9" customHeight="1" thickTop="1" thickBot="1" x14ac:dyDescent="1.3">
      <c r="A352" s="520"/>
      <c r="B352" s="517"/>
      <c r="C352" s="521"/>
      <c r="D352" s="521"/>
      <c r="E352" s="531"/>
      <c r="F352" s="521"/>
      <c r="G352" s="531"/>
      <c r="H352" s="531"/>
      <c r="I352" s="531"/>
      <c r="J352" s="531"/>
      <c r="K352" s="531"/>
      <c r="L352" s="531"/>
      <c r="M352" s="531"/>
      <c r="N352" s="531"/>
      <c r="O352" s="531"/>
      <c r="P352" s="531"/>
      <c r="Q352" s="531"/>
      <c r="R352" s="531"/>
      <c r="S352" s="532"/>
      <c r="T352" s="532"/>
      <c r="U352" s="531"/>
      <c r="V352" s="531"/>
      <c r="W352" s="531"/>
      <c r="X352" s="531"/>
      <c r="Y352" s="531"/>
      <c r="Z352" s="531"/>
      <c r="AA352" s="531"/>
      <c r="AB352" s="531"/>
      <c r="AC352" s="531"/>
      <c r="AD352" s="531"/>
      <c r="AE352" s="531"/>
      <c r="AF352" s="531"/>
      <c r="AG352" s="531"/>
      <c r="AH352" s="531"/>
      <c r="AI352" s="531"/>
      <c r="AJ352" s="531"/>
      <c r="AK352" s="532"/>
      <c r="AL352" s="532"/>
      <c r="AM352" s="531"/>
      <c r="AN352" s="531"/>
      <c r="AO352" s="531"/>
      <c r="AP352" s="531"/>
      <c r="AQ352" s="531"/>
      <c r="AR352" s="531"/>
      <c r="AS352" s="531"/>
      <c r="AT352" s="531"/>
      <c r="AU352" s="531"/>
      <c r="AV352" s="531"/>
      <c r="AW352" s="531"/>
      <c r="AX352" s="531"/>
      <c r="AY352" s="531"/>
      <c r="AZ352" s="531"/>
      <c r="BA352" s="531"/>
      <c r="BB352" s="531"/>
      <c r="BC352" s="531"/>
      <c r="BD352" s="531"/>
      <c r="BE352" s="531"/>
      <c r="BF352" s="532"/>
      <c r="BG352" s="533"/>
      <c r="BH352" s="534"/>
      <c r="BI352" s="530"/>
    </row>
    <row r="353" spans="1:61" ht="199.9" customHeight="1" thickTop="1" thickBot="1" x14ac:dyDescent="1.3">
      <c r="A353" s="520"/>
      <c r="B353" s="517"/>
      <c r="C353" s="521"/>
      <c r="D353" s="521"/>
      <c r="E353" s="531"/>
      <c r="F353" s="531"/>
      <c r="G353" s="531"/>
      <c r="H353" s="531"/>
      <c r="I353" s="531"/>
      <c r="J353" s="531"/>
      <c r="K353" s="531"/>
      <c r="L353" s="531"/>
      <c r="M353" s="531"/>
      <c r="N353" s="531"/>
      <c r="O353" s="531"/>
      <c r="P353" s="531"/>
      <c r="Q353" s="531"/>
      <c r="R353" s="531"/>
      <c r="S353" s="532"/>
      <c r="T353" s="532"/>
      <c r="U353" s="531"/>
      <c r="V353" s="531"/>
      <c r="W353" s="531"/>
      <c r="X353" s="531"/>
      <c r="Y353" s="531"/>
      <c r="Z353" s="531"/>
      <c r="AA353" s="531"/>
      <c r="AB353" s="531"/>
      <c r="AC353" s="531"/>
      <c r="AD353" s="531"/>
      <c r="AE353" s="531"/>
      <c r="AF353" s="531"/>
      <c r="AG353" s="531"/>
      <c r="AH353" s="531"/>
      <c r="AI353" s="531"/>
      <c r="AJ353" s="531"/>
      <c r="AK353" s="532"/>
      <c r="AL353" s="532"/>
      <c r="AM353" s="531"/>
      <c r="AN353" s="531"/>
      <c r="AO353" s="531"/>
      <c r="AP353" s="531"/>
      <c r="AQ353" s="531"/>
      <c r="AR353" s="531"/>
      <c r="AS353" s="531"/>
      <c r="AT353" s="531"/>
      <c r="AU353" s="531"/>
      <c r="AV353" s="531"/>
      <c r="AW353" s="531"/>
      <c r="AX353" s="531"/>
      <c r="AY353" s="531"/>
      <c r="AZ353" s="531"/>
      <c r="BA353" s="531"/>
      <c r="BB353" s="531"/>
      <c r="BC353" s="531"/>
      <c r="BD353" s="531"/>
      <c r="BE353" s="531"/>
      <c r="BF353" s="532"/>
      <c r="BG353" s="533"/>
      <c r="BH353" s="534"/>
      <c r="BI353" s="530"/>
    </row>
    <row r="354" spans="1:61" ht="199.9" customHeight="1" thickTop="1" thickBot="1" x14ac:dyDescent="1.3">
      <c r="A354" s="520"/>
      <c r="B354" s="517"/>
      <c r="C354" s="521"/>
      <c r="D354" s="521"/>
      <c r="E354" s="531"/>
      <c r="F354" s="531"/>
      <c r="G354" s="531"/>
      <c r="H354" s="531"/>
      <c r="I354" s="531"/>
      <c r="J354" s="531"/>
      <c r="K354" s="531"/>
      <c r="L354" s="531"/>
      <c r="M354" s="531"/>
      <c r="N354" s="531"/>
      <c r="O354" s="531"/>
      <c r="P354" s="531"/>
      <c r="Q354" s="531"/>
      <c r="R354" s="531"/>
      <c r="S354" s="532"/>
      <c r="T354" s="532"/>
      <c r="U354" s="531"/>
      <c r="V354" s="531"/>
      <c r="W354" s="531"/>
      <c r="X354" s="531"/>
      <c r="Y354" s="531"/>
      <c r="Z354" s="531"/>
      <c r="AA354" s="531"/>
      <c r="AB354" s="531"/>
      <c r="AC354" s="531"/>
      <c r="AD354" s="531"/>
      <c r="AE354" s="531"/>
      <c r="AF354" s="531"/>
      <c r="AG354" s="531"/>
      <c r="AH354" s="531"/>
      <c r="AI354" s="531"/>
      <c r="AJ354" s="531"/>
      <c r="AK354" s="532"/>
      <c r="AL354" s="532"/>
      <c r="AM354" s="531"/>
      <c r="AN354" s="531"/>
      <c r="AO354" s="531"/>
      <c r="AP354" s="531"/>
      <c r="AQ354" s="531"/>
      <c r="AR354" s="531"/>
      <c r="AS354" s="531"/>
      <c r="AT354" s="531"/>
      <c r="AU354" s="531"/>
      <c r="AV354" s="531"/>
      <c r="AW354" s="531"/>
      <c r="AX354" s="531"/>
      <c r="AY354" s="531"/>
      <c r="AZ354" s="531"/>
      <c r="BA354" s="531"/>
      <c r="BB354" s="531"/>
      <c r="BC354" s="531"/>
      <c r="BD354" s="531"/>
      <c r="BE354" s="531"/>
      <c r="BF354" s="532"/>
      <c r="BG354" s="533"/>
      <c r="BH354" s="534"/>
      <c r="BI354" s="530"/>
    </row>
    <row r="355" spans="1:61" ht="199.9" customHeight="1" thickTop="1" thickBot="1" x14ac:dyDescent="1.3">
      <c r="A355" s="520"/>
      <c r="B355" s="517"/>
      <c r="C355" s="521"/>
      <c r="D355" s="521"/>
      <c r="E355" s="531"/>
      <c r="F355" s="531"/>
      <c r="G355" s="531"/>
      <c r="H355" s="531"/>
      <c r="I355" s="531"/>
      <c r="J355" s="531"/>
      <c r="K355" s="531"/>
      <c r="L355" s="531"/>
      <c r="M355" s="531"/>
      <c r="N355" s="531"/>
      <c r="O355" s="531"/>
      <c r="P355" s="531"/>
      <c r="Q355" s="531"/>
      <c r="R355" s="531"/>
      <c r="S355" s="532"/>
      <c r="T355" s="532"/>
      <c r="U355" s="531"/>
      <c r="V355" s="531"/>
      <c r="W355" s="531"/>
      <c r="X355" s="531"/>
      <c r="Y355" s="531"/>
      <c r="Z355" s="531"/>
      <c r="AA355" s="531"/>
      <c r="AB355" s="531"/>
      <c r="AC355" s="531"/>
      <c r="AD355" s="531"/>
      <c r="AE355" s="531"/>
      <c r="AF355" s="531"/>
      <c r="AG355" s="531"/>
      <c r="AH355" s="531"/>
      <c r="AI355" s="531"/>
      <c r="AJ355" s="531"/>
      <c r="AK355" s="532"/>
      <c r="AL355" s="532"/>
      <c r="AM355" s="531"/>
      <c r="AN355" s="531"/>
      <c r="AO355" s="531"/>
      <c r="AP355" s="531"/>
      <c r="AQ355" s="531"/>
      <c r="AR355" s="531"/>
      <c r="AS355" s="531"/>
      <c r="AT355" s="531"/>
      <c r="AU355" s="531"/>
      <c r="AV355" s="531"/>
      <c r="AW355" s="531"/>
      <c r="AX355" s="531"/>
      <c r="AY355" s="531"/>
      <c r="AZ355" s="531"/>
      <c r="BA355" s="531"/>
      <c r="BB355" s="531"/>
      <c r="BC355" s="531"/>
      <c r="BD355" s="531"/>
      <c r="BE355" s="531"/>
      <c r="BF355" s="532"/>
      <c r="BG355" s="533"/>
      <c r="BH355" s="534"/>
      <c r="BI355" s="530"/>
    </row>
    <row r="356" spans="1:61" ht="199.9" customHeight="1" thickTop="1" thickBot="1" x14ac:dyDescent="1.3">
      <c r="A356" s="520"/>
      <c r="B356" s="517"/>
      <c r="C356" s="521"/>
      <c r="D356" s="521"/>
      <c r="E356" s="531"/>
      <c r="F356" s="531"/>
      <c r="G356" s="531"/>
      <c r="H356" s="531"/>
      <c r="I356" s="531"/>
      <c r="J356" s="531"/>
      <c r="K356" s="531"/>
      <c r="L356" s="531"/>
      <c r="M356" s="531"/>
      <c r="N356" s="531"/>
      <c r="O356" s="531"/>
      <c r="P356" s="531"/>
      <c r="Q356" s="531"/>
      <c r="R356" s="531"/>
      <c r="S356" s="532"/>
      <c r="T356" s="532"/>
      <c r="U356" s="531"/>
      <c r="V356" s="531"/>
      <c r="W356" s="531"/>
      <c r="X356" s="531"/>
      <c r="Y356" s="531"/>
      <c r="Z356" s="531"/>
      <c r="AA356" s="531"/>
      <c r="AB356" s="531"/>
      <c r="AC356" s="531"/>
      <c r="AD356" s="531"/>
      <c r="AE356" s="531"/>
      <c r="AF356" s="531"/>
      <c r="AG356" s="531"/>
      <c r="AH356" s="531"/>
      <c r="AI356" s="531"/>
      <c r="AJ356" s="531"/>
      <c r="AK356" s="532"/>
      <c r="AL356" s="532"/>
      <c r="AM356" s="531"/>
      <c r="AN356" s="531"/>
      <c r="AO356" s="531"/>
      <c r="AP356" s="531"/>
      <c r="AQ356" s="531"/>
      <c r="AR356" s="531"/>
      <c r="AS356" s="531"/>
      <c r="AT356" s="531"/>
      <c r="AU356" s="531"/>
      <c r="AV356" s="531"/>
      <c r="AW356" s="531"/>
      <c r="AX356" s="531"/>
      <c r="AY356" s="531"/>
      <c r="AZ356" s="531"/>
      <c r="BA356" s="531"/>
      <c r="BB356" s="531"/>
      <c r="BC356" s="531"/>
      <c r="BD356" s="531"/>
      <c r="BE356" s="531"/>
      <c r="BF356" s="532"/>
      <c r="BG356" s="533"/>
      <c r="BH356" s="534"/>
      <c r="BI356" s="530"/>
    </row>
    <row r="357" spans="1:61" ht="199.9" customHeight="1" thickTop="1" thickBot="1" x14ac:dyDescent="1.3">
      <c r="A357" s="520"/>
      <c r="B357" s="517"/>
      <c r="C357" s="521"/>
      <c r="D357" s="521"/>
      <c r="E357" s="531"/>
      <c r="F357" s="531"/>
      <c r="G357" s="531"/>
      <c r="H357" s="531"/>
      <c r="I357" s="531"/>
      <c r="J357" s="531"/>
      <c r="K357" s="531"/>
      <c r="L357" s="531"/>
      <c r="M357" s="531"/>
      <c r="N357" s="531"/>
      <c r="O357" s="531"/>
      <c r="P357" s="531"/>
      <c r="Q357" s="531"/>
      <c r="R357" s="531"/>
      <c r="S357" s="532"/>
      <c r="T357" s="532"/>
      <c r="U357" s="531"/>
      <c r="V357" s="531"/>
      <c r="W357" s="531"/>
      <c r="X357" s="531"/>
      <c r="Y357" s="531"/>
      <c r="Z357" s="531"/>
      <c r="AA357" s="531"/>
      <c r="AB357" s="531"/>
      <c r="AC357" s="531"/>
      <c r="AD357" s="531"/>
      <c r="AE357" s="531"/>
      <c r="AF357" s="531"/>
      <c r="AG357" s="531"/>
      <c r="AH357" s="531"/>
      <c r="AI357" s="531"/>
      <c r="AJ357" s="531"/>
      <c r="AK357" s="532"/>
      <c r="AL357" s="532"/>
      <c r="AM357" s="531"/>
      <c r="AN357" s="531"/>
      <c r="AO357" s="531"/>
      <c r="AP357" s="531"/>
      <c r="AQ357" s="531"/>
      <c r="AR357" s="531"/>
      <c r="AS357" s="531"/>
      <c r="AT357" s="531"/>
      <c r="AU357" s="531"/>
      <c r="AV357" s="531"/>
      <c r="AW357" s="531"/>
      <c r="AX357" s="531"/>
      <c r="AY357" s="531"/>
      <c r="AZ357" s="531"/>
      <c r="BA357" s="531"/>
      <c r="BB357" s="531"/>
      <c r="BC357" s="531"/>
      <c r="BD357" s="531"/>
      <c r="BE357" s="531"/>
      <c r="BF357" s="532"/>
      <c r="BG357" s="533"/>
      <c r="BH357" s="534"/>
      <c r="BI357" s="530"/>
    </row>
    <row r="358" spans="1:61" ht="199.9" customHeight="1" thickTop="1" thickBot="1" x14ac:dyDescent="1.3">
      <c r="A358" s="520"/>
      <c r="B358" s="517"/>
      <c r="C358" s="521"/>
      <c r="D358" s="521"/>
      <c r="E358" s="531"/>
      <c r="F358" s="531"/>
      <c r="G358" s="531"/>
      <c r="H358" s="531"/>
      <c r="I358" s="531"/>
      <c r="J358" s="531"/>
      <c r="K358" s="531"/>
      <c r="L358" s="531"/>
      <c r="M358" s="531"/>
      <c r="N358" s="531"/>
      <c r="O358" s="531"/>
      <c r="P358" s="531"/>
      <c r="Q358" s="531"/>
      <c r="R358" s="531"/>
      <c r="S358" s="532"/>
      <c r="T358" s="532"/>
      <c r="U358" s="531"/>
      <c r="V358" s="531"/>
      <c r="W358" s="531"/>
      <c r="X358" s="531"/>
      <c r="Y358" s="531"/>
      <c r="Z358" s="531"/>
      <c r="AA358" s="531"/>
      <c r="AB358" s="531"/>
      <c r="AC358" s="531"/>
      <c r="AD358" s="531"/>
      <c r="AE358" s="531"/>
      <c r="AF358" s="531"/>
      <c r="AG358" s="531"/>
      <c r="AH358" s="531"/>
      <c r="AI358" s="531"/>
      <c r="AJ358" s="531"/>
      <c r="AK358" s="532"/>
      <c r="AL358" s="532"/>
      <c r="AM358" s="531"/>
      <c r="AN358" s="531"/>
      <c r="AO358" s="531"/>
      <c r="AP358" s="531"/>
      <c r="AQ358" s="531"/>
      <c r="AR358" s="531"/>
      <c r="AS358" s="531"/>
      <c r="AT358" s="531"/>
      <c r="AU358" s="531"/>
      <c r="AV358" s="531"/>
      <c r="AW358" s="531"/>
      <c r="AX358" s="531"/>
      <c r="AY358" s="531"/>
      <c r="AZ358" s="531"/>
      <c r="BA358" s="531"/>
      <c r="BB358" s="531"/>
      <c r="BC358" s="531"/>
      <c r="BD358" s="531"/>
      <c r="BE358" s="531"/>
      <c r="BF358" s="532"/>
      <c r="BG358" s="533"/>
      <c r="BH358" s="534"/>
      <c r="BI358" s="530"/>
    </row>
    <row r="359" spans="1:61" ht="199.9" customHeight="1" thickTop="1" thickBot="1" x14ac:dyDescent="1.3">
      <c r="A359" s="520"/>
      <c r="B359" s="517"/>
      <c r="C359" s="521"/>
      <c r="D359" s="521"/>
      <c r="E359" s="531"/>
      <c r="F359" s="531"/>
      <c r="G359" s="531"/>
      <c r="H359" s="531"/>
      <c r="I359" s="531"/>
      <c r="J359" s="531"/>
      <c r="K359" s="531"/>
      <c r="L359" s="531"/>
      <c r="M359" s="531"/>
      <c r="N359" s="531"/>
      <c r="O359" s="531"/>
      <c r="P359" s="531"/>
      <c r="Q359" s="531"/>
      <c r="R359" s="531"/>
      <c r="S359" s="532"/>
      <c r="T359" s="532"/>
      <c r="U359" s="531"/>
      <c r="V359" s="531"/>
      <c r="W359" s="531"/>
      <c r="X359" s="531"/>
      <c r="Y359" s="531"/>
      <c r="Z359" s="531"/>
      <c r="AA359" s="531"/>
      <c r="AB359" s="531"/>
      <c r="AC359" s="531"/>
      <c r="AD359" s="531"/>
      <c r="AE359" s="531"/>
      <c r="AF359" s="531"/>
      <c r="AG359" s="531"/>
      <c r="AH359" s="531"/>
      <c r="AI359" s="531"/>
      <c r="AJ359" s="531"/>
      <c r="AK359" s="532"/>
      <c r="AL359" s="532"/>
      <c r="AM359" s="531"/>
      <c r="AN359" s="531"/>
      <c r="AO359" s="531"/>
      <c r="AP359" s="531"/>
      <c r="AQ359" s="531"/>
      <c r="AR359" s="531"/>
      <c r="AS359" s="531"/>
      <c r="AT359" s="531"/>
      <c r="AU359" s="531"/>
      <c r="AV359" s="531"/>
      <c r="AW359" s="531"/>
      <c r="AX359" s="531"/>
      <c r="AY359" s="531"/>
      <c r="AZ359" s="531"/>
      <c r="BA359" s="531"/>
      <c r="BB359" s="531"/>
      <c r="BC359" s="531"/>
      <c r="BD359" s="531"/>
      <c r="BE359" s="531"/>
      <c r="BF359" s="532"/>
      <c r="BG359" s="533"/>
      <c r="BH359" s="534"/>
      <c r="BI359" s="530"/>
    </row>
    <row r="360" spans="1:61" ht="199.9" customHeight="1" thickTop="1" thickBot="1" x14ac:dyDescent="1.3">
      <c r="A360" s="520"/>
      <c r="B360" s="517"/>
      <c r="C360" s="521"/>
      <c r="D360" s="521"/>
      <c r="E360" s="531"/>
      <c r="F360" s="531"/>
      <c r="G360" s="531"/>
      <c r="H360" s="531"/>
      <c r="I360" s="531"/>
      <c r="J360" s="531"/>
      <c r="K360" s="531"/>
      <c r="L360" s="531"/>
      <c r="M360" s="531"/>
      <c r="N360" s="531"/>
      <c r="O360" s="531"/>
      <c r="P360" s="531"/>
      <c r="Q360" s="531"/>
      <c r="R360" s="531"/>
      <c r="S360" s="532"/>
      <c r="T360" s="532"/>
      <c r="U360" s="531"/>
      <c r="V360" s="531"/>
      <c r="W360" s="531"/>
      <c r="X360" s="531"/>
      <c r="Y360" s="531"/>
      <c r="Z360" s="531"/>
      <c r="AA360" s="531"/>
      <c r="AB360" s="531"/>
      <c r="AC360" s="531"/>
      <c r="AD360" s="531"/>
      <c r="AE360" s="531"/>
      <c r="AF360" s="531"/>
      <c r="AG360" s="531"/>
      <c r="AH360" s="531"/>
      <c r="AI360" s="531"/>
      <c r="AJ360" s="531"/>
      <c r="AK360" s="532"/>
      <c r="AL360" s="532"/>
      <c r="AM360" s="531"/>
      <c r="AN360" s="531"/>
      <c r="AO360" s="531"/>
      <c r="AP360" s="531"/>
      <c r="AQ360" s="531"/>
      <c r="AR360" s="531"/>
      <c r="AS360" s="531"/>
      <c r="AT360" s="531"/>
      <c r="AU360" s="531"/>
      <c r="AV360" s="531"/>
      <c r="AW360" s="531"/>
      <c r="AX360" s="531"/>
      <c r="AY360" s="531"/>
      <c r="AZ360" s="531"/>
      <c r="BA360" s="531"/>
      <c r="BB360" s="531"/>
      <c r="BC360" s="531"/>
      <c r="BD360" s="531"/>
      <c r="BE360" s="531"/>
      <c r="BF360" s="532"/>
      <c r="BG360" s="533"/>
      <c r="BH360" s="534"/>
      <c r="BI360" s="530"/>
    </row>
    <row r="361" spans="1:61" ht="199.9" customHeight="1" thickTop="1" thickBot="1" x14ac:dyDescent="1.3">
      <c r="A361" s="520"/>
      <c r="B361" s="517"/>
      <c r="C361" s="521"/>
      <c r="D361" s="521"/>
      <c r="E361" s="531"/>
      <c r="F361" s="531"/>
      <c r="G361" s="531"/>
      <c r="H361" s="531"/>
      <c r="I361" s="531"/>
      <c r="J361" s="531"/>
      <c r="K361" s="531"/>
      <c r="L361" s="531"/>
      <c r="M361" s="531"/>
      <c r="N361" s="531"/>
      <c r="O361" s="531"/>
      <c r="P361" s="531"/>
      <c r="Q361" s="531"/>
      <c r="R361" s="531"/>
      <c r="S361" s="532"/>
      <c r="T361" s="532"/>
      <c r="U361" s="531"/>
      <c r="V361" s="531"/>
      <c r="W361" s="531"/>
      <c r="X361" s="531"/>
      <c r="Y361" s="531"/>
      <c r="Z361" s="531"/>
      <c r="AA361" s="531"/>
      <c r="AB361" s="531"/>
      <c r="AC361" s="531"/>
      <c r="AD361" s="531"/>
      <c r="AE361" s="531"/>
      <c r="AF361" s="531"/>
      <c r="AG361" s="531"/>
      <c r="AH361" s="531"/>
      <c r="AI361" s="531"/>
      <c r="AJ361" s="531"/>
      <c r="AK361" s="532"/>
      <c r="AL361" s="532"/>
      <c r="AM361" s="531"/>
      <c r="AN361" s="531"/>
      <c r="AO361" s="531"/>
      <c r="AP361" s="531"/>
      <c r="AQ361" s="531"/>
      <c r="AR361" s="531"/>
      <c r="AS361" s="531"/>
      <c r="AT361" s="531"/>
      <c r="AU361" s="531"/>
      <c r="AV361" s="531"/>
      <c r="AW361" s="531"/>
      <c r="AX361" s="531"/>
      <c r="AY361" s="531"/>
      <c r="AZ361" s="531"/>
      <c r="BA361" s="531"/>
      <c r="BB361" s="531"/>
      <c r="BC361" s="531"/>
      <c r="BD361" s="531"/>
      <c r="BE361" s="531"/>
      <c r="BF361" s="532"/>
      <c r="BG361" s="533"/>
      <c r="BH361" s="534"/>
      <c r="BI361" s="530"/>
    </row>
    <row r="362" spans="1:61" ht="199.9" customHeight="1" thickTop="1" thickBot="1" x14ac:dyDescent="1.3">
      <c r="A362" s="520"/>
      <c r="B362" s="517"/>
      <c r="C362" s="521"/>
      <c r="D362" s="521"/>
      <c r="E362" s="531"/>
      <c r="F362" s="531"/>
      <c r="G362" s="531"/>
      <c r="H362" s="531"/>
      <c r="I362" s="531"/>
      <c r="J362" s="531"/>
      <c r="K362" s="531"/>
      <c r="L362" s="531"/>
      <c r="M362" s="531"/>
      <c r="N362" s="531"/>
      <c r="O362" s="531"/>
      <c r="P362" s="531"/>
      <c r="Q362" s="531"/>
      <c r="R362" s="531"/>
      <c r="S362" s="532"/>
      <c r="T362" s="532"/>
      <c r="U362" s="531"/>
      <c r="V362" s="531"/>
      <c r="W362" s="531"/>
      <c r="X362" s="531"/>
      <c r="Y362" s="531"/>
      <c r="Z362" s="531"/>
      <c r="AA362" s="531"/>
      <c r="AB362" s="531"/>
      <c r="AC362" s="531"/>
      <c r="AD362" s="531"/>
      <c r="AE362" s="531"/>
      <c r="AF362" s="531"/>
      <c r="AG362" s="531"/>
      <c r="AH362" s="531"/>
      <c r="AI362" s="531"/>
      <c r="AJ362" s="531"/>
      <c r="AK362" s="532"/>
      <c r="AL362" s="532"/>
      <c r="AM362" s="531"/>
      <c r="AN362" s="531"/>
      <c r="AO362" s="531"/>
      <c r="AP362" s="531"/>
      <c r="AQ362" s="531"/>
      <c r="AR362" s="531"/>
      <c r="AS362" s="531"/>
      <c r="AT362" s="531"/>
      <c r="AU362" s="531"/>
      <c r="AV362" s="531"/>
      <c r="AW362" s="531"/>
      <c r="AX362" s="531"/>
      <c r="AY362" s="531"/>
      <c r="AZ362" s="531"/>
      <c r="BA362" s="531"/>
      <c r="BB362" s="531"/>
      <c r="BC362" s="531"/>
      <c r="BD362" s="531"/>
      <c r="BE362" s="531"/>
      <c r="BF362" s="532"/>
      <c r="BG362" s="533"/>
      <c r="BH362" s="534"/>
      <c r="BI362" s="530"/>
    </row>
    <row r="363" spans="1:61" ht="199.9" customHeight="1" thickTop="1" thickBot="1" x14ac:dyDescent="1.3">
      <c r="A363" s="520"/>
      <c r="B363" s="517"/>
      <c r="C363" s="521"/>
      <c r="D363" s="521"/>
      <c r="E363" s="531"/>
      <c r="F363" s="531"/>
      <c r="G363" s="531"/>
      <c r="H363" s="531"/>
      <c r="I363" s="531"/>
      <c r="J363" s="531"/>
      <c r="K363" s="531"/>
      <c r="L363" s="531"/>
      <c r="M363" s="531"/>
      <c r="N363" s="531"/>
      <c r="O363" s="531"/>
      <c r="P363" s="531"/>
      <c r="Q363" s="531"/>
      <c r="R363" s="531"/>
      <c r="S363" s="532"/>
      <c r="T363" s="532"/>
      <c r="U363" s="531"/>
      <c r="V363" s="531"/>
      <c r="W363" s="531"/>
      <c r="X363" s="531"/>
      <c r="Y363" s="531"/>
      <c r="Z363" s="531"/>
      <c r="AA363" s="531"/>
      <c r="AB363" s="531"/>
      <c r="AC363" s="531"/>
      <c r="AD363" s="531"/>
      <c r="AE363" s="531"/>
      <c r="AF363" s="531"/>
      <c r="AG363" s="531"/>
      <c r="AH363" s="531"/>
      <c r="AI363" s="531"/>
      <c r="AJ363" s="531"/>
      <c r="AK363" s="532"/>
      <c r="AL363" s="532"/>
      <c r="AM363" s="531"/>
      <c r="AN363" s="531"/>
      <c r="AO363" s="531"/>
      <c r="AP363" s="531"/>
      <c r="AQ363" s="531"/>
      <c r="AR363" s="531"/>
      <c r="AS363" s="531"/>
      <c r="AT363" s="531"/>
      <c r="AU363" s="531"/>
      <c r="AV363" s="531"/>
      <c r="AW363" s="531"/>
      <c r="AX363" s="531"/>
      <c r="AY363" s="531"/>
      <c r="AZ363" s="531"/>
      <c r="BA363" s="531"/>
      <c r="BB363" s="531"/>
      <c r="BC363" s="531"/>
      <c r="BD363" s="531"/>
      <c r="BE363" s="531"/>
      <c r="BF363" s="532"/>
      <c r="BG363" s="533"/>
      <c r="BH363" s="534"/>
      <c r="BI363" s="530"/>
    </row>
    <row r="364" spans="1:61" ht="199.9" customHeight="1" thickTop="1" thickBot="1" x14ac:dyDescent="1.3">
      <c r="A364" s="520"/>
      <c r="B364" s="517"/>
      <c r="C364" s="521"/>
      <c r="D364" s="521"/>
      <c r="E364" s="531"/>
      <c r="F364" s="531"/>
      <c r="G364" s="531"/>
      <c r="H364" s="531"/>
      <c r="I364" s="531"/>
      <c r="J364" s="531"/>
      <c r="K364" s="531"/>
      <c r="L364" s="531"/>
      <c r="M364" s="531"/>
      <c r="N364" s="531"/>
      <c r="O364" s="531"/>
      <c r="P364" s="531"/>
      <c r="Q364" s="531"/>
      <c r="R364" s="531"/>
      <c r="S364" s="532"/>
      <c r="T364" s="532"/>
      <c r="U364" s="531"/>
      <c r="V364" s="531"/>
      <c r="W364" s="531"/>
      <c r="X364" s="531"/>
      <c r="Y364" s="531"/>
      <c r="Z364" s="531"/>
      <c r="AA364" s="531"/>
      <c r="AB364" s="531"/>
      <c r="AC364" s="531"/>
      <c r="AD364" s="531"/>
      <c r="AE364" s="531"/>
      <c r="AF364" s="531"/>
      <c r="AG364" s="531"/>
      <c r="AH364" s="531"/>
      <c r="AI364" s="531"/>
      <c r="AJ364" s="531"/>
      <c r="AK364" s="532"/>
      <c r="AL364" s="532"/>
      <c r="AM364" s="531"/>
      <c r="AN364" s="531"/>
      <c r="AO364" s="531"/>
      <c r="AP364" s="531"/>
      <c r="AQ364" s="531"/>
      <c r="AR364" s="531"/>
      <c r="AS364" s="531"/>
      <c r="AT364" s="531"/>
      <c r="AU364" s="531"/>
      <c r="AV364" s="531"/>
      <c r="AW364" s="531"/>
      <c r="AX364" s="531"/>
      <c r="AY364" s="531"/>
      <c r="AZ364" s="531"/>
      <c r="BA364" s="531"/>
      <c r="BB364" s="531"/>
      <c r="BC364" s="531"/>
      <c r="BD364" s="531"/>
      <c r="BE364" s="531"/>
      <c r="BF364" s="532"/>
      <c r="BG364" s="533"/>
      <c r="BH364" s="534"/>
      <c r="BI364" s="530"/>
    </row>
    <row r="365" spans="1:61" ht="199.9" customHeight="1" thickTop="1" thickBot="1" x14ac:dyDescent="1.3">
      <c r="A365" s="520"/>
      <c r="B365" s="517"/>
      <c r="C365" s="521"/>
      <c r="D365" s="521"/>
      <c r="E365" s="531"/>
      <c r="F365" s="531"/>
      <c r="G365" s="531"/>
      <c r="H365" s="531"/>
      <c r="I365" s="531"/>
      <c r="J365" s="531"/>
      <c r="K365" s="531"/>
      <c r="L365" s="531"/>
      <c r="M365" s="531"/>
      <c r="N365" s="531"/>
      <c r="O365" s="531"/>
      <c r="P365" s="531"/>
      <c r="Q365" s="531"/>
      <c r="R365" s="531"/>
      <c r="S365" s="532"/>
      <c r="T365" s="532"/>
      <c r="U365" s="531"/>
      <c r="V365" s="531"/>
      <c r="W365" s="531"/>
      <c r="X365" s="531"/>
      <c r="Y365" s="531"/>
      <c r="Z365" s="531"/>
      <c r="AA365" s="531"/>
      <c r="AB365" s="531"/>
      <c r="AC365" s="531"/>
      <c r="AD365" s="531"/>
      <c r="AE365" s="531"/>
      <c r="AF365" s="531"/>
      <c r="AG365" s="531"/>
      <c r="AH365" s="531"/>
      <c r="AI365" s="531"/>
      <c r="AJ365" s="531"/>
      <c r="AK365" s="532"/>
      <c r="AL365" s="532"/>
      <c r="AM365" s="531"/>
      <c r="AN365" s="531"/>
      <c r="AO365" s="531"/>
      <c r="AP365" s="531"/>
      <c r="AQ365" s="531"/>
      <c r="AR365" s="531"/>
      <c r="AS365" s="531"/>
      <c r="AT365" s="531"/>
      <c r="AU365" s="531"/>
      <c r="AV365" s="531"/>
      <c r="AW365" s="531"/>
      <c r="AX365" s="531"/>
      <c r="AY365" s="531"/>
      <c r="AZ365" s="531"/>
      <c r="BA365" s="531"/>
      <c r="BB365" s="531"/>
      <c r="BC365" s="531"/>
      <c r="BD365" s="531"/>
      <c r="BE365" s="531"/>
      <c r="BF365" s="532"/>
      <c r="BG365" s="533"/>
      <c r="BH365" s="534"/>
      <c r="BI365" s="530"/>
    </row>
    <row r="366" spans="1:61" ht="199.9" customHeight="1" thickTop="1" thickBot="1" x14ac:dyDescent="1.3">
      <c r="A366" s="520"/>
      <c r="B366" s="517"/>
      <c r="C366" s="521"/>
      <c r="D366" s="521"/>
      <c r="E366" s="531"/>
      <c r="F366" s="531"/>
      <c r="G366" s="531"/>
      <c r="H366" s="531"/>
      <c r="I366" s="531"/>
      <c r="J366" s="531"/>
      <c r="K366" s="531"/>
      <c r="L366" s="531"/>
      <c r="M366" s="531"/>
      <c r="N366" s="531"/>
      <c r="O366" s="531"/>
      <c r="P366" s="531"/>
      <c r="Q366" s="531"/>
      <c r="R366" s="531"/>
      <c r="S366" s="532"/>
      <c r="T366" s="532"/>
      <c r="U366" s="531"/>
      <c r="V366" s="531"/>
      <c r="W366" s="531"/>
      <c r="X366" s="531"/>
      <c r="Y366" s="531"/>
      <c r="Z366" s="531"/>
      <c r="AA366" s="531"/>
      <c r="AB366" s="531"/>
      <c r="AC366" s="531"/>
      <c r="AD366" s="531"/>
      <c r="AE366" s="531"/>
      <c r="AF366" s="531"/>
      <c r="AG366" s="531"/>
      <c r="AH366" s="531"/>
      <c r="AI366" s="531"/>
      <c r="AJ366" s="531"/>
      <c r="AK366" s="532"/>
      <c r="AL366" s="532"/>
      <c r="AM366" s="531"/>
      <c r="AN366" s="531"/>
      <c r="AO366" s="531"/>
      <c r="AP366" s="531"/>
      <c r="AQ366" s="531"/>
      <c r="AR366" s="531"/>
      <c r="AS366" s="531"/>
      <c r="AT366" s="531"/>
      <c r="AU366" s="531"/>
      <c r="AV366" s="531"/>
      <c r="AW366" s="531"/>
      <c r="AX366" s="531"/>
      <c r="AY366" s="531"/>
      <c r="AZ366" s="531"/>
      <c r="BA366" s="531"/>
      <c r="BB366" s="531"/>
      <c r="BC366" s="531"/>
      <c r="BD366" s="531"/>
      <c r="BE366" s="531"/>
      <c r="BF366" s="532"/>
      <c r="BG366" s="533"/>
      <c r="BH366" s="534"/>
      <c r="BI366" s="530"/>
    </row>
    <row r="367" spans="1:61" ht="199.9" customHeight="1" thickTop="1" thickBot="1" x14ac:dyDescent="1.3">
      <c r="A367" s="520"/>
      <c r="B367" s="517"/>
      <c r="C367" s="521"/>
      <c r="D367" s="521"/>
      <c r="E367" s="531"/>
      <c r="F367" s="531"/>
      <c r="G367" s="531"/>
      <c r="H367" s="531"/>
      <c r="I367" s="531"/>
      <c r="J367" s="531"/>
      <c r="K367" s="531"/>
      <c r="L367" s="531"/>
      <c r="M367" s="531"/>
      <c r="N367" s="531"/>
      <c r="O367" s="531"/>
      <c r="P367" s="531"/>
      <c r="Q367" s="531"/>
      <c r="R367" s="531"/>
      <c r="S367" s="532"/>
      <c r="T367" s="532"/>
      <c r="U367" s="531"/>
      <c r="V367" s="531"/>
      <c r="W367" s="531"/>
      <c r="X367" s="531"/>
      <c r="Y367" s="531"/>
      <c r="Z367" s="531"/>
      <c r="AA367" s="531"/>
      <c r="AB367" s="531"/>
      <c r="AC367" s="531"/>
      <c r="AD367" s="531"/>
      <c r="AE367" s="531"/>
      <c r="AF367" s="531"/>
      <c r="AG367" s="531"/>
      <c r="AH367" s="531"/>
      <c r="AI367" s="531"/>
      <c r="AJ367" s="531"/>
      <c r="AK367" s="532"/>
      <c r="AL367" s="532"/>
      <c r="AM367" s="531"/>
      <c r="AN367" s="531"/>
      <c r="AO367" s="531"/>
      <c r="AP367" s="531"/>
      <c r="AQ367" s="531"/>
      <c r="AR367" s="531"/>
      <c r="AS367" s="531"/>
      <c r="AT367" s="531"/>
      <c r="AU367" s="531"/>
      <c r="AV367" s="531"/>
      <c r="AW367" s="531"/>
      <c r="AX367" s="531"/>
      <c r="AY367" s="531"/>
      <c r="AZ367" s="531"/>
      <c r="BA367" s="531"/>
      <c r="BB367" s="531"/>
      <c r="BC367" s="531"/>
      <c r="BD367" s="531"/>
      <c r="BE367" s="531"/>
      <c r="BF367" s="532"/>
      <c r="BG367" s="533"/>
      <c r="BH367" s="534"/>
      <c r="BI367" s="530"/>
    </row>
    <row r="368" spans="1:61" ht="199.9" customHeight="1" thickTop="1" thickBot="1" x14ac:dyDescent="1.3">
      <c r="A368" s="520"/>
      <c r="B368" s="517"/>
      <c r="C368" s="521"/>
      <c r="D368" s="521"/>
      <c r="E368" s="531"/>
      <c r="F368" s="531"/>
      <c r="G368" s="531"/>
      <c r="H368" s="531"/>
      <c r="I368" s="531"/>
      <c r="J368" s="531"/>
      <c r="K368" s="531"/>
      <c r="L368" s="531"/>
      <c r="M368" s="531"/>
      <c r="N368" s="531"/>
      <c r="O368" s="531"/>
      <c r="P368" s="531"/>
      <c r="Q368" s="531"/>
      <c r="R368" s="531"/>
      <c r="S368" s="532"/>
      <c r="T368" s="532"/>
      <c r="U368" s="531"/>
      <c r="V368" s="531"/>
      <c r="W368" s="531"/>
      <c r="X368" s="531"/>
      <c r="Y368" s="531"/>
      <c r="Z368" s="531"/>
      <c r="AA368" s="531"/>
      <c r="AB368" s="531"/>
      <c r="AC368" s="531"/>
      <c r="AD368" s="531"/>
      <c r="AE368" s="531"/>
      <c r="AF368" s="531"/>
      <c r="AG368" s="531"/>
      <c r="AH368" s="531"/>
      <c r="AI368" s="531"/>
      <c r="AJ368" s="531"/>
      <c r="AK368" s="532"/>
      <c r="AL368" s="532"/>
      <c r="AM368" s="531"/>
      <c r="AN368" s="531"/>
      <c r="AO368" s="531"/>
      <c r="AP368" s="531"/>
      <c r="AQ368" s="531"/>
      <c r="AR368" s="531"/>
      <c r="AS368" s="531"/>
      <c r="AT368" s="531"/>
      <c r="AU368" s="531"/>
      <c r="AV368" s="531"/>
      <c r="AW368" s="531"/>
      <c r="AX368" s="531"/>
      <c r="AY368" s="531"/>
      <c r="AZ368" s="531"/>
      <c r="BA368" s="531"/>
      <c r="BB368" s="531"/>
      <c r="BC368" s="531"/>
      <c r="BD368" s="531"/>
      <c r="BE368" s="531"/>
      <c r="BF368" s="532"/>
      <c r="BG368" s="533"/>
      <c r="BH368" s="534"/>
      <c r="BI368" s="530"/>
    </row>
    <row r="369" spans="1:61" ht="199.9" customHeight="1" thickTop="1" thickBot="1" x14ac:dyDescent="1.3">
      <c r="A369" s="520"/>
      <c r="B369" s="517"/>
      <c r="C369" s="521"/>
      <c r="D369" s="521"/>
      <c r="E369" s="531"/>
      <c r="F369" s="531"/>
      <c r="G369" s="531"/>
      <c r="H369" s="531"/>
      <c r="I369" s="531"/>
      <c r="J369" s="531"/>
      <c r="K369" s="531"/>
      <c r="L369" s="531"/>
      <c r="M369" s="531"/>
      <c r="N369" s="531"/>
      <c r="O369" s="531"/>
      <c r="P369" s="531"/>
      <c r="Q369" s="531"/>
      <c r="R369" s="531"/>
      <c r="S369" s="532"/>
      <c r="T369" s="532"/>
      <c r="U369" s="531"/>
      <c r="V369" s="531"/>
      <c r="W369" s="531"/>
      <c r="X369" s="531"/>
      <c r="Y369" s="531"/>
      <c r="Z369" s="531"/>
      <c r="AA369" s="531"/>
      <c r="AB369" s="531"/>
      <c r="AC369" s="531"/>
      <c r="AD369" s="531"/>
      <c r="AE369" s="531"/>
      <c r="AF369" s="531"/>
      <c r="AG369" s="531"/>
      <c r="AH369" s="531"/>
      <c r="AI369" s="531"/>
      <c r="AJ369" s="531"/>
      <c r="AK369" s="532"/>
      <c r="AL369" s="532"/>
      <c r="AM369" s="531"/>
      <c r="AN369" s="531"/>
      <c r="AO369" s="531"/>
      <c r="AP369" s="531"/>
      <c r="AQ369" s="531"/>
      <c r="AR369" s="531"/>
      <c r="AS369" s="531"/>
      <c r="AT369" s="531"/>
      <c r="AU369" s="531"/>
      <c r="AV369" s="531"/>
      <c r="AW369" s="531"/>
      <c r="AX369" s="531"/>
      <c r="AY369" s="531"/>
      <c r="AZ369" s="531"/>
      <c r="BA369" s="531"/>
      <c r="BB369" s="531"/>
      <c r="BC369" s="531"/>
      <c r="BD369" s="531"/>
      <c r="BE369" s="531"/>
      <c r="BF369" s="532"/>
      <c r="BG369" s="533"/>
      <c r="BH369" s="534"/>
      <c r="BI369" s="530"/>
    </row>
    <row r="370" spans="1:61" ht="199.9" customHeight="1" thickTop="1" thickBot="1" x14ac:dyDescent="1.3">
      <c r="A370" s="520"/>
      <c r="B370" s="517"/>
      <c r="C370" s="521"/>
      <c r="D370" s="521"/>
      <c r="E370" s="531"/>
      <c r="F370" s="531"/>
      <c r="G370" s="531"/>
      <c r="H370" s="531"/>
      <c r="I370" s="531"/>
      <c r="J370" s="531"/>
      <c r="K370" s="531"/>
      <c r="L370" s="531"/>
      <c r="M370" s="531"/>
      <c r="N370" s="531"/>
      <c r="O370" s="531"/>
      <c r="P370" s="531"/>
      <c r="Q370" s="531"/>
      <c r="R370" s="531"/>
      <c r="S370" s="532"/>
      <c r="T370" s="532"/>
      <c r="U370" s="531"/>
      <c r="V370" s="531"/>
      <c r="W370" s="531"/>
      <c r="X370" s="531"/>
      <c r="Y370" s="531"/>
      <c r="Z370" s="531"/>
      <c r="AA370" s="531"/>
      <c r="AB370" s="531"/>
      <c r="AC370" s="531"/>
      <c r="AD370" s="531"/>
      <c r="AE370" s="531"/>
      <c r="AF370" s="531"/>
      <c r="AG370" s="531"/>
      <c r="AH370" s="531"/>
      <c r="AI370" s="531"/>
      <c r="AJ370" s="531"/>
      <c r="AK370" s="532"/>
      <c r="AL370" s="532"/>
      <c r="AM370" s="531"/>
      <c r="AN370" s="531"/>
      <c r="AO370" s="531"/>
      <c r="AP370" s="531"/>
      <c r="AQ370" s="531"/>
      <c r="AR370" s="531"/>
      <c r="AS370" s="531"/>
      <c r="AT370" s="531"/>
      <c r="AU370" s="531"/>
      <c r="AV370" s="531"/>
      <c r="AW370" s="531"/>
      <c r="AX370" s="531"/>
      <c r="AY370" s="531"/>
      <c r="AZ370" s="531"/>
      <c r="BA370" s="531"/>
      <c r="BB370" s="531"/>
      <c r="BC370" s="531"/>
      <c r="BD370" s="531"/>
      <c r="BE370" s="531"/>
      <c r="BF370" s="532"/>
      <c r="BG370" s="533"/>
      <c r="BH370" s="534"/>
      <c r="BI370" s="530"/>
    </row>
    <row r="371" spans="1:61" ht="199.9" customHeight="1" thickTop="1" thickBot="1" x14ac:dyDescent="1.3">
      <c r="A371" s="520"/>
      <c r="B371" s="517"/>
      <c r="C371" s="521"/>
      <c r="D371" s="521"/>
      <c r="E371" s="531"/>
      <c r="F371" s="531"/>
      <c r="G371" s="531"/>
      <c r="H371" s="531"/>
      <c r="I371" s="531"/>
      <c r="J371" s="531"/>
      <c r="K371" s="531"/>
      <c r="L371" s="531"/>
      <c r="M371" s="531"/>
      <c r="N371" s="531"/>
      <c r="O371" s="531"/>
      <c r="P371" s="531"/>
      <c r="Q371" s="531"/>
      <c r="R371" s="531"/>
      <c r="S371" s="532"/>
      <c r="T371" s="532"/>
      <c r="U371" s="531"/>
      <c r="V371" s="531"/>
      <c r="W371" s="531"/>
      <c r="X371" s="531"/>
      <c r="Y371" s="531"/>
      <c r="Z371" s="531"/>
      <c r="AA371" s="531"/>
      <c r="AB371" s="531"/>
      <c r="AC371" s="531"/>
      <c r="AD371" s="531"/>
      <c r="AE371" s="531"/>
      <c r="AF371" s="531"/>
      <c r="AG371" s="531"/>
      <c r="AH371" s="531"/>
      <c r="AI371" s="531"/>
      <c r="AJ371" s="531"/>
      <c r="AK371" s="532"/>
      <c r="AL371" s="532"/>
      <c r="AM371" s="531"/>
      <c r="AN371" s="531"/>
      <c r="AO371" s="531"/>
      <c r="AP371" s="531"/>
      <c r="AQ371" s="531"/>
      <c r="AR371" s="531"/>
      <c r="AS371" s="531"/>
      <c r="AT371" s="531"/>
      <c r="AU371" s="531"/>
      <c r="AV371" s="531"/>
      <c r="AW371" s="531"/>
      <c r="AX371" s="531"/>
      <c r="AY371" s="531"/>
      <c r="AZ371" s="531"/>
      <c r="BA371" s="531"/>
      <c r="BB371" s="531"/>
      <c r="BC371" s="531"/>
      <c r="BD371" s="531"/>
      <c r="BE371" s="531"/>
      <c r="BF371" s="532"/>
      <c r="BG371" s="533"/>
      <c r="BH371" s="534"/>
      <c r="BI371" s="530"/>
    </row>
    <row r="372" spans="1:61" ht="199.9" customHeight="1" thickTop="1" thickBot="1" x14ac:dyDescent="1.3">
      <c r="A372" s="520"/>
      <c r="B372" s="517"/>
      <c r="C372" s="521"/>
      <c r="D372" s="521"/>
      <c r="E372" s="531"/>
      <c r="F372" s="531"/>
      <c r="G372" s="531"/>
      <c r="H372" s="531"/>
      <c r="I372" s="531"/>
      <c r="J372" s="531"/>
      <c r="K372" s="531"/>
      <c r="L372" s="531"/>
      <c r="M372" s="531"/>
      <c r="N372" s="531"/>
      <c r="O372" s="531"/>
      <c r="P372" s="531"/>
      <c r="Q372" s="531"/>
      <c r="R372" s="531"/>
      <c r="S372" s="532"/>
      <c r="T372" s="532"/>
      <c r="U372" s="531"/>
      <c r="V372" s="531"/>
      <c r="W372" s="531"/>
      <c r="X372" s="531"/>
      <c r="Y372" s="531"/>
      <c r="Z372" s="531"/>
      <c r="AA372" s="531"/>
      <c r="AB372" s="531"/>
      <c r="AC372" s="531"/>
      <c r="AD372" s="531"/>
      <c r="AE372" s="531"/>
      <c r="AF372" s="531"/>
      <c r="AG372" s="531"/>
      <c r="AH372" s="531"/>
      <c r="AI372" s="531"/>
      <c r="AJ372" s="531"/>
      <c r="AK372" s="532"/>
      <c r="AL372" s="532"/>
      <c r="AM372" s="531"/>
      <c r="AN372" s="531"/>
      <c r="AO372" s="531"/>
      <c r="AP372" s="531"/>
      <c r="AQ372" s="531"/>
      <c r="AR372" s="531"/>
      <c r="AS372" s="531"/>
      <c r="AT372" s="531"/>
      <c r="AU372" s="531"/>
      <c r="AV372" s="531"/>
      <c r="AW372" s="531"/>
      <c r="AX372" s="531"/>
      <c r="AY372" s="531"/>
      <c r="AZ372" s="531"/>
      <c r="BA372" s="531"/>
      <c r="BB372" s="531"/>
      <c r="BC372" s="531"/>
      <c r="BD372" s="531"/>
      <c r="BE372" s="531"/>
      <c r="BF372" s="532"/>
      <c r="BG372" s="533"/>
      <c r="BH372" s="534"/>
      <c r="BI372" s="530"/>
    </row>
    <row r="373" spans="1:61" ht="199.9" customHeight="1" thickTop="1" thickBot="1" x14ac:dyDescent="1.3">
      <c r="A373" s="520"/>
      <c r="B373" s="517"/>
      <c r="C373" s="521"/>
      <c r="D373" s="521"/>
      <c r="E373" s="531"/>
      <c r="F373" s="531"/>
      <c r="G373" s="531"/>
      <c r="H373" s="531"/>
      <c r="I373" s="531"/>
      <c r="J373" s="531"/>
      <c r="K373" s="531"/>
      <c r="L373" s="531"/>
      <c r="M373" s="531"/>
      <c r="N373" s="531"/>
      <c r="O373" s="531"/>
      <c r="P373" s="531"/>
      <c r="Q373" s="531"/>
      <c r="R373" s="531"/>
      <c r="S373" s="532"/>
      <c r="T373" s="532"/>
      <c r="U373" s="531"/>
      <c r="V373" s="531"/>
      <c r="W373" s="531"/>
      <c r="X373" s="531"/>
      <c r="Y373" s="531"/>
      <c r="Z373" s="531"/>
      <c r="AA373" s="531"/>
      <c r="AB373" s="531"/>
      <c r="AC373" s="531"/>
      <c r="AD373" s="531"/>
      <c r="AE373" s="531"/>
      <c r="AF373" s="531"/>
      <c r="AG373" s="531"/>
      <c r="AH373" s="531"/>
      <c r="AI373" s="531"/>
      <c r="AJ373" s="531"/>
      <c r="AK373" s="532"/>
      <c r="AL373" s="532"/>
      <c r="AM373" s="531"/>
      <c r="AN373" s="531"/>
      <c r="AO373" s="531"/>
      <c r="AP373" s="531"/>
      <c r="AQ373" s="531"/>
      <c r="AR373" s="531"/>
      <c r="AS373" s="531"/>
      <c r="AT373" s="531"/>
      <c r="AU373" s="531"/>
      <c r="AV373" s="531"/>
      <c r="AW373" s="531"/>
      <c r="AX373" s="531"/>
      <c r="AY373" s="531"/>
      <c r="AZ373" s="531"/>
      <c r="BA373" s="531"/>
      <c r="BB373" s="531"/>
      <c r="BC373" s="531"/>
      <c r="BD373" s="531"/>
      <c r="BE373" s="531"/>
      <c r="BF373" s="532"/>
      <c r="BG373" s="533"/>
      <c r="BH373" s="534"/>
      <c r="BI373" s="530"/>
    </row>
    <row r="374" spans="1:61" ht="199.9" customHeight="1" thickTop="1" thickBot="1" x14ac:dyDescent="1.3">
      <c r="A374" s="520"/>
      <c r="B374" s="517"/>
      <c r="C374" s="521"/>
      <c r="D374" s="521"/>
      <c r="E374" s="531"/>
      <c r="F374" s="531"/>
      <c r="G374" s="531"/>
      <c r="H374" s="531"/>
      <c r="I374" s="531"/>
      <c r="J374" s="531"/>
      <c r="K374" s="531"/>
      <c r="L374" s="531"/>
      <c r="M374" s="531"/>
      <c r="N374" s="531"/>
      <c r="O374" s="531"/>
      <c r="P374" s="531"/>
      <c r="Q374" s="531"/>
      <c r="R374" s="531"/>
      <c r="S374" s="532"/>
      <c r="T374" s="532"/>
      <c r="U374" s="531"/>
      <c r="V374" s="531"/>
      <c r="W374" s="531"/>
      <c r="X374" s="531"/>
      <c r="Y374" s="531"/>
      <c r="Z374" s="531"/>
      <c r="AA374" s="531"/>
      <c r="AB374" s="531"/>
      <c r="AC374" s="531"/>
      <c r="AD374" s="531"/>
      <c r="AE374" s="531"/>
      <c r="AF374" s="531"/>
      <c r="AG374" s="531"/>
      <c r="AH374" s="531"/>
      <c r="AI374" s="531"/>
      <c r="AJ374" s="531"/>
      <c r="AK374" s="532"/>
      <c r="AL374" s="532"/>
      <c r="AM374" s="531"/>
      <c r="AN374" s="531"/>
      <c r="AO374" s="531"/>
      <c r="AP374" s="531"/>
      <c r="AQ374" s="531"/>
      <c r="AR374" s="531"/>
      <c r="AS374" s="531"/>
      <c r="AT374" s="531"/>
      <c r="AU374" s="531"/>
      <c r="AV374" s="531"/>
      <c r="AW374" s="531"/>
      <c r="AX374" s="531"/>
      <c r="AY374" s="531"/>
      <c r="AZ374" s="531"/>
      <c r="BA374" s="531"/>
      <c r="BB374" s="531"/>
      <c r="BC374" s="531"/>
      <c r="BD374" s="531"/>
      <c r="BE374" s="531"/>
      <c r="BF374" s="532"/>
      <c r="BG374" s="533"/>
      <c r="BH374" s="534"/>
      <c r="BI374" s="530"/>
    </row>
    <row r="375" spans="1:61" ht="199.9" customHeight="1" thickTop="1" thickBot="1" x14ac:dyDescent="1.3">
      <c r="A375" s="520"/>
      <c r="B375" s="517"/>
      <c r="C375" s="521"/>
      <c r="D375" s="521"/>
      <c r="E375" s="531"/>
      <c r="F375" s="531"/>
      <c r="G375" s="531"/>
      <c r="H375" s="531"/>
      <c r="I375" s="531"/>
      <c r="J375" s="531"/>
      <c r="K375" s="531"/>
      <c r="L375" s="531"/>
      <c r="M375" s="531"/>
      <c r="N375" s="531"/>
      <c r="O375" s="531"/>
      <c r="P375" s="531"/>
      <c r="Q375" s="531"/>
      <c r="R375" s="531"/>
      <c r="S375" s="532"/>
      <c r="T375" s="532"/>
      <c r="U375" s="531"/>
      <c r="V375" s="531"/>
      <c r="W375" s="531"/>
      <c r="X375" s="531"/>
      <c r="Y375" s="531"/>
      <c r="Z375" s="531"/>
      <c r="AA375" s="531"/>
      <c r="AB375" s="531"/>
      <c r="AC375" s="531"/>
      <c r="AD375" s="531"/>
      <c r="AE375" s="531"/>
      <c r="AF375" s="531"/>
      <c r="AG375" s="531"/>
      <c r="AH375" s="531"/>
      <c r="AI375" s="531"/>
      <c r="AJ375" s="531"/>
      <c r="AK375" s="532"/>
      <c r="AL375" s="532"/>
      <c r="AM375" s="531"/>
      <c r="AN375" s="531"/>
      <c r="AO375" s="531"/>
      <c r="AP375" s="531"/>
      <c r="AQ375" s="531"/>
      <c r="AR375" s="531"/>
      <c r="AS375" s="531"/>
      <c r="AT375" s="531"/>
      <c r="AU375" s="531"/>
      <c r="AV375" s="531"/>
      <c r="AW375" s="531"/>
      <c r="AX375" s="531"/>
      <c r="AY375" s="531"/>
      <c r="AZ375" s="531"/>
      <c r="BA375" s="531"/>
      <c r="BB375" s="531"/>
      <c r="BC375" s="531"/>
      <c r="BD375" s="531"/>
      <c r="BE375" s="531"/>
      <c r="BF375" s="532"/>
      <c r="BG375" s="533"/>
      <c r="BH375" s="534"/>
      <c r="BI375" s="530"/>
    </row>
    <row r="376" spans="1:61" ht="199.9" customHeight="1" thickTop="1" thickBot="1" x14ac:dyDescent="1.3">
      <c r="A376" s="520"/>
      <c r="B376" s="517"/>
      <c r="C376" s="521"/>
      <c r="D376" s="521"/>
      <c r="E376" s="531"/>
      <c r="F376" s="531"/>
      <c r="G376" s="531"/>
      <c r="H376" s="531"/>
      <c r="I376" s="531"/>
      <c r="J376" s="531"/>
      <c r="K376" s="531"/>
      <c r="L376" s="531"/>
      <c r="M376" s="531"/>
      <c r="N376" s="531"/>
      <c r="O376" s="531"/>
      <c r="P376" s="531"/>
      <c r="Q376" s="531"/>
      <c r="R376" s="531"/>
      <c r="S376" s="532"/>
      <c r="T376" s="532"/>
      <c r="U376" s="531"/>
      <c r="V376" s="531"/>
      <c r="W376" s="531"/>
      <c r="X376" s="531"/>
      <c r="Y376" s="531"/>
      <c r="Z376" s="531"/>
      <c r="AA376" s="531"/>
      <c r="AB376" s="531"/>
      <c r="AC376" s="531"/>
      <c r="AD376" s="531"/>
      <c r="AE376" s="531"/>
      <c r="AF376" s="531"/>
      <c r="AG376" s="531"/>
      <c r="AH376" s="531"/>
      <c r="AI376" s="531"/>
      <c r="AJ376" s="531"/>
      <c r="AK376" s="532"/>
      <c r="AL376" s="532"/>
      <c r="AM376" s="531"/>
      <c r="AN376" s="531"/>
      <c r="AO376" s="531"/>
      <c r="AP376" s="531"/>
      <c r="AQ376" s="531"/>
      <c r="AR376" s="531"/>
      <c r="AS376" s="531"/>
      <c r="AT376" s="531"/>
      <c r="AU376" s="531"/>
      <c r="AV376" s="531"/>
      <c r="AW376" s="531"/>
      <c r="AX376" s="531"/>
      <c r="AY376" s="531"/>
      <c r="AZ376" s="531"/>
      <c r="BA376" s="531"/>
      <c r="BB376" s="531"/>
      <c r="BC376" s="531"/>
      <c r="BD376" s="531"/>
      <c r="BE376" s="531"/>
      <c r="BF376" s="532"/>
      <c r="BG376" s="533"/>
      <c r="BH376" s="534"/>
      <c r="BI376" s="530"/>
    </row>
    <row r="378" spans="1:61" ht="199.9" customHeight="1" thickTop="1" thickBot="1" x14ac:dyDescent="1.3">
      <c r="A378" s="1095" t="s">
        <v>171</v>
      </c>
      <c r="B378" s="1096"/>
      <c r="C378" s="1096"/>
      <c r="D378" s="1096"/>
      <c r="E378" s="1096"/>
      <c r="F378" s="1096"/>
      <c r="G378" s="1096"/>
      <c r="H378" s="1096"/>
      <c r="I378" s="1096"/>
      <c r="J378" s="1096"/>
      <c r="K378" s="1096"/>
      <c r="L378" s="1096"/>
      <c r="M378" s="1096"/>
      <c r="N378" s="1096"/>
      <c r="O378" s="1096"/>
      <c r="P378" s="1096"/>
      <c r="Q378" s="1096"/>
      <c r="R378" s="1096"/>
      <c r="S378" s="1096"/>
      <c r="T378" s="1096"/>
      <c r="U378" s="1096"/>
      <c r="V378" s="1096"/>
      <c r="W378" s="1096"/>
      <c r="X378" s="1096"/>
      <c r="Y378" s="1096"/>
      <c r="Z378" s="1096"/>
      <c r="AA378" s="1096"/>
      <c r="AB378" s="1096"/>
      <c r="AC378" s="1096"/>
      <c r="AD378" s="1096"/>
      <c r="AE378" s="1096"/>
      <c r="AF378" s="1096"/>
      <c r="AG378" s="1096"/>
      <c r="AH378" s="1096"/>
      <c r="AI378" s="1096"/>
      <c r="AJ378" s="1096"/>
      <c r="AK378" s="1096"/>
      <c r="AL378" s="1096"/>
      <c r="AM378" s="1096"/>
      <c r="AN378" s="1096"/>
      <c r="AO378" s="1096"/>
      <c r="AP378" s="1096"/>
      <c r="AQ378" s="1096"/>
      <c r="AR378" s="1096"/>
      <c r="AS378" s="1096"/>
      <c r="AT378" s="1096"/>
      <c r="AU378" s="1096"/>
      <c r="AV378" s="1096"/>
      <c r="AW378" s="1096"/>
      <c r="AX378" s="1096"/>
      <c r="AY378" s="1096"/>
      <c r="AZ378" s="1096"/>
      <c r="BA378" s="1096"/>
      <c r="BB378" s="1096"/>
      <c r="BC378" s="1096"/>
      <c r="BD378" s="1096"/>
      <c r="BE378" s="1096"/>
      <c r="BF378" s="1096"/>
      <c r="BG378" s="1096"/>
      <c r="BH378" s="1096"/>
    </row>
    <row r="379" spans="1:61" ht="199.9" customHeight="1" thickTop="1" thickBot="1" x14ac:dyDescent="1.3">
      <c r="A379" s="1095"/>
      <c r="B379" s="1096"/>
      <c r="C379" s="1096"/>
      <c r="D379" s="1096"/>
      <c r="E379" s="1096"/>
      <c r="F379" s="1096"/>
      <c r="G379" s="1096"/>
      <c r="H379" s="1096"/>
      <c r="I379" s="1096"/>
      <c r="J379" s="1096"/>
      <c r="K379" s="1096"/>
      <c r="L379" s="1096"/>
      <c r="M379" s="1096"/>
      <c r="N379" s="1096"/>
      <c r="O379" s="1096"/>
      <c r="P379" s="1096"/>
      <c r="Q379" s="1096"/>
      <c r="R379" s="1096"/>
      <c r="S379" s="1096"/>
      <c r="T379" s="1096"/>
      <c r="U379" s="1096"/>
      <c r="V379" s="1096"/>
      <c r="W379" s="1096"/>
      <c r="X379" s="1096"/>
      <c r="Y379" s="1096"/>
      <c r="Z379" s="1096"/>
      <c r="AA379" s="1096"/>
      <c r="AB379" s="1096"/>
      <c r="AC379" s="1096"/>
      <c r="AD379" s="1096"/>
      <c r="AE379" s="1096"/>
      <c r="AF379" s="1096"/>
      <c r="AG379" s="1096"/>
      <c r="AH379" s="1096"/>
      <c r="AI379" s="1096"/>
      <c r="AJ379" s="1096"/>
      <c r="AK379" s="1096"/>
      <c r="AL379" s="1096"/>
      <c r="AM379" s="1096"/>
      <c r="AN379" s="1096"/>
      <c r="AO379" s="1096"/>
      <c r="AP379" s="1096"/>
      <c r="AQ379" s="1096"/>
      <c r="AR379" s="1096"/>
      <c r="AS379" s="1096"/>
      <c r="AT379" s="1096"/>
      <c r="AU379" s="1096"/>
      <c r="AV379" s="1096"/>
      <c r="AW379" s="1096"/>
      <c r="AX379" s="1096"/>
      <c r="AY379" s="1096"/>
      <c r="AZ379" s="1096"/>
      <c r="BA379" s="1096"/>
      <c r="BB379" s="1096"/>
      <c r="BC379" s="1096"/>
      <c r="BD379" s="1096"/>
      <c r="BE379" s="1096"/>
      <c r="BF379" s="1096"/>
      <c r="BG379" s="1096"/>
      <c r="BH379" s="1096"/>
    </row>
    <row r="380" spans="1:61" ht="199.9" customHeight="1" thickTop="1" thickBot="1" x14ac:dyDescent="1.3">
      <c r="A380" s="1095"/>
      <c r="B380" s="1096"/>
      <c r="C380" s="1096"/>
      <c r="D380" s="1096"/>
      <c r="E380" s="1096"/>
      <c r="F380" s="1096"/>
      <c r="G380" s="1096"/>
      <c r="H380" s="1096"/>
      <c r="I380" s="1096"/>
      <c r="J380" s="1096"/>
      <c r="K380" s="1096"/>
      <c r="L380" s="1096"/>
      <c r="M380" s="1096"/>
      <c r="N380" s="1096"/>
      <c r="O380" s="1096"/>
      <c r="P380" s="1096"/>
      <c r="Q380" s="1096"/>
      <c r="R380" s="1096"/>
      <c r="S380" s="1096"/>
      <c r="T380" s="1096"/>
      <c r="U380" s="1096"/>
      <c r="V380" s="1096"/>
      <c r="W380" s="1096"/>
      <c r="X380" s="1096"/>
      <c r="Y380" s="1096"/>
      <c r="Z380" s="1096"/>
      <c r="AA380" s="1096"/>
      <c r="AB380" s="1096"/>
      <c r="AC380" s="1096"/>
      <c r="AD380" s="1096"/>
      <c r="AE380" s="1096"/>
      <c r="AF380" s="1096"/>
      <c r="AG380" s="1096"/>
      <c r="AH380" s="1096"/>
      <c r="AI380" s="1096"/>
      <c r="AJ380" s="1096"/>
      <c r="AK380" s="1096"/>
      <c r="AL380" s="1096"/>
      <c r="AM380" s="1096"/>
      <c r="AN380" s="1096"/>
      <c r="AO380" s="1096"/>
      <c r="AP380" s="1096"/>
      <c r="AQ380" s="1096"/>
      <c r="AR380" s="1096"/>
      <c r="AS380" s="1096"/>
      <c r="AT380" s="1096"/>
      <c r="AU380" s="1096"/>
      <c r="AV380" s="1096"/>
      <c r="AW380" s="1096"/>
      <c r="AX380" s="1096"/>
      <c r="AY380" s="1096"/>
      <c r="AZ380" s="1096"/>
      <c r="BA380" s="1096"/>
      <c r="BB380" s="1096"/>
      <c r="BC380" s="1096"/>
      <c r="BD380" s="1096"/>
      <c r="BE380" s="1096"/>
      <c r="BF380" s="1096"/>
      <c r="BG380" s="1096"/>
      <c r="BH380" s="1096"/>
    </row>
    <row r="381" spans="1:61" ht="199.9" customHeight="1" thickTop="1" thickBot="1" x14ac:dyDescent="1.3">
      <c r="A381" s="1095"/>
      <c r="B381" s="1096"/>
      <c r="C381" s="1096"/>
      <c r="D381" s="1096"/>
      <c r="E381" s="1096"/>
      <c r="F381" s="1096"/>
      <c r="G381" s="1096"/>
      <c r="H381" s="1096"/>
      <c r="I381" s="1096"/>
      <c r="J381" s="1096"/>
      <c r="K381" s="1096"/>
      <c r="L381" s="1096"/>
      <c r="M381" s="1096"/>
      <c r="N381" s="1096"/>
      <c r="O381" s="1096"/>
      <c r="P381" s="1096"/>
      <c r="Q381" s="1096"/>
      <c r="R381" s="1096"/>
      <c r="S381" s="1096"/>
      <c r="T381" s="1096"/>
      <c r="U381" s="1096"/>
      <c r="V381" s="1096"/>
      <c r="W381" s="1096"/>
      <c r="X381" s="1096"/>
      <c r="Y381" s="1096"/>
      <c r="Z381" s="1096"/>
      <c r="AA381" s="1096"/>
      <c r="AB381" s="1096"/>
      <c r="AC381" s="1096"/>
      <c r="AD381" s="1096"/>
      <c r="AE381" s="1096"/>
      <c r="AF381" s="1096"/>
      <c r="AG381" s="1096"/>
      <c r="AH381" s="1096"/>
      <c r="AI381" s="1096"/>
      <c r="AJ381" s="1096"/>
      <c r="AK381" s="1096"/>
      <c r="AL381" s="1096"/>
      <c r="AM381" s="1096"/>
      <c r="AN381" s="1096"/>
      <c r="AO381" s="1096"/>
      <c r="AP381" s="1096"/>
      <c r="AQ381" s="1096"/>
      <c r="AR381" s="1096"/>
      <c r="AS381" s="1096"/>
      <c r="AT381" s="1096"/>
      <c r="AU381" s="1096"/>
      <c r="AV381" s="1096"/>
      <c r="AW381" s="1096"/>
      <c r="AX381" s="1096"/>
      <c r="AY381" s="1096"/>
      <c r="AZ381" s="1096"/>
      <c r="BA381" s="1096"/>
      <c r="BB381" s="1096"/>
      <c r="BC381" s="1096"/>
      <c r="BD381" s="1096"/>
      <c r="BE381" s="1096"/>
      <c r="BF381" s="1096"/>
      <c r="BG381" s="1096"/>
      <c r="BH381" s="1096"/>
    </row>
    <row r="382" spans="1:61" ht="199.9" customHeight="1" thickTop="1" thickBot="1" x14ac:dyDescent="1.3">
      <c r="A382" s="1095"/>
      <c r="B382" s="1096"/>
      <c r="C382" s="1096"/>
      <c r="D382" s="1096"/>
      <c r="E382" s="1096"/>
      <c r="F382" s="1096"/>
      <c r="G382" s="1096"/>
      <c r="H382" s="1096"/>
      <c r="I382" s="1096"/>
      <c r="J382" s="1096"/>
      <c r="K382" s="1096"/>
      <c r="L382" s="1096"/>
      <c r="M382" s="1096"/>
      <c r="N382" s="1096"/>
      <c r="O382" s="1096"/>
      <c r="P382" s="1096"/>
      <c r="Q382" s="1096"/>
      <c r="R382" s="1096"/>
      <c r="S382" s="1096"/>
      <c r="T382" s="1096"/>
      <c r="U382" s="1096"/>
      <c r="V382" s="1096"/>
      <c r="W382" s="1096"/>
      <c r="X382" s="1096"/>
      <c r="Y382" s="1096"/>
      <c r="Z382" s="1096"/>
      <c r="AA382" s="1096"/>
      <c r="AB382" s="1096"/>
      <c r="AC382" s="1096"/>
      <c r="AD382" s="1096"/>
      <c r="AE382" s="1096"/>
      <c r="AF382" s="1096"/>
      <c r="AG382" s="1096"/>
      <c r="AH382" s="1096"/>
      <c r="AI382" s="1096"/>
      <c r="AJ382" s="1096"/>
      <c r="AK382" s="1096"/>
      <c r="AL382" s="1096"/>
      <c r="AM382" s="1096"/>
      <c r="AN382" s="1096"/>
      <c r="AO382" s="1096"/>
      <c r="AP382" s="1096"/>
      <c r="AQ382" s="1096"/>
      <c r="AR382" s="1096"/>
      <c r="AS382" s="1096"/>
      <c r="AT382" s="1096"/>
      <c r="AU382" s="1096"/>
      <c r="AV382" s="1096"/>
      <c r="AW382" s="1096"/>
      <c r="AX382" s="1096"/>
      <c r="AY382" s="1096"/>
      <c r="AZ382" s="1096"/>
      <c r="BA382" s="1096"/>
      <c r="BB382" s="1096"/>
      <c r="BC382" s="1096"/>
      <c r="BD382" s="1096"/>
      <c r="BE382" s="1096"/>
      <c r="BF382" s="1096"/>
      <c r="BG382" s="1096"/>
      <c r="BH382" s="1096"/>
    </row>
    <row r="383" spans="1:61" ht="199.9" customHeight="1" thickTop="1" thickBot="1" x14ac:dyDescent="1.3">
      <c r="A383" s="1095"/>
      <c r="B383" s="1096"/>
      <c r="C383" s="1096"/>
      <c r="D383" s="1096"/>
      <c r="E383" s="1096"/>
      <c r="F383" s="1096"/>
      <c r="G383" s="1096"/>
      <c r="H383" s="1096"/>
      <c r="I383" s="1096"/>
      <c r="J383" s="1096"/>
      <c r="K383" s="1096"/>
      <c r="L383" s="1096"/>
      <c r="M383" s="1096"/>
      <c r="N383" s="1096"/>
      <c r="O383" s="1096"/>
      <c r="P383" s="1096"/>
      <c r="Q383" s="1096"/>
      <c r="R383" s="1096"/>
      <c r="S383" s="1096"/>
      <c r="T383" s="1096"/>
      <c r="U383" s="1096"/>
      <c r="V383" s="1096"/>
      <c r="W383" s="1096"/>
      <c r="X383" s="1096"/>
      <c r="Y383" s="1096"/>
      <c r="Z383" s="1096"/>
      <c r="AA383" s="1096"/>
      <c r="AB383" s="1096"/>
      <c r="AC383" s="1096"/>
      <c r="AD383" s="1096"/>
      <c r="AE383" s="1096"/>
      <c r="AF383" s="1096"/>
      <c r="AG383" s="1096"/>
      <c r="AH383" s="1096"/>
      <c r="AI383" s="1096"/>
      <c r="AJ383" s="1096"/>
      <c r="AK383" s="1096"/>
      <c r="AL383" s="1096"/>
      <c r="AM383" s="1096"/>
      <c r="AN383" s="1096"/>
      <c r="AO383" s="1096"/>
      <c r="AP383" s="1096"/>
      <c r="AQ383" s="1096"/>
      <c r="AR383" s="1096"/>
      <c r="AS383" s="1096"/>
      <c r="AT383" s="1096"/>
      <c r="AU383" s="1096"/>
      <c r="AV383" s="1096"/>
      <c r="AW383" s="1096"/>
      <c r="AX383" s="1096"/>
      <c r="AY383" s="1096"/>
      <c r="AZ383" s="1096"/>
      <c r="BA383" s="1096"/>
      <c r="BB383" s="1096"/>
      <c r="BC383" s="1096"/>
      <c r="BD383" s="1096"/>
      <c r="BE383" s="1096"/>
      <c r="BF383" s="1096"/>
      <c r="BG383" s="1096"/>
      <c r="BH383" s="1096"/>
    </row>
    <row r="384" spans="1:61" ht="199.9" customHeight="1" thickTop="1" thickBot="1" x14ac:dyDescent="1.3">
      <c r="A384" s="1095"/>
      <c r="B384" s="1096"/>
      <c r="C384" s="1096"/>
      <c r="D384" s="1096"/>
      <c r="E384" s="1096"/>
      <c r="F384" s="1096"/>
      <c r="G384" s="1096"/>
      <c r="H384" s="1096"/>
      <c r="I384" s="1096"/>
      <c r="J384" s="1096"/>
      <c r="K384" s="1096"/>
      <c r="L384" s="1096"/>
      <c r="M384" s="1096"/>
      <c r="N384" s="1096"/>
      <c r="O384" s="1096"/>
      <c r="P384" s="1096"/>
      <c r="Q384" s="1096"/>
      <c r="R384" s="1096"/>
      <c r="S384" s="1096"/>
      <c r="T384" s="1096"/>
      <c r="U384" s="1096"/>
      <c r="V384" s="1096"/>
      <c r="W384" s="1096"/>
      <c r="X384" s="1096"/>
      <c r="Y384" s="1096"/>
      <c r="Z384" s="1096"/>
      <c r="AA384" s="1096"/>
      <c r="AB384" s="1096"/>
      <c r="AC384" s="1096"/>
      <c r="AD384" s="1096"/>
      <c r="AE384" s="1096"/>
      <c r="AF384" s="1096"/>
      <c r="AG384" s="1096"/>
      <c r="AH384" s="1096"/>
      <c r="AI384" s="1096"/>
      <c r="AJ384" s="1096"/>
      <c r="AK384" s="1096"/>
      <c r="AL384" s="1096"/>
      <c r="AM384" s="1096"/>
      <c r="AN384" s="1096"/>
      <c r="AO384" s="1096"/>
      <c r="AP384" s="1096"/>
      <c r="AQ384" s="1096"/>
      <c r="AR384" s="1096"/>
      <c r="AS384" s="1096"/>
      <c r="AT384" s="1096"/>
      <c r="AU384" s="1096"/>
      <c r="AV384" s="1096"/>
      <c r="AW384" s="1096"/>
      <c r="AX384" s="1096"/>
      <c r="AY384" s="1096"/>
      <c r="AZ384" s="1096"/>
      <c r="BA384" s="1096"/>
      <c r="BB384" s="1096"/>
      <c r="BC384" s="1096"/>
      <c r="BD384" s="1096"/>
      <c r="BE384" s="1096"/>
      <c r="BF384" s="1096"/>
      <c r="BG384" s="1096"/>
      <c r="BH384" s="1096"/>
    </row>
    <row r="385" spans="1:60" ht="199.9" customHeight="1" thickTop="1" thickBot="1" x14ac:dyDescent="1.3">
      <c r="A385" s="1095"/>
      <c r="B385" s="1096"/>
      <c r="C385" s="1096"/>
      <c r="D385" s="1096"/>
      <c r="E385" s="1096"/>
      <c r="F385" s="1096"/>
      <c r="G385" s="1096"/>
      <c r="H385" s="1096"/>
      <c r="I385" s="1096"/>
      <c r="J385" s="1096"/>
      <c r="K385" s="1096"/>
      <c r="L385" s="1096"/>
      <c r="M385" s="1096"/>
      <c r="N385" s="1096"/>
      <c r="O385" s="1096"/>
      <c r="P385" s="1096"/>
      <c r="Q385" s="1096"/>
      <c r="R385" s="1096"/>
      <c r="S385" s="1096"/>
      <c r="T385" s="1096"/>
      <c r="U385" s="1096"/>
      <c r="V385" s="1096"/>
      <c r="W385" s="1096"/>
      <c r="X385" s="1096"/>
      <c r="Y385" s="1096"/>
      <c r="Z385" s="1096"/>
      <c r="AA385" s="1096"/>
      <c r="AB385" s="1096"/>
      <c r="AC385" s="1096"/>
      <c r="AD385" s="1096"/>
      <c r="AE385" s="1096"/>
      <c r="AF385" s="1096"/>
      <c r="AG385" s="1096"/>
      <c r="AH385" s="1096"/>
      <c r="AI385" s="1096"/>
      <c r="AJ385" s="1096"/>
      <c r="AK385" s="1096"/>
      <c r="AL385" s="1096"/>
      <c r="AM385" s="1096"/>
      <c r="AN385" s="1096"/>
      <c r="AO385" s="1096"/>
      <c r="AP385" s="1096"/>
      <c r="AQ385" s="1096"/>
      <c r="AR385" s="1096"/>
      <c r="AS385" s="1096"/>
      <c r="AT385" s="1096"/>
      <c r="AU385" s="1096"/>
      <c r="AV385" s="1096"/>
      <c r="AW385" s="1096"/>
      <c r="AX385" s="1096"/>
      <c r="AY385" s="1096"/>
      <c r="AZ385" s="1096"/>
      <c r="BA385" s="1096"/>
      <c r="BB385" s="1096"/>
      <c r="BC385" s="1096"/>
      <c r="BD385" s="1096"/>
      <c r="BE385" s="1096"/>
      <c r="BF385" s="1096"/>
      <c r="BG385" s="1096"/>
      <c r="BH385" s="1096"/>
    </row>
    <row r="386" spans="1:60" ht="199.9" customHeight="1" thickTop="1" thickBot="1" x14ac:dyDescent="1.3">
      <c r="A386" s="1095"/>
      <c r="B386" s="1096"/>
      <c r="C386" s="1096"/>
      <c r="D386" s="1096"/>
      <c r="E386" s="1096"/>
      <c r="F386" s="1096"/>
      <c r="G386" s="1096"/>
      <c r="H386" s="1096"/>
      <c r="I386" s="1096"/>
      <c r="J386" s="1096"/>
      <c r="K386" s="1096"/>
      <c r="L386" s="1096"/>
      <c r="M386" s="1096"/>
      <c r="N386" s="1096"/>
      <c r="O386" s="1096"/>
      <c r="P386" s="1096"/>
      <c r="Q386" s="1096"/>
      <c r="R386" s="1096"/>
      <c r="S386" s="1096"/>
      <c r="T386" s="1096"/>
      <c r="U386" s="1096"/>
      <c r="V386" s="1096"/>
      <c r="W386" s="1096"/>
      <c r="X386" s="1096"/>
      <c r="Y386" s="1096"/>
      <c r="Z386" s="1096"/>
      <c r="AA386" s="1096"/>
      <c r="AB386" s="1096"/>
      <c r="AC386" s="1096"/>
      <c r="AD386" s="1096"/>
      <c r="AE386" s="1096"/>
      <c r="AF386" s="1096"/>
      <c r="AG386" s="1096"/>
      <c r="AH386" s="1096"/>
      <c r="AI386" s="1096"/>
      <c r="AJ386" s="1096"/>
      <c r="AK386" s="1096"/>
      <c r="AL386" s="1096"/>
      <c r="AM386" s="1096"/>
      <c r="AN386" s="1096"/>
      <c r="AO386" s="1096"/>
      <c r="AP386" s="1096"/>
      <c r="AQ386" s="1096"/>
      <c r="AR386" s="1096"/>
      <c r="AS386" s="1096"/>
      <c r="AT386" s="1096"/>
      <c r="AU386" s="1096"/>
      <c r="AV386" s="1096"/>
      <c r="AW386" s="1096"/>
      <c r="AX386" s="1096"/>
      <c r="AY386" s="1096"/>
      <c r="AZ386" s="1096"/>
      <c r="BA386" s="1096"/>
      <c r="BB386" s="1096"/>
      <c r="BC386" s="1096"/>
      <c r="BD386" s="1096"/>
      <c r="BE386" s="1096"/>
      <c r="BF386" s="1096"/>
      <c r="BG386" s="1096"/>
      <c r="BH386" s="1096"/>
    </row>
    <row r="387" spans="1:60" ht="199.9" customHeight="1" thickTop="1" thickBot="1" x14ac:dyDescent="1.3">
      <c r="A387" s="1095" t="s">
        <v>172</v>
      </c>
      <c r="B387" s="1096"/>
      <c r="C387" s="1096"/>
      <c r="D387" s="1096"/>
      <c r="E387" s="1096"/>
      <c r="F387" s="1096"/>
      <c r="G387" s="1096"/>
      <c r="H387" s="1096"/>
      <c r="I387" s="1096"/>
      <c r="J387" s="1096"/>
      <c r="K387" s="1096"/>
      <c r="L387" s="1096"/>
      <c r="M387" s="1096"/>
      <c r="N387" s="1096"/>
      <c r="O387" s="1096"/>
      <c r="P387" s="1096"/>
      <c r="Q387" s="1096"/>
      <c r="R387" s="1096"/>
      <c r="S387" s="1096"/>
      <c r="T387" s="1096"/>
      <c r="U387" s="1096"/>
      <c r="V387" s="1096"/>
      <c r="W387" s="1096"/>
      <c r="X387" s="1096"/>
      <c r="Y387" s="1096"/>
      <c r="Z387" s="1096"/>
      <c r="AA387" s="1096"/>
      <c r="AB387" s="1096"/>
      <c r="AC387" s="1096"/>
      <c r="AD387" s="1096"/>
      <c r="AE387" s="1096"/>
      <c r="AF387" s="1096"/>
      <c r="AG387" s="1096"/>
      <c r="AH387" s="1096"/>
      <c r="AI387" s="1096"/>
      <c r="AJ387" s="1096"/>
      <c r="AK387" s="1096"/>
      <c r="AL387" s="1096"/>
      <c r="AM387" s="1096"/>
      <c r="AN387" s="1096"/>
      <c r="AO387" s="1096"/>
      <c r="AP387" s="1096"/>
      <c r="AQ387" s="1096"/>
      <c r="AR387" s="1096"/>
      <c r="AS387" s="1096"/>
      <c r="AT387" s="1096"/>
      <c r="AU387" s="1096"/>
      <c r="AV387" s="1096"/>
      <c r="AW387" s="1096"/>
      <c r="AX387" s="1096"/>
      <c r="AY387" s="1096"/>
      <c r="AZ387" s="1096"/>
      <c r="BA387" s="1096"/>
      <c r="BB387" s="1096"/>
      <c r="BC387" s="1096"/>
      <c r="BD387" s="1096"/>
      <c r="BE387" s="1096"/>
      <c r="BF387" s="1096"/>
      <c r="BG387" s="1096"/>
      <c r="BH387" s="1096"/>
    </row>
    <row r="388" spans="1:60" ht="199.9" customHeight="1" thickTop="1" thickBot="1" x14ac:dyDescent="1.3">
      <c r="A388" s="1095"/>
      <c r="B388" s="1096"/>
      <c r="C388" s="1096"/>
      <c r="D388" s="1096"/>
      <c r="E388" s="1096"/>
      <c r="F388" s="1096"/>
      <c r="G388" s="1096"/>
      <c r="H388" s="1096"/>
      <c r="I388" s="1096"/>
      <c r="J388" s="1096"/>
      <c r="K388" s="1096"/>
      <c r="L388" s="1096"/>
      <c r="M388" s="1096"/>
      <c r="N388" s="1096"/>
      <c r="O388" s="1096"/>
      <c r="P388" s="1096"/>
      <c r="Q388" s="1096"/>
      <c r="R388" s="1096"/>
      <c r="S388" s="1096"/>
      <c r="T388" s="1096"/>
      <c r="U388" s="1096"/>
      <c r="V388" s="1096"/>
      <c r="W388" s="1096"/>
      <c r="X388" s="1096"/>
      <c r="Y388" s="1096"/>
      <c r="Z388" s="1096"/>
      <c r="AA388" s="1096"/>
      <c r="AB388" s="1096"/>
      <c r="AC388" s="1096"/>
      <c r="AD388" s="1096"/>
      <c r="AE388" s="1096"/>
      <c r="AF388" s="1096"/>
      <c r="AG388" s="1096"/>
      <c r="AH388" s="1096"/>
      <c r="AI388" s="1096"/>
      <c r="AJ388" s="1096"/>
      <c r="AK388" s="1096"/>
      <c r="AL388" s="1096"/>
      <c r="AM388" s="1096"/>
      <c r="AN388" s="1096"/>
      <c r="AO388" s="1096"/>
      <c r="AP388" s="1096"/>
      <c r="AQ388" s="1096"/>
      <c r="AR388" s="1096"/>
      <c r="AS388" s="1096"/>
      <c r="AT388" s="1096"/>
      <c r="AU388" s="1096"/>
      <c r="AV388" s="1096"/>
      <c r="AW388" s="1096"/>
      <c r="AX388" s="1096"/>
      <c r="AY388" s="1096"/>
      <c r="AZ388" s="1096"/>
      <c r="BA388" s="1096"/>
      <c r="BB388" s="1096"/>
      <c r="BC388" s="1096"/>
      <c r="BD388" s="1096"/>
      <c r="BE388" s="1096"/>
      <c r="BF388" s="1096"/>
      <c r="BG388" s="1096"/>
      <c r="BH388" s="1096"/>
    </row>
    <row r="389" spans="1:60" ht="199.9" customHeight="1" thickTop="1" thickBot="1" x14ac:dyDescent="1.3">
      <c r="A389" s="1095"/>
      <c r="B389" s="1096"/>
      <c r="C389" s="1096"/>
      <c r="D389" s="1096"/>
      <c r="E389" s="1096"/>
      <c r="F389" s="1096"/>
      <c r="G389" s="1096"/>
      <c r="H389" s="1096"/>
      <c r="I389" s="1096"/>
      <c r="J389" s="1096"/>
      <c r="K389" s="1096"/>
      <c r="L389" s="1096"/>
      <c r="M389" s="1096"/>
      <c r="N389" s="1096"/>
      <c r="O389" s="1096"/>
      <c r="P389" s="1096"/>
      <c r="Q389" s="1096"/>
      <c r="R389" s="1096"/>
      <c r="S389" s="1096"/>
      <c r="T389" s="1096"/>
      <c r="U389" s="1096"/>
      <c r="V389" s="1096"/>
      <c r="W389" s="1096"/>
      <c r="X389" s="1096"/>
      <c r="Y389" s="1096"/>
      <c r="Z389" s="1096"/>
      <c r="AA389" s="1096"/>
      <c r="AB389" s="1096"/>
      <c r="AC389" s="1096"/>
      <c r="AD389" s="1096"/>
      <c r="AE389" s="1096"/>
      <c r="AF389" s="1096"/>
      <c r="AG389" s="1096"/>
      <c r="AH389" s="1096"/>
      <c r="AI389" s="1096"/>
      <c r="AJ389" s="1096"/>
      <c r="AK389" s="1096"/>
      <c r="AL389" s="1096"/>
      <c r="AM389" s="1096"/>
      <c r="AN389" s="1096"/>
      <c r="AO389" s="1096"/>
      <c r="AP389" s="1096"/>
      <c r="AQ389" s="1096"/>
      <c r="AR389" s="1096"/>
      <c r="AS389" s="1096"/>
      <c r="AT389" s="1096"/>
      <c r="AU389" s="1096"/>
      <c r="AV389" s="1096"/>
      <c r="AW389" s="1096"/>
      <c r="AX389" s="1096"/>
      <c r="AY389" s="1096"/>
      <c r="AZ389" s="1096"/>
      <c r="BA389" s="1096"/>
      <c r="BB389" s="1096"/>
      <c r="BC389" s="1096"/>
      <c r="BD389" s="1096"/>
      <c r="BE389" s="1096"/>
      <c r="BF389" s="1096"/>
      <c r="BG389" s="1096"/>
      <c r="BH389" s="1096"/>
    </row>
    <row r="390" spans="1:60" ht="199.9" customHeight="1" thickTop="1" thickBot="1" x14ac:dyDescent="1.3">
      <c r="A390" s="1095"/>
      <c r="B390" s="1096"/>
      <c r="C390" s="1096"/>
      <c r="D390" s="1096"/>
      <c r="E390" s="1096"/>
      <c r="F390" s="1096"/>
      <c r="G390" s="1096"/>
      <c r="H390" s="1096"/>
      <c r="I390" s="1096"/>
      <c r="J390" s="1096"/>
      <c r="K390" s="1096"/>
      <c r="L390" s="1096"/>
      <c r="M390" s="1096"/>
      <c r="N390" s="1096"/>
      <c r="O390" s="1096"/>
      <c r="P390" s="1096"/>
      <c r="Q390" s="1096"/>
      <c r="R390" s="1096"/>
      <c r="S390" s="1096"/>
      <c r="T390" s="1096"/>
      <c r="U390" s="1096"/>
      <c r="V390" s="1096"/>
      <c r="W390" s="1096"/>
      <c r="X390" s="1096"/>
      <c r="Y390" s="1096"/>
      <c r="Z390" s="1096"/>
      <c r="AA390" s="1096"/>
      <c r="AB390" s="1096"/>
      <c r="AC390" s="1096"/>
      <c r="AD390" s="1096"/>
      <c r="AE390" s="1096"/>
      <c r="AF390" s="1096"/>
      <c r="AG390" s="1096"/>
      <c r="AH390" s="1096"/>
      <c r="AI390" s="1096"/>
      <c r="AJ390" s="1096"/>
      <c r="AK390" s="1096"/>
      <c r="AL390" s="1096"/>
      <c r="AM390" s="1096"/>
      <c r="AN390" s="1096"/>
      <c r="AO390" s="1096"/>
      <c r="AP390" s="1096"/>
      <c r="AQ390" s="1096"/>
      <c r="AR390" s="1096"/>
      <c r="AS390" s="1096"/>
      <c r="AT390" s="1096"/>
      <c r="AU390" s="1096"/>
      <c r="AV390" s="1096"/>
      <c r="AW390" s="1096"/>
      <c r="AX390" s="1096"/>
      <c r="AY390" s="1096"/>
      <c r="AZ390" s="1096"/>
      <c r="BA390" s="1096"/>
      <c r="BB390" s="1096"/>
      <c r="BC390" s="1096"/>
      <c r="BD390" s="1096"/>
      <c r="BE390" s="1096"/>
      <c r="BF390" s="1096"/>
      <c r="BG390" s="1096"/>
      <c r="BH390" s="1096"/>
    </row>
    <row r="391" spans="1:60" ht="199.9" customHeight="1" thickTop="1" thickBot="1" x14ac:dyDescent="1.3">
      <c r="A391" s="1095"/>
      <c r="B391" s="1096"/>
      <c r="C391" s="1096"/>
      <c r="D391" s="1096"/>
      <c r="E391" s="1096"/>
      <c r="F391" s="1096"/>
      <c r="G391" s="1096"/>
      <c r="H391" s="1096"/>
      <c r="I391" s="1096"/>
      <c r="J391" s="1096"/>
      <c r="K391" s="1096"/>
      <c r="L391" s="1096"/>
      <c r="M391" s="1096"/>
      <c r="N391" s="1096"/>
      <c r="O391" s="1096"/>
      <c r="P391" s="1096"/>
      <c r="Q391" s="1096"/>
      <c r="R391" s="1096"/>
      <c r="S391" s="1096"/>
      <c r="T391" s="1096"/>
      <c r="U391" s="1096"/>
      <c r="V391" s="1096"/>
      <c r="W391" s="1096"/>
      <c r="X391" s="1096"/>
      <c r="Y391" s="1096"/>
      <c r="Z391" s="1096"/>
      <c r="AA391" s="1096"/>
      <c r="AB391" s="1096"/>
      <c r="AC391" s="1096"/>
      <c r="AD391" s="1096"/>
      <c r="AE391" s="1096"/>
      <c r="AF391" s="1096"/>
      <c r="AG391" s="1096"/>
      <c r="AH391" s="1096"/>
      <c r="AI391" s="1096"/>
      <c r="AJ391" s="1096"/>
      <c r="AK391" s="1096"/>
      <c r="AL391" s="1096"/>
      <c r="AM391" s="1096"/>
      <c r="AN391" s="1096"/>
      <c r="AO391" s="1096"/>
      <c r="AP391" s="1096"/>
      <c r="AQ391" s="1096"/>
      <c r="AR391" s="1096"/>
      <c r="AS391" s="1096"/>
      <c r="AT391" s="1096"/>
      <c r="AU391" s="1096"/>
      <c r="AV391" s="1096"/>
      <c r="AW391" s="1096"/>
      <c r="AX391" s="1096"/>
      <c r="AY391" s="1096"/>
      <c r="AZ391" s="1096"/>
      <c r="BA391" s="1096"/>
      <c r="BB391" s="1096"/>
      <c r="BC391" s="1096"/>
      <c r="BD391" s="1096"/>
      <c r="BE391" s="1096"/>
      <c r="BF391" s="1096"/>
      <c r="BG391" s="1096"/>
      <c r="BH391" s="1096"/>
    </row>
    <row r="392" spans="1:60" ht="199.9" customHeight="1" thickTop="1" thickBot="1" x14ac:dyDescent="1.3">
      <c r="A392" s="1095"/>
      <c r="B392" s="1096"/>
      <c r="C392" s="1096"/>
      <c r="D392" s="1096"/>
      <c r="E392" s="1096"/>
      <c r="F392" s="1096"/>
      <c r="G392" s="1096"/>
      <c r="H392" s="1096"/>
      <c r="I392" s="1096"/>
      <c r="J392" s="1096"/>
      <c r="K392" s="1096"/>
      <c r="L392" s="1096"/>
      <c r="M392" s="1096"/>
      <c r="N392" s="1096"/>
      <c r="O392" s="1096"/>
      <c r="P392" s="1096"/>
      <c r="Q392" s="1096"/>
      <c r="R392" s="1096"/>
      <c r="S392" s="1096"/>
      <c r="T392" s="1096"/>
      <c r="U392" s="1096"/>
      <c r="V392" s="1096"/>
      <c r="W392" s="1096"/>
      <c r="X392" s="1096"/>
      <c r="Y392" s="1096"/>
      <c r="Z392" s="1096"/>
      <c r="AA392" s="1096"/>
      <c r="AB392" s="1096"/>
      <c r="AC392" s="1096"/>
      <c r="AD392" s="1096"/>
      <c r="AE392" s="1096"/>
      <c r="AF392" s="1096"/>
      <c r="AG392" s="1096"/>
      <c r="AH392" s="1096"/>
      <c r="AI392" s="1096"/>
      <c r="AJ392" s="1096"/>
      <c r="AK392" s="1096"/>
      <c r="AL392" s="1096"/>
      <c r="AM392" s="1096"/>
      <c r="AN392" s="1096"/>
      <c r="AO392" s="1096"/>
      <c r="AP392" s="1096"/>
      <c r="AQ392" s="1096"/>
      <c r="AR392" s="1096"/>
      <c r="AS392" s="1096"/>
      <c r="AT392" s="1096"/>
      <c r="AU392" s="1096"/>
      <c r="AV392" s="1096"/>
      <c r="AW392" s="1096"/>
      <c r="AX392" s="1096"/>
      <c r="AY392" s="1096"/>
      <c r="AZ392" s="1096"/>
      <c r="BA392" s="1096"/>
      <c r="BB392" s="1096"/>
      <c r="BC392" s="1096"/>
      <c r="BD392" s="1096"/>
      <c r="BE392" s="1096"/>
      <c r="BF392" s="1096"/>
      <c r="BG392" s="1096"/>
      <c r="BH392" s="1096"/>
    </row>
    <row r="393" spans="1:60" ht="199.9" customHeight="1" thickTop="1" thickBot="1" x14ac:dyDescent="1.3">
      <c r="A393" s="1095"/>
      <c r="B393" s="1096"/>
      <c r="C393" s="1096"/>
      <c r="D393" s="1096"/>
      <c r="E393" s="1096"/>
      <c r="F393" s="1096"/>
      <c r="G393" s="1096"/>
      <c r="H393" s="1096"/>
      <c r="I393" s="1096"/>
      <c r="J393" s="1096"/>
      <c r="K393" s="1096"/>
      <c r="L393" s="1096"/>
      <c r="M393" s="1096"/>
      <c r="N393" s="1096"/>
      <c r="O393" s="1096"/>
      <c r="P393" s="1096"/>
      <c r="Q393" s="1096"/>
      <c r="R393" s="1096"/>
      <c r="S393" s="1096"/>
      <c r="T393" s="1096"/>
      <c r="U393" s="1096"/>
      <c r="V393" s="1096"/>
      <c r="W393" s="1096"/>
      <c r="X393" s="1096"/>
      <c r="Y393" s="1096"/>
      <c r="Z393" s="1096"/>
      <c r="AA393" s="1096"/>
      <c r="AB393" s="1096"/>
      <c r="AC393" s="1096"/>
      <c r="AD393" s="1096"/>
      <c r="AE393" s="1096"/>
      <c r="AF393" s="1096"/>
      <c r="AG393" s="1096"/>
      <c r="AH393" s="1096"/>
      <c r="AI393" s="1096"/>
      <c r="AJ393" s="1096"/>
      <c r="AK393" s="1096"/>
      <c r="AL393" s="1096"/>
      <c r="AM393" s="1096"/>
      <c r="AN393" s="1096"/>
      <c r="AO393" s="1096"/>
      <c r="AP393" s="1096"/>
      <c r="AQ393" s="1096"/>
      <c r="AR393" s="1096"/>
      <c r="AS393" s="1096"/>
      <c r="AT393" s="1096"/>
      <c r="AU393" s="1096"/>
      <c r="AV393" s="1096"/>
      <c r="AW393" s="1096"/>
      <c r="AX393" s="1096"/>
      <c r="AY393" s="1096"/>
      <c r="AZ393" s="1096"/>
      <c r="BA393" s="1096"/>
      <c r="BB393" s="1096"/>
      <c r="BC393" s="1096"/>
      <c r="BD393" s="1096"/>
      <c r="BE393" s="1096"/>
      <c r="BF393" s="1096"/>
      <c r="BG393" s="1096"/>
      <c r="BH393" s="1096"/>
    </row>
    <row r="394" spans="1:60" ht="199.9" customHeight="1" thickTop="1" thickBot="1" x14ac:dyDescent="1.3">
      <c r="A394" s="1095"/>
      <c r="B394" s="1096"/>
      <c r="C394" s="1096"/>
      <c r="D394" s="1096"/>
      <c r="E394" s="1096"/>
      <c r="F394" s="1096"/>
      <c r="G394" s="1096"/>
      <c r="H394" s="1096"/>
      <c r="I394" s="1096"/>
      <c r="J394" s="1096"/>
      <c r="K394" s="1096"/>
      <c r="L394" s="1096"/>
      <c r="M394" s="1096"/>
      <c r="N394" s="1096"/>
      <c r="O394" s="1096"/>
      <c r="P394" s="1096"/>
      <c r="Q394" s="1096"/>
      <c r="R394" s="1096"/>
      <c r="S394" s="1096"/>
      <c r="T394" s="1096"/>
      <c r="U394" s="1096"/>
      <c r="V394" s="1096"/>
      <c r="W394" s="1096"/>
      <c r="X394" s="1096"/>
      <c r="Y394" s="1096"/>
      <c r="Z394" s="1096"/>
      <c r="AA394" s="1096"/>
      <c r="AB394" s="1096"/>
      <c r="AC394" s="1096"/>
      <c r="AD394" s="1096"/>
      <c r="AE394" s="1096"/>
      <c r="AF394" s="1096"/>
      <c r="AG394" s="1096"/>
      <c r="AH394" s="1096"/>
      <c r="AI394" s="1096"/>
      <c r="AJ394" s="1096"/>
      <c r="AK394" s="1096"/>
      <c r="AL394" s="1096"/>
      <c r="AM394" s="1096"/>
      <c r="AN394" s="1096"/>
      <c r="AO394" s="1096"/>
      <c r="AP394" s="1096"/>
      <c r="AQ394" s="1096"/>
      <c r="AR394" s="1096"/>
      <c r="AS394" s="1096"/>
      <c r="AT394" s="1096"/>
      <c r="AU394" s="1096"/>
      <c r="AV394" s="1096"/>
      <c r="AW394" s="1096"/>
      <c r="AX394" s="1096"/>
      <c r="AY394" s="1096"/>
      <c r="AZ394" s="1096"/>
      <c r="BA394" s="1096"/>
      <c r="BB394" s="1096"/>
      <c r="BC394" s="1096"/>
      <c r="BD394" s="1096"/>
      <c r="BE394" s="1096"/>
      <c r="BF394" s="1096"/>
      <c r="BG394" s="1096"/>
      <c r="BH394" s="1096"/>
    </row>
    <row r="395" spans="1:60" ht="199.9" customHeight="1" thickTop="1" thickBot="1" x14ac:dyDescent="1.3">
      <c r="A395" s="1095"/>
      <c r="B395" s="1096"/>
      <c r="C395" s="1096"/>
      <c r="D395" s="1096"/>
      <c r="E395" s="1096"/>
      <c r="F395" s="1096"/>
      <c r="G395" s="1096"/>
      <c r="H395" s="1096"/>
      <c r="I395" s="1096"/>
      <c r="J395" s="1096"/>
      <c r="K395" s="1096"/>
      <c r="L395" s="1096"/>
      <c r="M395" s="1096"/>
      <c r="N395" s="1096"/>
      <c r="O395" s="1096"/>
      <c r="P395" s="1096"/>
      <c r="Q395" s="1096"/>
      <c r="R395" s="1096"/>
      <c r="S395" s="1096"/>
      <c r="T395" s="1096"/>
      <c r="U395" s="1096"/>
      <c r="V395" s="1096"/>
      <c r="W395" s="1096"/>
      <c r="X395" s="1096"/>
      <c r="Y395" s="1096"/>
      <c r="Z395" s="1096"/>
      <c r="AA395" s="1096"/>
      <c r="AB395" s="1096"/>
      <c r="AC395" s="1096"/>
      <c r="AD395" s="1096"/>
      <c r="AE395" s="1096"/>
      <c r="AF395" s="1096"/>
      <c r="AG395" s="1096"/>
      <c r="AH395" s="1096"/>
      <c r="AI395" s="1096"/>
      <c r="AJ395" s="1096"/>
      <c r="AK395" s="1096"/>
      <c r="AL395" s="1096"/>
      <c r="AM395" s="1096"/>
      <c r="AN395" s="1096"/>
      <c r="AO395" s="1096"/>
      <c r="AP395" s="1096"/>
      <c r="AQ395" s="1096"/>
      <c r="AR395" s="1096"/>
      <c r="AS395" s="1096"/>
      <c r="AT395" s="1096"/>
      <c r="AU395" s="1096"/>
      <c r="AV395" s="1096"/>
      <c r="AW395" s="1096"/>
      <c r="AX395" s="1096"/>
      <c r="AY395" s="1096"/>
      <c r="AZ395" s="1096"/>
      <c r="BA395" s="1096"/>
      <c r="BB395" s="1096"/>
      <c r="BC395" s="1096"/>
      <c r="BD395" s="1096"/>
      <c r="BE395" s="1096"/>
      <c r="BF395" s="1096"/>
      <c r="BG395" s="1096"/>
      <c r="BH395" s="1096"/>
    </row>
    <row r="396" spans="1:60" ht="199.9" customHeight="1" thickTop="1" thickBot="1" x14ac:dyDescent="1.3">
      <c r="A396" s="1095" t="s">
        <v>173</v>
      </c>
      <c r="B396" s="1096"/>
      <c r="C396" s="1096"/>
      <c r="D396" s="1096"/>
      <c r="E396" s="1096"/>
      <c r="F396" s="1096"/>
      <c r="G396" s="1096"/>
      <c r="H396" s="1096"/>
      <c r="I396" s="1096"/>
      <c r="J396" s="1096"/>
      <c r="K396" s="1096"/>
      <c r="L396" s="1096"/>
      <c r="M396" s="1096"/>
      <c r="N396" s="1096"/>
      <c r="O396" s="1096"/>
      <c r="P396" s="1096"/>
      <c r="Q396" s="1096"/>
      <c r="R396" s="1096"/>
      <c r="S396" s="1096"/>
      <c r="T396" s="1096"/>
      <c r="U396" s="1096"/>
      <c r="V396" s="1096"/>
      <c r="W396" s="1096"/>
      <c r="X396" s="1096"/>
      <c r="Y396" s="1096"/>
      <c r="Z396" s="1096"/>
      <c r="AA396" s="1096"/>
      <c r="AB396" s="1096"/>
      <c r="AC396" s="1096"/>
      <c r="AD396" s="1096"/>
      <c r="AE396" s="1096"/>
      <c r="AF396" s="1096"/>
      <c r="AG396" s="1096"/>
      <c r="AH396" s="1096"/>
      <c r="AI396" s="1096"/>
      <c r="AJ396" s="1096"/>
      <c r="AK396" s="1096"/>
      <c r="AL396" s="1096"/>
      <c r="AM396" s="1096"/>
      <c r="AN396" s="1096"/>
      <c r="AO396" s="1096"/>
      <c r="AP396" s="1096"/>
      <c r="AQ396" s="1096"/>
      <c r="AR396" s="1096"/>
      <c r="AS396" s="1096"/>
      <c r="AT396" s="1096"/>
      <c r="AU396" s="1096"/>
      <c r="AV396" s="1096"/>
      <c r="AW396" s="1096"/>
      <c r="AX396" s="1096"/>
      <c r="AY396" s="1096"/>
      <c r="AZ396" s="1096"/>
      <c r="BA396" s="1096"/>
      <c r="BB396" s="1096"/>
      <c r="BC396" s="1096"/>
      <c r="BD396" s="1096"/>
      <c r="BE396" s="1096"/>
      <c r="BF396" s="1096"/>
      <c r="BG396" s="1096"/>
      <c r="BH396" s="1096"/>
    </row>
    <row r="397" spans="1:60" ht="199.9" customHeight="1" thickTop="1" thickBot="1" x14ac:dyDescent="1.3">
      <c r="A397" s="1095"/>
      <c r="B397" s="1096"/>
      <c r="C397" s="1096"/>
      <c r="D397" s="1096"/>
      <c r="E397" s="1096"/>
      <c r="F397" s="1096"/>
      <c r="G397" s="1096"/>
      <c r="H397" s="1096"/>
      <c r="I397" s="1096"/>
      <c r="J397" s="1096"/>
      <c r="K397" s="1096"/>
      <c r="L397" s="1096"/>
      <c r="M397" s="1096"/>
      <c r="N397" s="1096"/>
      <c r="O397" s="1096"/>
      <c r="P397" s="1096"/>
      <c r="Q397" s="1096"/>
      <c r="R397" s="1096"/>
      <c r="S397" s="1096"/>
      <c r="T397" s="1096"/>
      <c r="U397" s="1096"/>
      <c r="V397" s="1096"/>
      <c r="W397" s="1096"/>
      <c r="X397" s="1096"/>
      <c r="Y397" s="1096"/>
      <c r="Z397" s="1096"/>
      <c r="AA397" s="1096"/>
      <c r="AB397" s="1096"/>
      <c r="AC397" s="1096"/>
      <c r="AD397" s="1096"/>
      <c r="AE397" s="1096"/>
      <c r="AF397" s="1096"/>
      <c r="AG397" s="1096"/>
      <c r="AH397" s="1096"/>
      <c r="AI397" s="1096"/>
      <c r="AJ397" s="1096"/>
      <c r="AK397" s="1096"/>
      <c r="AL397" s="1096"/>
      <c r="AM397" s="1096"/>
      <c r="AN397" s="1096"/>
      <c r="AO397" s="1096"/>
      <c r="AP397" s="1096"/>
      <c r="AQ397" s="1096"/>
      <c r="AR397" s="1096"/>
      <c r="AS397" s="1096"/>
      <c r="AT397" s="1096"/>
      <c r="AU397" s="1096"/>
      <c r="AV397" s="1096"/>
      <c r="AW397" s="1096"/>
      <c r="AX397" s="1096"/>
      <c r="AY397" s="1096"/>
      <c r="AZ397" s="1096"/>
      <c r="BA397" s="1096"/>
      <c r="BB397" s="1096"/>
      <c r="BC397" s="1096"/>
      <c r="BD397" s="1096"/>
      <c r="BE397" s="1096"/>
      <c r="BF397" s="1096"/>
      <c r="BG397" s="1096"/>
      <c r="BH397" s="1096"/>
    </row>
    <row r="398" spans="1:60" ht="199.9" customHeight="1" thickTop="1" thickBot="1" x14ac:dyDescent="1.3">
      <c r="A398" s="1095"/>
      <c r="B398" s="1096"/>
      <c r="C398" s="1096"/>
      <c r="D398" s="1096"/>
      <c r="E398" s="1096"/>
      <c r="F398" s="1096"/>
      <c r="G398" s="1096"/>
      <c r="H398" s="1096"/>
      <c r="I398" s="1096"/>
      <c r="J398" s="1096"/>
      <c r="K398" s="1096"/>
      <c r="L398" s="1096"/>
      <c r="M398" s="1096"/>
      <c r="N398" s="1096"/>
      <c r="O398" s="1096"/>
      <c r="P398" s="1096"/>
      <c r="Q398" s="1096"/>
      <c r="R398" s="1096"/>
      <c r="S398" s="1096"/>
      <c r="T398" s="1096"/>
      <c r="U398" s="1096"/>
      <c r="V398" s="1096"/>
      <c r="W398" s="1096"/>
      <c r="X398" s="1096"/>
      <c r="Y398" s="1096"/>
      <c r="Z398" s="1096"/>
      <c r="AA398" s="1096"/>
      <c r="AB398" s="1096"/>
      <c r="AC398" s="1096"/>
      <c r="AD398" s="1096"/>
      <c r="AE398" s="1096"/>
      <c r="AF398" s="1096"/>
      <c r="AG398" s="1096"/>
      <c r="AH398" s="1096"/>
      <c r="AI398" s="1096"/>
      <c r="AJ398" s="1096"/>
      <c r="AK398" s="1096"/>
      <c r="AL398" s="1096"/>
      <c r="AM398" s="1096"/>
      <c r="AN398" s="1096"/>
      <c r="AO398" s="1096"/>
      <c r="AP398" s="1096"/>
      <c r="AQ398" s="1096"/>
      <c r="AR398" s="1096"/>
      <c r="AS398" s="1096"/>
      <c r="AT398" s="1096"/>
      <c r="AU398" s="1096"/>
      <c r="AV398" s="1096"/>
      <c r="AW398" s="1096"/>
      <c r="AX398" s="1096"/>
      <c r="AY398" s="1096"/>
      <c r="AZ398" s="1096"/>
      <c r="BA398" s="1096"/>
      <c r="BB398" s="1096"/>
      <c r="BC398" s="1096"/>
      <c r="BD398" s="1096"/>
      <c r="BE398" s="1096"/>
      <c r="BF398" s="1096"/>
      <c r="BG398" s="1096"/>
      <c r="BH398" s="1096"/>
    </row>
    <row r="399" spans="1:60" ht="199.9" customHeight="1" thickTop="1" thickBot="1" x14ac:dyDescent="1.3">
      <c r="A399" s="1095"/>
      <c r="B399" s="1096"/>
      <c r="C399" s="1096"/>
      <c r="D399" s="1096"/>
      <c r="E399" s="1096"/>
      <c r="F399" s="1096"/>
      <c r="G399" s="1096"/>
      <c r="H399" s="1096"/>
      <c r="I399" s="1096"/>
      <c r="J399" s="1096"/>
      <c r="K399" s="1096"/>
      <c r="L399" s="1096"/>
      <c r="M399" s="1096"/>
      <c r="N399" s="1096"/>
      <c r="O399" s="1096"/>
      <c r="P399" s="1096"/>
      <c r="Q399" s="1096"/>
      <c r="R399" s="1096"/>
      <c r="S399" s="1096"/>
      <c r="T399" s="1096"/>
      <c r="U399" s="1096"/>
      <c r="V399" s="1096"/>
      <c r="W399" s="1096"/>
      <c r="X399" s="1096"/>
      <c r="Y399" s="1096"/>
      <c r="Z399" s="1096"/>
      <c r="AA399" s="1096"/>
      <c r="AB399" s="1096"/>
      <c r="AC399" s="1096"/>
      <c r="AD399" s="1096"/>
      <c r="AE399" s="1096"/>
      <c r="AF399" s="1096"/>
      <c r="AG399" s="1096"/>
      <c r="AH399" s="1096"/>
      <c r="AI399" s="1096"/>
      <c r="AJ399" s="1096"/>
      <c r="AK399" s="1096"/>
      <c r="AL399" s="1096"/>
      <c r="AM399" s="1096"/>
      <c r="AN399" s="1096"/>
      <c r="AO399" s="1096"/>
      <c r="AP399" s="1096"/>
      <c r="AQ399" s="1096"/>
      <c r="AR399" s="1096"/>
      <c r="AS399" s="1096"/>
      <c r="AT399" s="1096"/>
      <c r="AU399" s="1096"/>
      <c r="AV399" s="1096"/>
      <c r="AW399" s="1096"/>
      <c r="AX399" s="1096"/>
      <c r="AY399" s="1096"/>
      <c r="AZ399" s="1096"/>
      <c r="BA399" s="1096"/>
      <c r="BB399" s="1096"/>
      <c r="BC399" s="1096"/>
      <c r="BD399" s="1096"/>
      <c r="BE399" s="1096"/>
      <c r="BF399" s="1096"/>
      <c r="BG399" s="1096"/>
      <c r="BH399" s="1096"/>
    </row>
    <row r="400" spans="1:60" ht="199.9" customHeight="1" thickTop="1" thickBot="1" x14ac:dyDescent="1.3">
      <c r="A400" s="1095"/>
      <c r="B400" s="1096"/>
      <c r="C400" s="1096"/>
      <c r="D400" s="1096"/>
      <c r="E400" s="1096"/>
      <c r="F400" s="1096"/>
      <c r="G400" s="1096"/>
      <c r="H400" s="1096"/>
      <c r="I400" s="1096"/>
      <c r="J400" s="1096"/>
      <c r="K400" s="1096"/>
      <c r="L400" s="1096"/>
      <c r="M400" s="1096"/>
      <c r="N400" s="1096"/>
      <c r="O400" s="1096"/>
      <c r="P400" s="1096"/>
      <c r="Q400" s="1096"/>
      <c r="R400" s="1096"/>
      <c r="S400" s="1096"/>
      <c r="T400" s="1096"/>
      <c r="U400" s="1096"/>
      <c r="V400" s="1096"/>
      <c r="W400" s="1096"/>
      <c r="X400" s="1096"/>
      <c r="Y400" s="1096"/>
      <c r="Z400" s="1096"/>
      <c r="AA400" s="1096"/>
      <c r="AB400" s="1096"/>
      <c r="AC400" s="1096"/>
      <c r="AD400" s="1096"/>
      <c r="AE400" s="1096"/>
      <c r="AF400" s="1096"/>
      <c r="AG400" s="1096"/>
      <c r="AH400" s="1096"/>
      <c r="AI400" s="1096"/>
      <c r="AJ400" s="1096"/>
      <c r="AK400" s="1096"/>
      <c r="AL400" s="1096"/>
      <c r="AM400" s="1096"/>
      <c r="AN400" s="1096"/>
      <c r="AO400" s="1096"/>
      <c r="AP400" s="1096"/>
      <c r="AQ400" s="1096"/>
      <c r="AR400" s="1096"/>
      <c r="AS400" s="1096"/>
      <c r="AT400" s="1096"/>
      <c r="AU400" s="1096"/>
      <c r="AV400" s="1096"/>
      <c r="AW400" s="1096"/>
      <c r="AX400" s="1096"/>
      <c r="AY400" s="1096"/>
      <c r="AZ400" s="1096"/>
      <c r="BA400" s="1096"/>
      <c r="BB400" s="1096"/>
      <c r="BC400" s="1096"/>
      <c r="BD400" s="1096"/>
      <c r="BE400" s="1096"/>
      <c r="BF400" s="1096"/>
      <c r="BG400" s="1096"/>
      <c r="BH400" s="1096"/>
    </row>
    <row r="401" spans="1:74" ht="199.9" customHeight="1" thickTop="1" thickBot="1" x14ac:dyDescent="1.3">
      <c r="A401" s="1095"/>
      <c r="B401" s="1096"/>
      <c r="C401" s="1096"/>
      <c r="D401" s="1096"/>
      <c r="E401" s="1096"/>
      <c r="F401" s="1096"/>
      <c r="G401" s="1096"/>
      <c r="H401" s="1096"/>
      <c r="I401" s="1096"/>
      <c r="J401" s="1096"/>
      <c r="K401" s="1096"/>
      <c r="L401" s="1096"/>
      <c r="M401" s="1096"/>
      <c r="N401" s="1096"/>
      <c r="O401" s="1096"/>
      <c r="P401" s="1096"/>
      <c r="Q401" s="1096"/>
      <c r="R401" s="1096"/>
      <c r="S401" s="1096"/>
      <c r="T401" s="1096"/>
      <c r="U401" s="1096"/>
      <c r="V401" s="1096"/>
      <c r="W401" s="1096"/>
      <c r="X401" s="1096"/>
      <c r="Y401" s="1096"/>
      <c r="Z401" s="1096"/>
      <c r="AA401" s="1096"/>
      <c r="AB401" s="1096"/>
      <c r="AC401" s="1096"/>
      <c r="AD401" s="1096"/>
      <c r="AE401" s="1096"/>
      <c r="AF401" s="1096"/>
      <c r="AG401" s="1096"/>
      <c r="AH401" s="1096"/>
      <c r="AI401" s="1096"/>
      <c r="AJ401" s="1096"/>
      <c r="AK401" s="1096"/>
      <c r="AL401" s="1096"/>
      <c r="AM401" s="1096"/>
      <c r="AN401" s="1096"/>
      <c r="AO401" s="1096"/>
      <c r="AP401" s="1096"/>
      <c r="AQ401" s="1096"/>
      <c r="AR401" s="1096"/>
      <c r="AS401" s="1096"/>
      <c r="AT401" s="1096"/>
      <c r="AU401" s="1096"/>
      <c r="AV401" s="1096"/>
      <c r="AW401" s="1096"/>
      <c r="AX401" s="1096"/>
      <c r="AY401" s="1096"/>
      <c r="AZ401" s="1096"/>
      <c r="BA401" s="1096"/>
      <c r="BB401" s="1096"/>
      <c r="BC401" s="1096"/>
      <c r="BD401" s="1096"/>
      <c r="BE401" s="1096"/>
      <c r="BF401" s="1096"/>
      <c r="BG401" s="1096"/>
      <c r="BH401" s="1096"/>
    </row>
    <row r="402" spans="1:74" ht="199.9" customHeight="1" thickTop="1" thickBot="1" x14ac:dyDescent="1.3">
      <c r="A402" s="1095"/>
      <c r="B402" s="1096"/>
      <c r="C402" s="1096"/>
      <c r="D402" s="1096"/>
      <c r="E402" s="1096"/>
      <c r="F402" s="1096"/>
      <c r="G402" s="1096"/>
      <c r="H402" s="1096"/>
      <c r="I402" s="1096"/>
      <c r="J402" s="1096"/>
      <c r="K402" s="1096"/>
      <c r="L402" s="1096"/>
      <c r="M402" s="1096"/>
      <c r="N402" s="1096"/>
      <c r="O402" s="1096"/>
      <c r="P402" s="1096"/>
      <c r="Q402" s="1096"/>
      <c r="R402" s="1096"/>
      <c r="S402" s="1096"/>
      <c r="T402" s="1096"/>
      <c r="U402" s="1096"/>
      <c r="V402" s="1096"/>
      <c r="W402" s="1096"/>
      <c r="X402" s="1096"/>
      <c r="Y402" s="1096"/>
      <c r="Z402" s="1096"/>
      <c r="AA402" s="1096"/>
      <c r="AB402" s="1096"/>
      <c r="AC402" s="1096"/>
      <c r="AD402" s="1096"/>
      <c r="AE402" s="1096"/>
      <c r="AF402" s="1096"/>
      <c r="AG402" s="1096"/>
      <c r="AH402" s="1096"/>
      <c r="AI402" s="1096"/>
      <c r="AJ402" s="1096"/>
      <c r="AK402" s="1096"/>
      <c r="AL402" s="1096"/>
      <c r="AM402" s="1096"/>
      <c r="AN402" s="1096"/>
      <c r="AO402" s="1096"/>
      <c r="AP402" s="1096"/>
      <c r="AQ402" s="1096"/>
      <c r="AR402" s="1096"/>
      <c r="AS402" s="1096"/>
      <c r="AT402" s="1096"/>
      <c r="AU402" s="1096"/>
      <c r="AV402" s="1096"/>
      <c r="AW402" s="1096"/>
      <c r="AX402" s="1096"/>
      <c r="AY402" s="1096"/>
      <c r="AZ402" s="1096"/>
      <c r="BA402" s="1096"/>
      <c r="BB402" s="1096"/>
      <c r="BC402" s="1096"/>
      <c r="BD402" s="1096"/>
      <c r="BE402" s="1096"/>
      <c r="BF402" s="1096"/>
      <c r="BG402" s="1096"/>
      <c r="BH402" s="1096"/>
    </row>
    <row r="403" spans="1:74" ht="199.9" customHeight="1" thickTop="1" thickBot="1" x14ac:dyDescent="1.3">
      <c r="A403" s="1095"/>
      <c r="B403" s="1096"/>
      <c r="C403" s="1096"/>
      <c r="D403" s="1096"/>
      <c r="E403" s="1096"/>
      <c r="F403" s="1096"/>
      <c r="G403" s="1096"/>
      <c r="H403" s="1096"/>
      <c r="I403" s="1096"/>
      <c r="J403" s="1096"/>
      <c r="K403" s="1096"/>
      <c r="L403" s="1096"/>
      <c r="M403" s="1096"/>
      <c r="N403" s="1096"/>
      <c r="O403" s="1096"/>
      <c r="P403" s="1096"/>
      <c r="Q403" s="1096"/>
      <c r="R403" s="1096"/>
      <c r="S403" s="1096"/>
      <c r="T403" s="1096"/>
      <c r="U403" s="1096"/>
      <c r="V403" s="1096"/>
      <c r="W403" s="1096"/>
      <c r="X403" s="1096"/>
      <c r="Y403" s="1096"/>
      <c r="Z403" s="1096"/>
      <c r="AA403" s="1096"/>
      <c r="AB403" s="1096"/>
      <c r="AC403" s="1096"/>
      <c r="AD403" s="1096"/>
      <c r="AE403" s="1096"/>
      <c r="AF403" s="1096"/>
      <c r="AG403" s="1096"/>
      <c r="AH403" s="1096"/>
      <c r="AI403" s="1096"/>
      <c r="AJ403" s="1096"/>
      <c r="AK403" s="1096"/>
      <c r="AL403" s="1096"/>
      <c r="AM403" s="1096"/>
      <c r="AN403" s="1096"/>
      <c r="AO403" s="1096"/>
      <c r="AP403" s="1096"/>
      <c r="AQ403" s="1096"/>
      <c r="AR403" s="1096"/>
      <c r="AS403" s="1096"/>
      <c r="AT403" s="1096"/>
      <c r="AU403" s="1096"/>
      <c r="AV403" s="1096"/>
      <c r="AW403" s="1096"/>
      <c r="AX403" s="1096"/>
      <c r="AY403" s="1096"/>
      <c r="AZ403" s="1096"/>
      <c r="BA403" s="1096"/>
      <c r="BB403" s="1096"/>
      <c r="BC403" s="1096"/>
      <c r="BD403" s="1096"/>
      <c r="BE403" s="1096"/>
      <c r="BF403" s="1096"/>
      <c r="BG403" s="1096"/>
      <c r="BH403" s="1096"/>
    </row>
    <row r="404" spans="1:74" ht="199.9" customHeight="1" thickTop="1" thickBot="1" x14ac:dyDescent="1.3">
      <c r="A404" s="1095"/>
      <c r="B404" s="1096"/>
      <c r="C404" s="1096"/>
      <c r="D404" s="1096"/>
      <c r="E404" s="1096"/>
      <c r="F404" s="1096"/>
      <c r="G404" s="1096"/>
      <c r="H404" s="1096"/>
      <c r="I404" s="1096"/>
      <c r="J404" s="1096"/>
      <c r="K404" s="1096"/>
      <c r="L404" s="1096"/>
      <c r="M404" s="1096"/>
      <c r="N404" s="1096"/>
      <c r="O404" s="1096"/>
      <c r="P404" s="1096"/>
      <c r="Q404" s="1096"/>
      <c r="R404" s="1096"/>
      <c r="S404" s="1096"/>
      <c r="T404" s="1096"/>
      <c r="U404" s="1096"/>
      <c r="V404" s="1096"/>
      <c r="W404" s="1096"/>
      <c r="X404" s="1096"/>
      <c r="Y404" s="1096"/>
      <c r="Z404" s="1096"/>
      <c r="AA404" s="1096"/>
      <c r="AB404" s="1096"/>
      <c r="AC404" s="1096"/>
      <c r="AD404" s="1096"/>
      <c r="AE404" s="1096"/>
      <c r="AF404" s="1096"/>
      <c r="AG404" s="1096"/>
      <c r="AH404" s="1096"/>
      <c r="AI404" s="1096"/>
      <c r="AJ404" s="1096"/>
      <c r="AK404" s="1096"/>
      <c r="AL404" s="1096"/>
      <c r="AM404" s="1096"/>
      <c r="AN404" s="1096"/>
      <c r="AO404" s="1096"/>
      <c r="AP404" s="1096"/>
      <c r="AQ404" s="1096"/>
      <c r="AR404" s="1096"/>
      <c r="AS404" s="1096"/>
      <c r="AT404" s="1096"/>
      <c r="AU404" s="1096"/>
      <c r="AV404" s="1096"/>
      <c r="AW404" s="1096"/>
      <c r="AX404" s="1096"/>
      <c r="AY404" s="1096"/>
      <c r="AZ404" s="1096"/>
      <c r="BA404" s="1096"/>
      <c r="BB404" s="1096"/>
      <c r="BC404" s="1096"/>
      <c r="BD404" s="1096"/>
      <c r="BE404" s="1096"/>
      <c r="BF404" s="1096"/>
      <c r="BG404" s="1096"/>
      <c r="BH404" s="1096"/>
    </row>
    <row r="409" spans="1:74" ht="199.9" customHeight="1" thickTop="1" thickBot="1" x14ac:dyDescent="1.3">
      <c r="BV409" s="513" t="s">
        <v>170</v>
      </c>
    </row>
    <row r="410" spans="1:74" ht="199.9" customHeight="1" x14ac:dyDescent="1.25"/>
    <row r="411" spans="1:74" ht="199.9" customHeight="1" x14ac:dyDescent="1.25"/>
    <row r="412" spans="1:74" ht="199.9" customHeight="1" x14ac:dyDescent="1.25"/>
    <row r="413" spans="1:74" ht="199.9" customHeight="1" x14ac:dyDescent="1.25"/>
    <row r="414" spans="1:74" ht="199.9" customHeight="1" x14ac:dyDescent="1.25"/>
    <row r="415" spans="1:74" ht="199.9" customHeight="1" x14ac:dyDescent="1.25"/>
    <row r="416" spans="1:74" ht="199.9" customHeight="1" x14ac:dyDescent="1.25"/>
  </sheetData>
  <mergeCells count="582">
    <mergeCell ref="A342:A343"/>
    <mergeCell ref="B342:B343"/>
    <mergeCell ref="C342:D342"/>
    <mergeCell ref="C277:D277"/>
    <mergeCell ref="C278:D278"/>
    <mergeCell ref="C279:D279"/>
    <mergeCell ref="C280:D280"/>
    <mergeCell ref="A333:A334"/>
    <mergeCell ref="B333:B334"/>
    <mergeCell ref="C333:D333"/>
    <mergeCell ref="C309:D309"/>
    <mergeCell ref="C310:D310"/>
    <mergeCell ref="C311:D311"/>
    <mergeCell ref="C312:D312"/>
    <mergeCell ref="C323:D323"/>
    <mergeCell ref="C292:D292"/>
    <mergeCell ref="C313:D313"/>
    <mergeCell ref="C314:D314"/>
    <mergeCell ref="A307:D307"/>
    <mergeCell ref="A317:A322"/>
    <mergeCell ref="B317:B318"/>
    <mergeCell ref="B319:B320"/>
    <mergeCell ref="C332:D332"/>
    <mergeCell ref="B321:B322"/>
    <mergeCell ref="BH344:BH345"/>
    <mergeCell ref="C345:D345"/>
    <mergeCell ref="A346:A347"/>
    <mergeCell ref="B346:B347"/>
    <mergeCell ref="C346:D346"/>
    <mergeCell ref="BH346:BH347"/>
    <mergeCell ref="C347:D347"/>
    <mergeCell ref="A348:A349"/>
    <mergeCell ref="B348:B349"/>
    <mergeCell ref="C348:D348"/>
    <mergeCell ref="BH348:BH349"/>
    <mergeCell ref="C349:D349"/>
    <mergeCell ref="A344:A345"/>
    <mergeCell ref="B344:B345"/>
    <mergeCell ref="C344:D344"/>
    <mergeCell ref="BH336:BH337"/>
    <mergeCell ref="C337:D337"/>
    <mergeCell ref="A338:A339"/>
    <mergeCell ref="B338:B339"/>
    <mergeCell ref="C338:D338"/>
    <mergeCell ref="BH338:BH339"/>
    <mergeCell ref="C339:D339"/>
    <mergeCell ref="A340:A341"/>
    <mergeCell ref="B340:B341"/>
    <mergeCell ref="C340:D340"/>
    <mergeCell ref="BH340:BH341"/>
    <mergeCell ref="C341:D341"/>
    <mergeCell ref="A336:A337"/>
    <mergeCell ref="B336:B337"/>
    <mergeCell ref="C336:D336"/>
    <mergeCell ref="BH342:BH343"/>
    <mergeCell ref="BH170:BH175"/>
    <mergeCell ref="C171:D171"/>
    <mergeCell ref="C172:D172"/>
    <mergeCell ref="C173:D173"/>
    <mergeCell ref="C174:D174"/>
    <mergeCell ref="C175:D175"/>
    <mergeCell ref="A155:A161"/>
    <mergeCell ref="C155:D155"/>
    <mergeCell ref="BH155:BH161"/>
    <mergeCell ref="C156:D156"/>
    <mergeCell ref="C157:D157"/>
    <mergeCell ref="C158:D158"/>
    <mergeCell ref="C159:D159"/>
    <mergeCell ref="C160:D160"/>
    <mergeCell ref="C161:D161"/>
    <mergeCell ref="A162:A168"/>
    <mergeCell ref="BF195:BG195"/>
    <mergeCell ref="BH212:BH213"/>
    <mergeCell ref="BH210:BH211"/>
    <mergeCell ref="C212:D212"/>
    <mergeCell ref="A214:A215"/>
    <mergeCell ref="B214:B215"/>
    <mergeCell ref="A212:A213"/>
    <mergeCell ref="A50:A51"/>
    <mergeCell ref="C84:D84"/>
    <mergeCell ref="A93:A101"/>
    <mergeCell ref="C111:D111"/>
    <mergeCell ref="C67:D67"/>
    <mergeCell ref="C114:D114"/>
    <mergeCell ref="C116:D116"/>
    <mergeCell ref="C86:D86"/>
    <mergeCell ref="C80:D80"/>
    <mergeCell ref="C81:D81"/>
    <mergeCell ref="C82:D82"/>
    <mergeCell ref="C55:D55"/>
    <mergeCell ref="A52:C52"/>
    <mergeCell ref="C70:D70"/>
    <mergeCell ref="C68:D68"/>
    <mergeCell ref="C58:D58"/>
    <mergeCell ref="B109:B111"/>
    <mergeCell ref="A77:B77"/>
    <mergeCell ref="B102:E102"/>
    <mergeCell ref="B103:B105"/>
    <mergeCell ref="A86:A92"/>
    <mergeCell ref="C97:D97"/>
    <mergeCell ref="C83:D83"/>
    <mergeCell ref="C89:D89"/>
    <mergeCell ref="A396:BH404"/>
    <mergeCell ref="A30:A37"/>
    <mergeCell ref="C30:D30"/>
    <mergeCell ref="C31:D31"/>
    <mergeCell ref="C85:D85"/>
    <mergeCell ref="C36:D36"/>
    <mergeCell ref="C37:D37"/>
    <mergeCell ref="BH31:BH37"/>
    <mergeCell ref="C32:D32"/>
    <mergeCell ref="C33:D33"/>
    <mergeCell ref="A387:BH395"/>
    <mergeCell ref="A378:BH386"/>
    <mergeCell ref="C74:D74"/>
    <mergeCell ref="C75:D75"/>
    <mergeCell ref="C69:D69"/>
    <mergeCell ref="C73:D73"/>
    <mergeCell ref="C62:D62"/>
    <mergeCell ref="C63:D63"/>
    <mergeCell ref="C65:D65"/>
    <mergeCell ref="C66:D66"/>
    <mergeCell ref="A48:A49"/>
    <mergeCell ref="A79:A85"/>
    <mergeCell ref="C79:D79"/>
    <mergeCell ref="A148:A154"/>
    <mergeCell ref="BH22:BH29"/>
    <mergeCell ref="C23:D23"/>
    <mergeCell ref="C24:D24"/>
    <mergeCell ref="C29:D29"/>
    <mergeCell ref="C15:D15"/>
    <mergeCell ref="C25:D25"/>
    <mergeCell ref="C26:D26"/>
    <mergeCell ref="C27:D27"/>
    <mergeCell ref="C28:D28"/>
    <mergeCell ref="C19:D19"/>
    <mergeCell ref="C20:D20"/>
    <mergeCell ref="C18:D18"/>
    <mergeCell ref="BH19:BH20"/>
    <mergeCell ref="E1:N1"/>
    <mergeCell ref="V1:AE1"/>
    <mergeCell ref="BA1:BH1"/>
    <mergeCell ref="AF1:AM1"/>
    <mergeCell ref="AN1:AZ1"/>
    <mergeCell ref="A1:D1"/>
    <mergeCell ref="A7:B8"/>
    <mergeCell ref="BH3:BH4"/>
    <mergeCell ref="C4:D4"/>
    <mergeCell ref="O1:U1"/>
    <mergeCell ref="A2:D2"/>
    <mergeCell ref="A3:B4"/>
    <mergeCell ref="C3:D3"/>
    <mergeCell ref="BH7:BH8"/>
    <mergeCell ref="C9:D9"/>
    <mergeCell ref="BH9:BH10"/>
    <mergeCell ref="C10:D10"/>
    <mergeCell ref="A5:B6"/>
    <mergeCell ref="C5:D5"/>
    <mergeCell ref="C6:D6"/>
    <mergeCell ref="BH5:BH6"/>
    <mergeCell ref="A17:B18"/>
    <mergeCell ref="C17:D17"/>
    <mergeCell ref="A15:B16"/>
    <mergeCell ref="A13:B14"/>
    <mergeCell ref="C13:D13"/>
    <mergeCell ref="A11:B12"/>
    <mergeCell ref="C8:D8"/>
    <mergeCell ref="C11:D11"/>
    <mergeCell ref="C7:D7"/>
    <mergeCell ref="BH13:BH14"/>
    <mergeCell ref="BH15:BH16"/>
    <mergeCell ref="C16:D16"/>
    <mergeCell ref="BH11:BH12"/>
    <mergeCell ref="C12:D12"/>
    <mergeCell ref="A9:B10"/>
    <mergeCell ref="C49:D49"/>
    <mergeCell ref="BH42:BH43"/>
    <mergeCell ref="BH17:BH18"/>
    <mergeCell ref="BH132:BH138"/>
    <mergeCell ref="B117:B118"/>
    <mergeCell ref="A115:A116"/>
    <mergeCell ref="B115:B116"/>
    <mergeCell ref="C115:D115"/>
    <mergeCell ref="A103:A104"/>
    <mergeCell ref="C60:D60"/>
    <mergeCell ref="A54:A60"/>
    <mergeCell ref="A61:A67"/>
    <mergeCell ref="A78:D78"/>
    <mergeCell ref="A69:A76"/>
    <mergeCell ref="C64:D64"/>
    <mergeCell ref="C76:D76"/>
    <mergeCell ref="C61:D61"/>
    <mergeCell ref="C56:D56"/>
    <mergeCell ref="C46:D46"/>
    <mergeCell ref="C47:D47"/>
    <mergeCell ref="A44:A45"/>
    <mergeCell ref="B44:B45"/>
    <mergeCell ref="A21:A29"/>
    <mergeCell ref="C21:D21"/>
    <mergeCell ref="C210:D210"/>
    <mergeCell ref="C185:D185"/>
    <mergeCell ref="C186:D186"/>
    <mergeCell ref="C187:D187"/>
    <mergeCell ref="C188:D188"/>
    <mergeCell ref="B208:B209"/>
    <mergeCell ref="A208:A209"/>
    <mergeCell ref="C180:D180"/>
    <mergeCell ref="C112:D112"/>
    <mergeCell ref="C113:D113"/>
    <mergeCell ref="C142:D142"/>
    <mergeCell ref="C143:D143"/>
    <mergeCell ref="C144:D144"/>
    <mergeCell ref="A177:D177"/>
    <mergeCell ref="B204:B205"/>
    <mergeCell ref="B210:B211"/>
    <mergeCell ref="C151:D151"/>
    <mergeCell ref="B206:B207"/>
    <mergeCell ref="C207:D207"/>
    <mergeCell ref="C181:D181"/>
    <mergeCell ref="A190:A191"/>
    <mergeCell ref="C190:D190"/>
    <mergeCell ref="C191:D191"/>
    <mergeCell ref="A112:A114"/>
    <mergeCell ref="C44:D44"/>
    <mergeCell ref="C45:D45"/>
    <mergeCell ref="A39:D39"/>
    <mergeCell ref="A46:A47"/>
    <mergeCell ref="B46:B47"/>
    <mergeCell ref="C35:D35"/>
    <mergeCell ref="C40:D40"/>
    <mergeCell ref="A40:A41"/>
    <mergeCell ref="C14:D14"/>
    <mergeCell ref="A42:A43"/>
    <mergeCell ref="C22:D22"/>
    <mergeCell ref="A19:B20"/>
    <mergeCell ref="BH139:BH145"/>
    <mergeCell ref="BH123:BH124"/>
    <mergeCell ref="S146:T146"/>
    <mergeCell ref="AK146:AL146"/>
    <mergeCell ref="A140:A145"/>
    <mergeCell ref="C34:D34"/>
    <mergeCell ref="C51:D51"/>
    <mergeCell ref="C54:D54"/>
    <mergeCell ref="C71:D71"/>
    <mergeCell ref="AK102:AL102"/>
    <mergeCell ref="C41:D41"/>
    <mergeCell ref="B40:B41"/>
    <mergeCell ref="B42:B43"/>
    <mergeCell ref="B48:B49"/>
    <mergeCell ref="C42:D42"/>
    <mergeCell ref="C43:D43"/>
    <mergeCell ref="C48:D48"/>
    <mergeCell ref="S102:T102"/>
    <mergeCell ref="B50:B51"/>
    <mergeCell ref="A53:D53"/>
    <mergeCell ref="C72:D72"/>
    <mergeCell ref="C57:D57"/>
    <mergeCell ref="BH79:BH85"/>
    <mergeCell ref="BF77:BG77"/>
    <mergeCell ref="BH148:BH154"/>
    <mergeCell ref="BH163:BH168"/>
    <mergeCell ref="C165:D165"/>
    <mergeCell ref="BH40:BH41"/>
    <mergeCell ref="BH117:BH118"/>
    <mergeCell ref="BH125:BH131"/>
    <mergeCell ref="BF146:BG146"/>
    <mergeCell ref="A123:A124"/>
    <mergeCell ref="C132:D132"/>
    <mergeCell ref="C138:D138"/>
    <mergeCell ref="C136:D136"/>
    <mergeCell ref="C137:D137"/>
    <mergeCell ref="AK121:AL121"/>
    <mergeCell ref="C135:D135"/>
    <mergeCell ref="A117:A118"/>
    <mergeCell ref="C133:D133"/>
    <mergeCell ref="C59:D59"/>
    <mergeCell ref="C50:D50"/>
    <mergeCell ref="C152:D152"/>
    <mergeCell ref="C168:D168"/>
    <mergeCell ref="C163:D163"/>
    <mergeCell ref="C153:D153"/>
    <mergeCell ref="C167:D167"/>
    <mergeCell ref="C166:D166"/>
    <mergeCell ref="B212:B213"/>
    <mergeCell ref="A210:A211"/>
    <mergeCell ref="S195:T195"/>
    <mergeCell ref="AK195:AL195"/>
    <mergeCell ref="BH208:BH209"/>
    <mergeCell ref="C208:D208"/>
    <mergeCell ref="C90:D90"/>
    <mergeCell ref="C91:D91"/>
    <mergeCell ref="C87:D87"/>
    <mergeCell ref="A133:A138"/>
    <mergeCell ref="A119:A120"/>
    <mergeCell ref="C125:D125"/>
    <mergeCell ref="C126:D126"/>
    <mergeCell ref="C99:D99"/>
    <mergeCell ref="C100:D100"/>
    <mergeCell ref="C101:D101"/>
    <mergeCell ref="C104:D104"/>
    <mergeCell ref="C108:D108"/>
    <mergeCell ref="C120:D120"/>
    <mergeCell ref="A122:D122"/>
    <mergeCell ref="A126:A131"/>
    <mergeCell ref="C197:D197"/>
    <mergeCell ref="C198:D198"/>
    <mergeCell ref="C182:D182"/>
    <mergeCell ref="BH214:BH215"/>
    <mergeCell ref="C215:D215"/>
    <mergeCell ref="A200:A201"/>
    <mergeCell ref="A202:A203"/>
    <mergeCell ref="A204:A205"/>
    <mergeCell ref="A206:A207"/>
    <mergeCell ref="B200:B201"/>
    <mergeCell ref="C270:D270"/>
    <mergeCell ref="C271:D271"/>
    <mergeCell ref="B202:B203"/>
    <mergeCell ref="A218:A219"/>
    <mergeCell ref="B218:B219"/>
    <mergeCell ref="B216:B217"/>
    <mergeCell ref="C224:D224"/>
    <mergeCell ref="C225:D225"/>
    <mergeCell ref="A221:D221"/>
    <mergeCell ref="BH218:BH219"/>
    <mergeCell ref="C219:D219"/>
    <mergeCell ref="BH241:BH247"/>
    <mergeCell ref="AA215:AC215"/>
    <mergeCell ref="C211:D211"/>
    <mergeCell ref="AJ220:AK220"/>
    <mergeCell ref="BF220:BG220"/>
    <mergeCell ref="C253:D253"/>
    <mergeCell ref="BF350:BG350"/>
    <mergeCell ref="C287:D287"/>
    <mergeCell ref="C317:D317"/>
    <mergeCell ref="C318:D318"/>
    <mergeCell ref="C319:D319"/>
    <mergeCell ref="C320:D320"/>
    <mergeCell ref="C321:D321"/>
    <mergeCell ref="C322:D322"/>
    <mergeCell ref="C295:D295"/>
    <mergeCell ref="C296:D296"/>
    <mergeCell ref="C297:D297"/>
    <mergeCell ref="C298:D298"/>
    <mergeCell ref="C299:D299"/>
    <mergeCell ref="C288:D288"/>
    <mergeCell ref="S335:T335"/>
    <mergeCell ref="AK335:AL335"/>
    <mergeCell ref="BF335:BG335"/>
    <mergeCell ref="C343:D343"/>
    <mergeCell ref="C289:D289"/>
    <mergeCell ref="C290:D290"/>
    <mergeCell ref="C293:D293"/>
    <mergeCell ref="C308:D308"/>
    <mergeCell ref="BF306:BG306"/>
    <mergeCell ref="C216:D216"/>
    <mergeCell ref="C217:D217"/>
    <mergeCell ref="C229:D229"/>
    <mergeCell ref="C230:D230"/>
    <mergeCell ref="C223:D223"/>
    <mergeCell ref="C231:D231"/>
    <mergeCell ref="S350:T350"/>
    <mergeCell ref="AK350:AL350"/>
    <mergeCell ref="C330:D330"/>
    <mergeCell ref="S306:T306"/>
    <mergeCell ref="AK306:AL306"/>
    <mergeCell ref="C300:D300"/>
    <mergeCell ref="B146:E146"/>
    <mergeCell ref="B176:E176"/>
    <mergeCell ref="C148:D148"/>
    <mergeCell ref="C213:D213"/>
    <mergeCell ref="C227:D227"/>
    <mergeCell ref="C228:D228"/>
    <mergeCell ref="BH269:BH274"/>
    <mergeCell ref="S260:T260"/>
    <mergeCell ref="C249:D249"/>
    <mergeCell ref="C250:D250"/>
    <mergeCell ref="C251:D251"/>
    <mergeCell ref="C252:D252"/>
    <mergeCell ref="C266:D266"/>
    <mergeCell ref="C269:D269"/>
    <mergeCell ref="BH248:BH253"/>
    <mergeCell ref="C272:D272"/>
    <mergeCell ref="C273:D273"/>
    <mergeCell ref="C267:D267"/>
    <mergeCell ref="C268:D268"/>
    <mergeCell ref="C263:D263"/>
    <mergeCell ref="C264:D264"/>
    <mergeCell ref="C248:D248"/>
    <mergeCell ref="C232:D232"/>
    <mergeCell ref="C226:D226"/>
    <mergeCell ref="B106:B108"/>
    <mergeCell ref="C92:D92"/>
    <mergeCell ref="C98:D98"/>
    <mergeCell ref="C193:D193"/>
    <mergeCell ref="A169:A175"/>
    <mergeCell ref="C169:D169"/>
    <mergeCell ref="C170:D170"/>
    <mergeCell ref="B112:B114"/>
    <mergeCell ref="B123:B124"/>
    <mergeCell ref="C129:D129"/>
    <mergeCell ref="B119:B120"/>
    <mergeCell ref="C119:D119"/>
    <mergeCell ref="C130:D130"/>
    <mergeCell ref="C162:D162"/>
    <mergeCell ref="C164:D164"/>
    <mergeCell ref="C154:D154"/>
    <mergeCell ref="C128:D128"/>
    <mergeCell ref="C189:D189"/>
    <mergeCell ref="C184:D184"/>
    <mergeCell ref="C131:D131"/>
    <mergeCell ref="A180:A181"/>
    <mergeCell ref="C149:D149"/>
    <mergeCell ref="C150:D150"/>
    <mergeCell ref="A147:D147"/>
    <mergeCell ref="A109:A111"/>
    <mergeCell ref="C145:D145"/>
    <mergeCell ref="C127:D127"/>
    <mergeCell ref="BH44:BH45"/>
    <mergeCell ref="BH50:BH51"/>
    <mergeCell ref="BH54:BH60"/>
    <mergeCell ref="BH69:BH76"/>
    <mergeCell ref="S77:T77"/>
    <mergeCell ref="AK77:AL77"/>
    <mergeCell ref="BF52:BG52"/>
    <mergeCell ref="AK52:AL52"/>
    <mergeCell ref="BH48:BH49"/>
    <mergeCell ref="BH46:BH47"/>
    <mergeCell ref="S52:T52"/>
    <mergeCell ref="Z52:AD52"/>
    <mergeCell ref="BH61:BH67"/>
    <mergeCell ref="C103:D103"/>
    <mergeCell ref="C88:D88"/>
    <mergeCell ref="C106:D106"/>
    <mergeCell ref="C107:D107"/>
    <mergeCell ref="C139:D139"/>
    <mergeCell ref="C140:D140"/>
    <mergeCell ref="C141:D141"/>
    <mergeCell ref="C117:D117"/>
    <mergeCell ref="BH222:BH228"/>
    <mergeCell ref="BH216:BH217"/>
    <mergeCell ref="BH86:BH92"/>
    <mergeCell ref="C134:D134"/>
    <mergeCell ref="BH115:BH116"/>
    <mergeCell ref="S121:T121"/>
    <mergeCell ref="BF121:BG121"/>
    <mergeCell ref="C93:D93"/>
    <mergeCell ref="C109:D109"/>
    <mergeCell ref="C110:D110"/>
    <mergeCell ref="C94:D94"/>
    <mergeCell ref="C95:D95"/>
    <mergeCell ref="C96:D96"/>
    <mergeCell ref="C118:D118"/>
    <mergeCell ref="C123:D123"/>
    <mergeCell ref="C124:D124"/>
    <mergeCell ref="BH98:BH101"/>
    <mergeCell ref="C105:D105"/>
    <mergeCell ref="BH93:BH97"/>
    <mergeCell ref="BH119:BH120"/>
    <mergeCell ref="C206:D206"/>
    <mergeCell ref="BF102:BG102"/>
    <mergeCell ref="C196:D196"/>
    <mergeCell ref="S176:T176"/>
    <mergeCell ref="AK176:AL176"/>
    <mergeCell ref="C209:D209"/>
    <mergeCell ref="BH333:BH334"/>
    <mergeCell ref="C334:D334"/>
    <mergeCell ref="A325:A326"/>
    <mergeCell ref="B325:B326"/>
    <mergeCell ref="C325:D325"/>
    <mergeCell ref="BH325:BH326"/>
    <mergeCell ref="C326:D326"/>
    <mergeCell ref="A327:A328"/>
    <mergeCell ref="B327:B328"/>
    <mergeCell ref="C327:D327"/>
    <mergeCell ref="BH327:BH328"/>
    <mergeCell ref="C328:D328"/>
    <mergeCell ref="A331:A332"/>
    <mergeCell ref="B331:B332"/>
    <mergeCell ref="C331:D331"/>
    <mergeCell ref="BH331:BH332"/>
    <mergeCell ref="C199:D199"/>
    <mergeCell ref="C200:D200"/>
    <mergeCell ref="BH329:BH330"/>
    <mergeCell ref="BH323:BH324"/>
    <mergeCell ref="BF176:BG176"/>
    <mergeCell ref="BH308:BH314"/>
    <mergeCell ref="BH294:BH299"/>
    <mergeCell ref="A38:C38"/>
    <mergeCell ref="S38:T38"/>
    <mergeCell ref="Z38:AD38"/>
    <mergeCell ref="AK38:AL38"/>
    <mergeCell ref="BF38:BG38"/>
    <mergeCell ref="S220:T220"/>
    <mergeCell ref="A106:A108"/>
    <mergeCell ref="C204:D204"/>
    <mergeCell ref="C205:D205"/>
    <mergeCell ref="C242:D242"/>
    <mergeCell ref="C291:D291"/>
    <mergeCell ref="C243:D243"/>
    <mergeCell ref="C244:D244"/>
    <mergeCell ref="C276:D276"/>
    <mergeCell ref="A196:A197"/>
    <mergeCell ref="A198:A199"/>
    <mergeCell ref="B196:B197"/>
    <mergeCell ref="B198:B199"/>
    <mergeCell ref="A241:A259"/>
    <mergeCell ref="C201:D201"/>
    <mergeCell ref="C202:D202"/>
    <mergeCell ref="C203:D203"/>
    <mergeCell ref="E121:H121"/>
    <mergeCell ref="A308:A314"/>
    <mergeCell ref="C194:D194"/>
    <mergeCell ref="BH301:BH305"/>
    <mergeCell ref="A329:A330"/>
    <mergeCell ref="B329:B330"/>
    <mergeCell ref="C329:D329"/>
    <mergeCell ref="C183:D183"/>
    <mergeCell ref="A185:A186"/>
    <mergeCell ref="A178:A179"/>
    <mergeCell ref="B178:B179"/>
    <mergeCell ref="C178:D178"/>
    <mergeCell ref="C179:D179"/>
    <mergeCell ref="C294:D294"/>
    <mergeCell ref="A216:A217"/>
    <mergeCell ref="C305:D305"/>
    <mergeCell ref="C324:D324"/>
    <mergeCell ref="A323:A324"/>
    <mergeCell ref="B323:B324"/>
    <mergeCell ref="C284:D284"/>
    <mergeCell ref="C285:D285"/>
    <mergeCell ref="C286:D286"/>
    <mergeCell ref="A287:A305"/>
    <mergeCell ref="C192:D192"/>
    <mergeCell ref="C262:D262"/>
    <mergeCell ref="B315:B316"/>
    <mergeCell ref="C315:D315"/>
    <mergeCell ref="C316:D316"/>
    <mergeCell ref="A315:A316"/>
    <mergeCell ref="BH275:BH280"/>
    <mergeCell ref="BH262:BH268"/>
    <mergeCell ref="BH229:BH234"/>
    <mergeCell ref="C245:D245"/>
    <mergeCell ref="C246:D246"/>
    <mergeCell ref="C247:D247"/>
    <mergeCell ref="A261:D261"/>
    <mergeCell ref="AK260:AL260"/>
    <mergeCell ref="C274:D274"/>
    <mergeCell ref="BF260:BG260"/>
    <mergeCell ref="C241:D241"/>
    <mergeCell ref="C275:D275"/>
    <mergeCell ref="C301:D301"/>
    <mergeCell ref="C302:D302"/>
    <mergeCell ref="C303:D303"/>
    <mergeCell ref="C304:D304"/>
    <mergeCell ref="C265:D265"/>
    <mergeCell ref="BH236:BH240"/>
    <mergeCell ref="BH255:BH259"/>
    <mergeCell ref="BH287:BH293"/>
    <mergeCell ref="B195:E195"/>
    <mergeCell ref="B220:E220"/>
    <mergeCell ref="A262:A286"/>
    <mergeCell ref="C254:D254"/>
    <mergeCell ref="C255:D255"/>
    <mergeCell ref="C256:D256"/>
    <mergeCell ref="C257:D257"/>
    <mergeCell ref="C258:D258"/>
    <mergeCell ref="C259:D259"/>
    <mergeCell ref="C235:D235"/>
    <mergeCell ref="C236:D236"/>
    <mergeCell ref="C237:D237"/>
    <mergeCell ref="C238:D238"/>
    <mergeCell ref="C239:D239"/>
    <mergeCell ref="C240:D240"/>
    <mergeCell ref="C281:D281"/>
    <mergeCell ref="C282:D282"/>
    <mergeCell ref="C283:D283"/>
    <mergeCell ref="A222:A240"/>
    <mergeCell ref="C214:D214"/>
    <mergeCell ref="C233:D233"/>
    <mergeCell ref="C234:D234"/>
    <mergeCell ref="C222:D222"/>
    <mergeCell ref="C218:D218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8" scale="10" fitToHeight="0" orientation="landscape" r:id="rId1"/>
  <rowBreaks count="12" manualBreakCount="12">
    <brk id="38" max="59" man="1"/>
    <brk id="52" max="59" man="1"/>
    <brk id="77" max="59" man="1"/>
    <brk id="102" max="59" man="1"/>
    <brk id="121" max="59" man="1"/>
    <brk id="146" max="59" man="1"/>
    <brk id="176" max="59" man="1"/>
    <brk id="195" max="59" man="1"/>
    <brk id="220" max="59" man="1"/>
    <brk id="260" max="59" man="1"/>
    <brk id="316" max="59" man="1"/>
    <brk id="335" max="59" man="1"/>
  </rowBreaks>
  <colBreaks count="1" manualBreakCount="1">
    <brk id="31" max="1048575" man="1"/>
  </colBreaks>
  <ignoredErrors>
    <ignoredError sqref="BG30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3">
    <tabColor theme="3" tint="-0.249977111117893"/>
    <pageSetUpPr fitToPage="1"/>
  </sheetPr>
  <dimension ref="A1:FO252"/>
  <sheetViews>
    <sheetView rightToLeft="1" tabSelected="1" view="pageBreakPreview" zoomScale="40" zoomScaleNormal="40" zoomScaleSheetLayoutView="40" workbookViewId="0">
      <pane xSplit="2" ySplit="10" topLeftCell="C116" activePane="bottomRight" state="frozen"/>
      <selection activeCell="BH340" sqref="BH340:BH341"/>
      <selection pane="topRight" activeCell="BH340" sqref="BH340:BH341"/>
      <selection pane="bottomLeft" activeCell="BH340" sqref="BH340:BH341"/>
      <selection pane="bottomRight" activeCell="C3" sqref="C3:I3"/>
    </sheetView>
  </sheetViews>
  <sheetFormatPr defaultColWidth="15.7109375" defaultRowHeight="35.1" customHeight="1" x14ac:dyDescent="0.4"/>
  <cols>
    <col min="1" max="1" width="21.5703125" style="275" customWidth="1"/>
    <col min="2" max="2" width="109.42578125" style="276" customWidth="1"/>
    <col min="3" max="3" width="15.7109375" style="277" customWidth="1"/>
    <col min="4" max="4" width="15.85546875" style="278" customWidth="1"/>
    <col min="5" max="5" width="20.5703125" style="278" customWidth="1"/>
    <col min="6" max="6" width="19.42578125" style="278" customWidth="1"/>
    <col min="7" max="7" width="25.5703125" style="279" bestFit="1" customWidth="1"/>
    <col min="8" max="8" width="21.28515625" style="279" bestFit="1" customWidth="1"/>
    <col min="9" max="9" width="24.5703125" style="279" customWidth="1"/>
    <col min="10" max="10" width="33.85546875" style="278" bestFit="1" customWidth="1"/>
    <col min="11" max="11" width="34.7109375" style="280" customWidth="1"/>
    <col min="12" max="12" width="28.28515625" style="275" bestFit="1" customWidth="1"/>
    <col min="13" max="13" width="27.7109375" style="275" customWidth="1"/>
    <col min="14" max="14" width="47" style="275" customWidth="1"/>
    <col min="15" max="15" width="32.42578125" style="224" customWidth="1"/>
    <col min="16" max="16" width="33.42578125" style="59" customWidth="1"/>
    <col min="17" max="161" width="15.7109375" style="59"/>
    <col min="162" max="162" width="15.85546875" style="59" bestFit="1" customWidth="1"/>
    <col min="163" max="163" width="37.7109375" style="59" bestFit="1" customWidth="1"/>
    <col min="164" max="173" width="15.85546875" style="59" bestFit="1" customWidth="1"/>
    <col min="174" max="16384" width="15.7109375" style="59"/>
  </cols>
  <sheetData>
    <row r="1" spans="1:171" ht="35.1" customHeight="1" x14ac:dyDescent="0.4">
      <c r="A1" s="218"/>
      <c r="B1" s="219"/>
      <c r="C1" s="220"/>
      <c r="D1" s="221"/>
      <c r="E1" s="221"/>
      <c r="F1" s="221"/>
      <c r="G1" s="222"/>
      <c r="H1" s="222"/>
      <c r="I1" s="222"/>
      <c r="J1" s="221"/>
      <c r="K1" s="223"/>
      <c r="L1" s="218"/>
      <c r="M1" s="218"/>
      <c r="N1" s="218"/>
    </row>
    <row r="2" spans="1:171" s="60" customFormat="1" ht="35.1" customHeight="1" x14ac:dyDescent="0.4">
      <c r="A2" s="1146" t="s">
        <v>0</v>
      </c>
      <c r="B2" s="1146"/>
      <c r="C2" s="1146" t="s">
        <v>809</v>
      </c>
      <c r="D2" s="1146"/>
      <c r="E2" s="1146"/>
      <c r="F2" s="1146"/>
      <c r="G2" s="1146"/>
      <c r="H2" s="1146"/>
      <c r="I2" s="1146"/>
      <c r="J2" s="1146" t="s">
        <v>810</v>
      </c>
      <c r="K2" s="1146"/>
      <c r="L2" s="1146"/>
      <c r="M2" s="1146"/>
      <c r="N2" s="1146"/>
      <c r="O2" s="555"/>
    </row>
    <row r="3" spans="1:171" s="60" customFormat="1" ht="35.1" customHeight="1" x14ac:dyDescent="0.4">
      <c r="A3" s="1146"/>
      <c r="B3" s="1146"/>
      <c r="C3" s="1146" t="s">
        <v>224</v>
      </c>
      <c r="D3" s="1146"/>
      <c r="E3" s="1146"/>
      <c r="F3" s="1146"/>
      <c r="G3" s="1146"/>
      <c r="H3" s="1146"/>
      <c r="I3" s="1146"/>
      <c r="J3" s="1146"/>
      <c r="K3" s="1146"/>
      <c r="L3" s="1146"/>
      <c r="M3" s="1146"/>
      <c r="N3" s="1146"/>
      <c r="O3" s="555"/>
    </row>
    <row r="4" spans="1:171" s="60" customFormat="1" ht="35.1" customHeight="1" x14ac:dyDescent="0.4">
      <c r="A4" s="1146" t="s">
        <v>2</v>
      </c>
      <c r="B4" s="1146"/>
      <c r="C4" s="1146" t="s">
        <v>229</v>
      </c>
      <c r="D4" s="1146"/>
      <c r="E4" s="1146"/>
      <c r="F4" s="1146"/>
      <c r="G4" s="1146"/>
      <c r="H4" s="1146"/>
      <c r="I4" s="1146"/>
      <c r="J4" s="1146"/>
      <c r="K4" s="1146"/>
      <c r="L4" s="1146"/>
      <c r="M4" s="1146"/>
      <c r="N4" s="1146"/>
      <c r="O4" s="555"/>
    </row>
    <row r="5" spans="1:171" s="60" customFormat="1" ht="35.1" customHeight="1" x14ac:dyDescent="0.4">
      <c r="A5" s="1146"/>
      <c r="B5" s="1146"/>
      <c r="C5" s="1146" t="s">
        <v>75</v>
      </c>
      <c r="D5" s="1146"/>
      <c r="E5" s="1146"/>
      <c r="F5" s="1146"/>
      <c r="G5" s="1146"/>
      <c r="H5" s="1146"/>
      <c r="I5" s="1146"/>
      <c r="J5" s="1147" t="s">
        <v>706</v>
      </c>
      <c r="K5" s="1147"/>
      <c r="L5" s="1147"/>
      <c r="M5" s="1147"/>
      <c r="N5" s="1147"/>
      <c r="O5" s="556"/>
    </row>
    <row r="6" spans="1:171" s="60" customFormat="1" ht="35.1" customHeight="1" x14ac:dyDescent="0.4">
      <c r="A6" s="1146" t="s">
        <v>3</v>
      </c>
      <c r="B6" s="1146"/>
      <c r="C6" s="1146" t="s">
        <v>155</v>
      </c>
      <c r="D6" s="1146"/>
      <c r="E6" s="1146"/>
      <c r="F6" s="1146"/>
      <c r="G6" s="1146"/>
      <c r="H6" s="1146"/>
      <c r="I6" s="1146"/>
      <c r="J6" s="1147"/>
      <c r="K6" s="1147"/>
      <c r="L6" s="1147"/>
      <c r="M6" s="1147"/>
      <c r="N6" s="1147"/>
      <c r="O6" s="556"/>
    </row>
    <row r="7" spans="1:171" s="60" customFormat="1" ht="42.6" customHeight="1" thickBot="1" x14ac:dyDescent="0.45">
      <c r="A7" s="1166"/>
      <c r="B7" s="1166"/>
      <c r="C7" s="1167" t="s">
        <v>230</v>
      </c>
      <c r="D7" s="1167"/>
      <c r="E7" s="1167"/>
      <c r="F7" s="1167"/>
      <c r="G7" s="1167"/>
      <c r="H7" s="1167"/>
      <c r="I7" s="1167"/>
      <c r="J7" s="1147" t="s">
        <v>756</v>
      </c>
      <c r="K7" s="1147"/>
      <c r="L7" s="1147"/>
      <c r="M7" s="1147"/>
      <c r="N7" s="1147"/>
      <c r="O7" s="556"/>
    </row>
    <row r="8" spans="1:171" s="227" customFormat="1" ht="35.1" customHeight="1" thickTop="1" x14ac:dyDescent="0.4">
      <c r="A8" s="1157" t="s">
        <v>4</v>
      </c>
      <c r="B8" s="1159" t="s">
        <v>5</v>
      </c>
      <c r="C8" s="1161" t="s">
        <v>6</v>
      </c>
      <c r="D8" s="1163" t="s">
        <v>7</v>
      </c>
      <c r="E8" s="1163" t="s">
        <v>8</v>
      </c>
      <c r="F8" s="1161" t="s">
        <v>9</v>
      </c>
      <c r="G8" s="1165" t="s">
        <v>10</v>
      </c>
      <c r="H8" s="1165"/>
      <c r="I8" s="1165"/>
      <c r="J8" s="225" t="s">
        <v>11</v>
      </c>
      <c r="K8" s="1151" t="s">
        <v>12</v>
      </c>
      <c r="L8" s="1153" t="s">
        <v>13</v>
      </c>
      <c r="M8" s="225" t="s">
        <v>14</v>
      </c>
      <c r="N8" s="1155" t="s">
        <v>15</v>
      </c>
      <c r="O8" s="226"/>
    </row>
    <row r="9" spans="1:171" s="227" customFormat="1" ht="35.1" customHeight="1" thickBot="1" x14ac:dyDescent="0.45">
      <c r="A9" s="1158"/>
      <c r="B9" s="1160"/>
      <c r="C9" s="1162"/>
      <c r="D9" s="1164"/>
      <c r="E9" s="1164"/>
      <c r="F9" s="1162"/>
      <c r="G9" s="228" t="s">
        <v>16</v>
      </c>
      <c r="H9" s="228" t="s">
        <v>17</v>
      </c>
      <c r="I9" s="228" t="s">
        <v>18</v>
      </c>
      <c r="J9" s="229" t="s">
        <v>19</v>
      </c>
      <c r="K9" s="1152"/>
      <c r="L9" s="1154"/>
      <c r="M9" s="229" t="s">
        <v>19</v>
      </c>
      <c r="N9" s="1156"/>
      <c r="O9" s="226"/>
      <c r="FL9" s="230"/>
      <c r="FM9" s="230"/>
      <c r="FN9" s="230"/>
      <c r="FO9" s="230"/>
    </row>
    <row r="10" spans="1:171" ht="42" customHeight="1" x14ac:dyDescent="0.4">
      <c r="A10" s="1145" t="s">
        <v>36</v>
      </c>
      <c r="B10" s="1145"/>
      <c r="C10" s="1145"/>
      <c r="D10" s="231"/>
      <c r="E10" s="232"/>
      <c r="F10" s="232"/>
      <c r="G10" s="233"/>
      <c r="H10" s="233"/>
      <c r="I10" s="233"/>
      <c r="J10" s="234"/>
      <c r="K10" s="235"/>
      <c r="L10" s="236"/>
      <c r="M10" s="236"/>
      <c r="N10" s="237"/>
      <c r="O10" s="237"/>
      <c r="FG10" s="61"/>
      <c r="FH10" s="62"/>
      <c r="FL10" s="63"/>
      <c r="FM10" s="63"/>
      <c r="FN10" s="63"/>
      <c r="FO10" s="63"/>
    </row>
    <row r="11" spans="1:171" ht="50.1" customHeight="1" x14ac:dyDescent="0.4">
      <c r="A11" s="238" t="s">
        <v>20</v>
      </c>
      <c r="B11" s="239" t="s">
        <v>612</v>
      </c>
      <c r="C11" s="240" t="s">
        <v>21</v>
      </c>
      <c r="D11" s="241">
        <v>965</v>
      </c>
      <c r="E11" s="241">
        <f>D11*54</f>
        <v>52110</v>
      </c>
      <c r="F11" s="241">
        <v>90</v>
      </c>
      <c r="G11" s="241">
        <v>65137</v>
      </c>
      <c r="H11" s="242">
        <f>I11-G11</f>
        <v>0</v>
      </c>
      <c r="I11" s="241">
        <v>65137</v>
      </c>
      <c r="J11" s="243">
        <f>F11*I11</f>
        <v>5862330</v>
      </c>
      <c r="K11" s="244">
        <v>1</v>
      </c>
      <c r="L11" s="243">
        <f>J11*(1-K11)</f>
        <v>0</v>
      </c>
      <c r="M11" s="243">
        <f>J11-L11</f>
        <v>5862330</v>
      </c>
      <c r="N11" s="245"/>
      <c r="O11" s="246">
        <f>I11/54</f>
        <v>1206.2407407407406</v>
      </c>
      <c r="FF11" s="159">
        <f>I11/E11</f>
        <v>1.2499904049126846</v>
      </c>
      <c r="FG11" s="64"/>
      <c r="FH11" s="65"/>
      <c r="FL11" s="63"/>
      <c r="FM11" s="63"/>
      <c r="FN11" s="63"/>
      <c r="FO11" s="63"/>
    </row>
    <row r="12" spans="1:171" ht="50.1" customHeight="1" x14ac:dyDescent="0.4">
      <c r="A12" s="238" t="s">
        <v>477</v>
      </c>
      <c r="B12" s="247" t="s">
        <v>613</v>
      </c>
      <c r="C12" s="240" t="s">
        <v>21</v>
      </c>
      <c r="D12" s="241">
        <v>250</v>
      </c>
      <c r="E12" s="241">
        <f>D12*54</f>
        <v>13500</v>
      </c>
      <c r="F12" s="241">
        <v>20</v>
      </c>
      <c r="G12" s="241">
        <v>16848</v>
      </c>
      <c r="H12" s="242">
        <f>I12-G12</f>
        <v>0</v>
      </c>
      <c r="I12" s="241">
        <f>'بيان الاعمال'!BH7</f>
        <v>16848</v>
      </c>
      <c r="J12" s="243">
        <f>F12*I12</f>
        <v>336960</v>
      </c>
      <c r="K12" s="244">
        <v>1</v>
      </c>
      <c r="L12" s="243">
        <f>J12*(1-K12)</f>
        <v>0</v>
      </c>
      <c r="M12" s="243">
        <f>J12-L12</f>
        <v>336960</v>
      </c>
      <c r="N12" s="245"/>
      <c r="O12" s="246">
        <f t="shared" ref="O12:O75" si="0">I12/54</f>
        <v>312</v>
      </c>
      <c r="FF12" s="159"/>
      <c r="FG12" s="64"/>
      <c r="FH12" s="65"/>
      <c r="FL12" s="63"/>
      <c r="FM12" s="63"/>
      <c r="FN12" s="63"/>
      <c r="FO12" s="63"/>
    </row>
    <row r="13" spans="1:171" ht="50.1" customHeight="1" x14ac:dyDescent="0.4">
      <c r="A13" s="238" t="s">
        <v>76</v>
      </c>
      <c r="B13" s="248" t="s">
        <v>614</v>
      </c>
      <c r="C13" s="240" t="s">
        <v>21</v>
      </c>
      <c r="D13" s="241">
        <v>281</v>
      </c>
      <c r="E13" s="241">
        <f>D13*54</f>
        <v>15174</v>
      </c>
      <c r="F13" s="241">
        <v>35</v>
      </c>
      <c r="G13" s="241">
        <v>18967</v>
      </c>
      <c r="H13" s="242">
        <f>I13-G13</f>
        <v>0</v>
      </c>
      <c r="I13" s="241">
        <v>18967</v>
      </c>
      <c r="J13" s="243">
        <f>F13*I13</f>
        <v>663845</v>
      </c>
      <c r="K13" s="244">
        <v>1</v>
      </c>
      <c r="L13" s="243">
        <f>J13*(1-K13)</f>
        <v>0</v>
      </c>
      <c r="M13" s="243">
        <f>J13-L13</f>
        <v>663845</v>
      </c>
      <c r="N13" s="245"/>
      <c r="O13" s="246">
        <f t="shared" si="0"/>
        <v>351.24074074074076</v>
      </c>
      <c r="FF13" s="159"/>
      <c r="FG13" s="64"/>
      <c r="FH13" s="160"/>
      <c r="FI13" s="160"/>
      <c r="FJ13" s="160"/>
      <c r="FK13" s="160"/>
      <c r="FL13" s="66"/>
      <c r="FM13" s="66"/>
      <c r="FN13" s="66"/>
      <c r="FO13" s="63"/>
    </row>
    <row r="14" spans="1:171" ht="59.25" customHeight="1" x14ac:dyDescent="0.4">
      <c r="A14" s="238" t="s">
        <v>227</v>
      </c>
      <c r="B14" s="248" t="s">
        <v>615</v>
      </c>
      <c r="C14" s="240" t="s">
        <v>21</v>
      </c>
      <c r="D14" s="241">
        <v>117</v>
      </c>
      <c r="E14" s="241">
        <f>D14*54</f>
        <v>6318</v>
      </c>
      <c r="F14" s="241">
        <v>40</v>
      </c>
      <c r="G14" s="241">
        <v>6875</v>
      </c>
      <c r="H14" s="242">
        <f>I14-G14</f>
        <v>0</v>
      </c>
      <c r="I14" s="241">
        <v>6875</v>
      </c>
      <c r="J14" s="243">
        <f>F14*I14</f>
        <v>275000</v>
      </c>
      <c r="K14" s="244">
        <v>1</v>
      </c>
      <c r="L14" s="243">
        <f>J14*(1-K14)</f>
        <v>0</v>
      </c>
      <c r="M14" s="243">
        <f>J14-L14</f>
        <v>275000</v>
      </c>
      <c r="N14" s="245"/>
      <c r="O14" s="246">
        <f t="shared" si="0"/>
        <v>127.31481481481481</v>
      </c>
      <c r="FF14" s="159">
        <f t="shared" ref="FF14:FF22" si="1">I14/E14</f>
        <v>1.0881608103830327</v>
      </c>
      <c r="FG14" s="64"/>
      <c r="FH14" s="160"/>
      <c r="FI14" s="160"/>
      <c r="FJ14" s="160"/>
      <c r="FK14" s="160"/>
      <c r="FL14" s="66"/>
      <c r="FM14" s="66"/>
      <c r="FN14" s="66"/>
      <c r="FO14" s="63"/>
    </row>
    <row r="15" spans="1:171" ht="50.1" customHeight="1" x14ac:dyDescent="0.4">
      <c r="A15" s="1145" t="s">
        <v>37</v>
      </c>
      <c r="B15" s="1145"/>
      <c r="C15" s="1145"/>
      <c r="D15" s="249"/>
      <c r="E15" s="250"/>
      <c r="F15" s="251"/>
      <c r="G15" s="251"/>
      <c r="H15" s="251"/>
      <c r="I15" s="251"/>
      <c r="J15" s="252"/>
      <c r="K15" s="235"/>
      <c r="L15" s="252"/>
      <c r="M15" s="252"/>
      <c r="N15" s="237"/>
      <c r="O15" s="246">
        <f t="shared" si="0"/>
        <v>0</v>
      </c>
      <c r="FF15" s="159"/>
      <c r="FG15" s="64"/>
      <c r="FH15" s="1150"/>
      <c r="FI15" s="1150"/>
      <c r="FJ15" s="1150"/>
      <c r="FK15" s="1150"/>
      <c r="FL15" s="1150"/>
      <c r="FM15" s="1150"/>
      <c r="FN15" s="1150"/>
    </row>
    <row r="16" spans="1:171" ht="50.1" customHeight="1" x14ac:dyDescent="0.4">
      <c r="A16" s="238" t="s">
        <v>52</v>
      </c>
      <c r="B16" s="239" t="s">
        <v>616</v>
      </c>
      <c r="C16" s="240" t="s">
        <v>21</v>
      </c>
      <c r="D16" s="241">
        <v>188</v>
      </c>
      <c r="E16" s="241">
        <f>D16*54</f>
        <v>10152</v>
      </c>
      <c r="F16" s="241">
        <v>4300</v>
      </c>
      <c r="G16" s="241">
        <v>10218</v>
      </c>
      <c r="H16" s="242">
        <f>I16-G16</f>
        <v>0</v>
      </c>
      <c r="I16" s="241">
        <f>FLOOR('بيان الاعمال'!BG14,1)</f>
        <v>10218</v>
      </c>
      <c r="J16" s="243">
        <f>F16*I16</f>
        <v>43937400</v>
      </c>
      <c r="K16" s="244">
        <v>1</v>
      </c>
      <c r="L16" s="243">
        <f>J16*(1-K16)</f>
        <v>0</v>
      </c>
      <c r="M16" s="243">
        <f>J16-L16</f>
        <v>43937400</v>
      </c>
      <c r="N16" s="245"/>
      <c r="O16" s="246">
        <f t="shared" si="0"/>
        <v>189.22222222222223</v>
      </c>
      <c r="FF16" s="159">
        <f t="shared" si="1"/>
        <v>1.0065011820330969</v>
      </c>
      <c r="FG16" s="64"/>
      <c r="FH16" s="1150"/>
      <c r="FI16" s="1150"/>
      <c r="FJ16" s="1150"/>
      <c r="FK16" s="1150"/>
      <c r="FL16" s="1150"/>
      <c r="FM16" s="1150"/>
      <c r="FN16" s="1150"/>
    </row>
    <row r="17" spans="1:170" ht="50.1" customHeight="1" x14ac:dyDescent="0.4">
      <c r="A17" s="238" t="s">
        <v>53</v>
      </c>
      <c r="B17" s="248" t="s">
        <v>617</v>
      </c>
      <c r="C17" s="240" t="s">
        <v>21</v>
      </c>
      <c r="D17" s="241">
        <v>200</v>
      </c>
      <c r="E17" s="241">
        <f>D17*54</f>
        <v>10800</v>
      </c>
      <c r="F17" s="241">
        <v>1800</v>
      </c>
      <c r="G17" s="241">
        <v>9445</v>
      </c>
      <c r="H17" s="242">
        <f>I17-G17</f>
        <v>0</v>
      </c>
      <c r="I17" s="241">
        <f>FLOOR(IF('بيان الاعمال'!BG16&lt;مستخلص!E17,'بيان الاعمال'!BG16,مستخلص!E17),1)</f>
        <v>9445</v>
      </c>
      <c r="J17" s="243">
        <f>F17*I17</f>
        <v>17001000</v>
      </c>
      <c r="K17" s="244">
        <v>1</v>
      </c>
      <c r="L17" s="243">
        <f>J17*(1-K17)</f>
        <v>0</v>
      </c>
      <c r="M17" s="243">
        <f>J17-L17</f>
        <v>17001000</v>
      </c>
      <c r="N17" s="245"/>
      <c r="O17" s="246">
        <f t="shared" si="0"/>
        <v>174.90740740740742</v>
      </c>
      <c r="FF17" s="159">
        <f t="shared" si="1"/>
        <v>0.874537037037037</v>
      </c>
      <c r="FG17" s="64"/>
      <c r="FH17" s="1150"/>
      <c r="FI17" s="1150"/>
      <c r="FJ17" s="1150"/>
      <c r="FK17" s="1150"/>
      <c r="FL17" s="1150"/>
      <c r="FM17" s="1150"/>
      <c r="FN17" s="1150"/>
    </row>
    <row r="18" spans="1:170" ht="50.1" customHeight="1" x14ac:dyDescent="0.4">
      <c r="A18" s="1145" t="s">
        <v>38</v>
      </c>
      <c r="B18" s="1145"/>
      <c r="C18" s="1145"/>
      <c r="D18" s="253"/>
      <c r="E18" s="250"/>
      <c r="F18" s="250"/>
      <c r="G18" s="252"/>
      <c r="H18" s="251"/>
      <c r="I18" s="252"/>
      <c r="J18" s="252"/>
      <c r="K18" s="254"/>
      <c r="L18" s="252"/>
      <c r="M18" s="252"/>
      <c r="N18" s="237"/>
      <c r="O18" s="246">
        <f t="shared" si="0"/>
        <v>0</v>
      </c>
      <c r="FF18" s="159"/>
      <c r="FG18" s="64"/>
      <c r="FH18" s="1150"/>
      <c r="FI18" s="1150"/>
      <c r="FJ18" s="1150"/>
      <c r="FK18" s="1150"/>
      <c r="FL18" s="1150"/>
      <c r="FM18" s="1150"/>
      <c r="FN18" s="1150"/>
    </row>
    <row r="19" spans="1:170" ht="50.1" customHeight="1" x14ac:dyDescent="0.4">
      <c r="A19" s="238" t="s">
        <v>239</v>
      </c>
      <c r="B19" s="255" t="s">
        <v>618</v>
      </c>
      <c r="C19" s="256" t="s">
        <v>22</v>
      </c>
      <c r="D19" s="257">
        <v>330</v>
      </c>
      <c r="E19" s="257">
        <f>D19*54</f>
        <v>17820</v>
      </c>
      <c r="F19" s="257">
        <v>360</v>
      </c>
      <c r="G19" s="258">
        <v>18770</v>
      </c>
      <c r="H19" s="242">
        <f>I19-G19</f>
        <v>0</v>
      </c>
      <c r="I19" s="241">
        <v>18770</v>
      </c>
      <c r="J19" s="243">
        <f>F19*I19</f>
        <v>6757200</v>
      </c>
      <c r="K19" s="244">
        <v>1</v>
      </c>
      <c r="L19" s="243">
        <f>J19*(1-K19)</f>
        <v>0</v>
      </c>
      <c r="M19" s="243">
        <f>J19-L19</f>
        <v>6757200</v>
      </c>
      <c r="N19" s="259"/>
      <c r="O19" s="246">
        <f t="shared" si="0"/>
        <v>347.59259259259261</v>
      </c>
      <c r="FF19" s="159"/>
      <c r="FG19" s="64"/>
      <c r="FH19" s="160"/>
      <c r="FI19" s="160"/>
      <c r="FJ19" s="160"/>
      <c r="FK19" s="160"/>
      <c r="FL19" s="160"/>
      <c r="FM19" s="160"/>
      <c r="FN19" s="160"/>
    </row>
    <row r="20" spans="1:170" ht="50.1" customHeight="1" x14ac:dyDescent="0.4">
      <c r="A20" s="238" t="s">
        <v>496</v>
      </c>
      <c r="B20" s="255" t="s">
        <v>619</v>
      </c>
      <c r="C20" s="256" t="s">
        <v>22</v>
      </c>
      <c r="D20" s="257">
        <v>330</v>
      </c>
      <c r="E20" s="257">
        <f>D20*54</f>
        <v>17820</v>
      </c>
      <c r="F20" s="257">
        <v>80</v>
      </c>
      <c r="G20" s="258">
        <v>18145</v>
      </c>
      <c r="H20" s="242">
        <f>I20-G20</f>
        <v>0</v>
      </c>
      <c r="I20" s="241">
        <f>ROUNDDOWN('بيان الاعمال'!BG20,1)</f>
        <v>18145</v>
      </c>
      <c r="J20" s="243">
        <f>F20*I20</f>
        <v>1451600</v>
      </c>
      <c r="K20" s="244">
        <v>1</v>
      </c>
      <c r="L20" s="243">
        <f>J20*(1-K20)</f>
        <v>0</v>
      </c>
      <c r="M20" s="243">
        <f>J20-L20</f>
        <v>1451600</v>
      </c>
      <c r="N20" s="259"/>
      <c r="O20" s="246">
        <f t="shared" si="0"/>
        <v>336.01851851851853</v>
      </c>
      <c r="FF20" s="159"/>
      <c r="FG20" s="64"/>
      <c r="FH20" s="160"/>
      <c r="FI20" s="160"/>
      <c r="FJ20" s="160"/>
      <c r="FK20" s="160"/>
      <c r="FL20" s="160"/>
      <c r="FM20" s="160"/>
      <c r="FN20" s="160"/>
    </row>
    <row r="21" spans="1:170" ht="50.45" customHeight="1" x14ac:dyDescent="0.4">
      <c r="A21" s="238" t="s">
        <v>235</v>
      </c>
      <c r="B21" s="248" t="s">
        <v>620</v>
      </c>
      <c r="C21" s="240" t="s">
        <v>21</v>
      </c>
      <c r="D21" s="257">
        <v>385</v>
      </c>
      <c r="E21" s="257">
        <f>D21*54</f>
        <v>20790</v>
      </c>
      <c r="F21" s="257">
        <v>5700</v>
      </c>
      <c r="G21" s="257">
        <v>20890</v>
      </c>
      <c r="H21" s="242">
        <f>I21-G21</f>
        <v>0</v>
      </c>
      <c r="I21" s="241">
        <v>20890</v>
      </c>
      <c r="J21" s="243">
        <f>F21*I21</f>
        <v>119073000</v>
      </c>
      <c r="K21" s="244">
        <v>1</v>
      </c>
      <c r="L21" s="243">
        <f>J21*(1-K21)</f>
        <v>0</v>
      </c>
      <c r="M21" s="243">
        <f>J21-L21</f>
        <v>119073000</v>
      </c>
      <c r="N21" s="245"/>
      <c r="O21" s="246">
        <f t="shared" si="0"/>
        <v>386.85185185185185</v>
      </c>
      <c r="FF21" s="159"/>
      <c r="FG21" s="64"/>
      <c r="FH21" s="160"/>
      <c r="FI21" s="160"/>
      <c r="FJ21" s="160"/>
      <c r="FK21" s="160"/>
      <c r="FL21" s="160"/>
      <c r="FM21" s="160"/>
      <c r="FN21" s="160"/>
    </row>
    <row r="22" spans="1:170" ht="50.1" customHeight="1" x14ac:dyDescent="0.4">
      <c r="A22" s="238" t="s">
        <v>77</v>
      </c>
      <c r="B22" s="248" t="s">
        <v>621</v>
      </c>
      <c r="C22" s="240" t="s">
        <v>21</v>
      </c>
      <c r="D22" s="257">
        <v>121</v>
      </c>
      <c r="E22" s="257">
        <f>D22*54</f>
        <v>6534</v>
      </c>
      <c r="F22" s="257">
        <v>8450</v>
      </c>
      <c r="G22" s="257">
        <v>6476</v>
      </c>
      <c r="H22" s="242">
        <f>I22-G22</f>
        <v>0</v>
      </c>
      <c r="I22" s="241">
        <f>FLOOR(IF('بيان الاعمال'!BH31&lt;مستخلص!E22,'بيان الاعمال'!BH31,مستخلص!E22),1)</f>
        <v>6476</v>
      </c>
      <c r="J22" s="243">
        <f>F22*I22</f>
        <v>54722200</v>
      </c>
      <c r="K22" s="244">
        <v>1</v>
      </c>
      <c r="L22" s="243">
        <f>J22*(1-K22)</f>
        <v>0</v>
      </c>
      <c r="M22" s="243">
        <f>J22-L22</f>
        <v>54722200</v>
      </c>
      <c r="N22" s="245"/>
      <c r="O22" s="246">
        <f t="shared" si="0"/>
        <v>119.92592592592592</v>
      </c>
      <c r="FF22" s="159">
        <f t="shared" si="1"/>
        <v>0.99112335475971836</v>
      </c>
      <c r="FG22" s="64"/>
      <c r="FH22" s="1150"/>
      <c r="FI22" s="1150"/>
      <c r="FJ22" s="1150"/>
      <c r="FK22" s="1150"/>
      <c r="FL22" s="1150"/>
      <c r="FM22" s="1150"/>
      <c r="FN22" s="1150"/>
    </row>
    <row r="23" spans="1:170" ht="60" customHeight="1" thickBot="1" x14ac:dyDescent="0.45">
      <c r="A23" s="1144" t="s">
        <v>23</v>
      </c>
      <c r="B23" s="1144"/>
      <c r="C23" s="1144"/>
      <c r="D23" s="1144"/>
      <c r="E23" s="1144"/>
      <c r="F23" s="1144"/>
      <c r="G23" s="1144"/>
      <c r="H23" s="1144"/>
      <c r="I23" s="1144"/>
      <c r="J23" s="236">
        <f>SUM(J11:J22)</f>
        <v>250080535</v>
      </c>
      <c r="K23" s="236"/>
      <c r="L23" s="236">
        <f>SUM(L11:L22)</f>
        <v>0</v>
      </c>
      <c r="M23" s="236">
        <f>SUM(M11:M22)</f>
        <v>250080535</v>
      </c>
      <c r="N23" s="236"/>
      <c r="O23" s="246">
        <f t="shared" si="0"/>
        <v>0</v>
      </c>
      <c r="FF23" s="159"/>
      <c r="FG23" s="67"/>
      <c r="FH23" s="160"/>
      <c r="FI23" s="160"/>
      <c r="FJ23" s="160"/>
      <c r="FK23" s="160"/>
      <c r="FL23" s="160"/>
      <c r="FM23" s="160"/>
      <c r="FN23" s="160"/>
    </row>
    <row r="24" spans="1:170" ht="35.1" customHeight="1" x14ac:dyDescent="0.4">
      <c r="A24" s="1139" t="s">
        <v>24</v>
      </c>
      <c r="B24" s="1139"/>
      <c r="C24" s="1139"/>
      <c r="D24" s="1139"/>
      <c r="E24" s="1139"/>
      <c r="F24" s="1139"/>
      <c r="G24" s="1139"/>
      <c r="H24" s="260"/>
      <c r="I24" s="260"/>
      <c r="J24" s="78"/>
      <c r="K24" s="78"/>
      <c r="L24" s="78"/>
      <c r="M24" s="162"/>
      <c r="N24" s="162"/>
      <c r="O24" s="246">
        <f t="shared" si="0"/>
        <v>0</v>
      </c>
      <c r="FF24" s="159"/>
      <c r="FH24" s="160"/>
      <c r="FI24" s="160"/>
      <c r="FJ24" s="160"/>
      <c r="FK24" s="160"/>
      <c r="FL24" s="160"/>
      <c r="FM24" s="160"/>
      <c r="FN24" s="160"/>
    </row>
    <row r="25" spans="1:170" ht="35.1" customHeight="1" x14ac:dyDescent="0.4">
      <c r="A25" s="261"/>
      <c r="B25" s="262" t="s">
        <v>25</v>
      </c>
      <c r="C25" s="1140" t="s">
        <v>26</v>
      </c>
      <c r="D25" s="1140"/>
      <c r="E25" s="1140"/>
      <c r="F25" s="1140"/>
      <c r="G25" s="1140"/>
      <c r="H25" s="1140"/>
      <c r="I25" s="1140"/>
      <c r="J25" s="1140"/>
      <c r="K25" s="1140"/>
      <c r="L25" s="1140"/>
      <c r="M25" s="1140"/>
      <c r="N25" s="1140"/>
      <c r="O25" s="246">
        <f t="shared" si="0"/>
        <v>0</v>
      </c>
      <c r="FF25" s="159"/>
      <c r="FH25" s="160"/>
      <c r="FI25" s="160"/>
      <c r="FJ25" s="160"/>
      <c r="FK25" s="160"/>
      <c r="FL25" s="160"/>
      <c r="FM25" s="160"/>
      <c r="FN25" s="160"/>
    </row>
    <row r="26" spans="1:170" ht="35.1" customHeight="1" x14ac:dyDescent="0.4">
      <c r="A26" s="263"/>
      <c r="B26" s="264"/>
      <c r="C26" s="265"/>
      <c r="D26" s="265"/>
      <c r="E26" s="265"/>
      <c r="F26" s="265"/>
      <c r="G26" s="266"/>
      <c r="H26" s="266"/>
      <c r="I26" s="266"/>
      <c r="J26" s="265"/>
      <c r="K26" s="267"/>
      <c r="L26" s="265"/>
      <c r="M26" s="265"/>
      <c r="N26" s="265"/>
      <c r="O26" s="246">
        <f t="shared" si="0"/>
        <v>0</v>
      </c>
      <c r="FF26" s="159"/>
      <c r="FH26" s="160"/>
      <c r="FI26" s="160"/>
      <c r="FJ26" s="160"/>
      <c r="FK26" s="160"/>
      <c r="FL26" s="160"/>
      <c r="FM26" s="160"/>
      <c r="FN26" s="160"/>
    </row>
    <row r="27" spans="1:170" ht="35.1" customHeight="1" x14ac:dyDescent="0.4">
      <c r="A27" s="1104" t="s">
        <v>27</v>
      </c>
      <c r="B27" s="1105"/>
      <c r="C27" s="1104" t="s">
        <v>61</v>
      </c>
      <c r="D27" s="1143"/>
      <c r="E27" s="1143"/>
      <c r="F27" s="1143"/>
      <c r="G27" s="1143"/>
      <c r="H27" s="1143"/>
      <c r="I27" s="1105"/>
      <c r="J27" s="1107" t="s">
        <v>62</v>
      </c>
      <c r="K27" s="1107"/>
      <c r="L27" s="1107"/>
      <c r="M27" s="1107"/>
      <c r="N27" s="1107"/>
      <c r="O27" s="246">
        <f t="shared" si="0"/>
        <v>0</v>
      </c>
      <c r="FF27" s="159"/>
      <c r="FH27" s="160"/>
      <c r="FI27" s="160"/>
      <c r="FJ27" s="160"/>
      <c r="FK27" s="160"/>
      <c r="FL27" s="160"/>
      <c r="FM27" s="160"/>
      <c r="FN27" s="160"/>
    </row>
    <row r="28" spans="1:170" ht="50.25" customHeight="1" x14ac:dyDescent="0.4">
      <c r="A28" s="1102" t="s">
        <v>513</v>
      </c>
      <c r="B28" s="1103"/>
      <c r="C28" s="1104" t="s">
        <v>28</v>
      </c>
      <c r="D28" s="1105"/>
      <c r="E28" s="1106" t="s">
        <v>63</v>
      </c>
      <c r="F28" s="1106"/>
      <c r="G28" s="1107" t="s">
        <v>557</v>
      </c>
      <c r="H28" s="1107"/>
      <c r="I28" s="1107"/>
      <c r="J28" s="762" t="s">
        <v>793</v>
      </c>
      <c r="K28" s="765" t="s">
        <v>512</v>
      </c>
      <c r="L28" s="1141" t="s">
        <v>795</v>
      </c>
      <c r="M28" s="1142"/>
      <c r="N28" s="756" t="s">
        <v>69</v>
      </c>
      <c r="O28" s="246">
        <f t="shared" si="0"/>
        <v>0</v>
      </c>
      <c r="FF28" s="159"/>
      <c r="FH28" s="160"/>
      <c r="FI28" s="160"/>
      <c r="FJ28" s="160"/>
      <c r="FK28" s="160"/>
      <c r="FL28" s="160"/>
      <c r="FM28" s="160"/>
      <c r="FN28" s="160"/>
    </row>
    <row r="29" spans="1:170" ht="35.1" customHeight="1" x14ac:dyDescent="0.4">
      <c r="A29" s="1110" t="s">
        <v>514</v>
      </c>
      <c r="B29" s="1111"/>
      <c r="C29" s="1112" t="s">
        <v>705</v>
      </c>
      <c r="D29" s="1113"/>
      <c r="E29" s="1107" t="s">
        <v>515</v>
      </c>
      <c r="F29" s="1107"/>
      <c r="G29" s="1107" t="s">
        <v>152</v>
      </c>
      <c r="H29" s="1107"/>
      <c r="I29" s="1104"/>
      <c r="J29" s="763" t="s">
        <v>322</v>
      </c>
      <c r="K29" s="764" t="s">
        <v>794</v>
      </c>
      <c r="L29" s="1104" t="s">
        <v>796</v>
      </c>
      <c r="M29" s="1105"/>
      <c r="N29" s="268" t="s">
        <v>739</v>
      </c>
      <c r="O29" s="246">
        <f t="shared" si="0"/>
        <v>0</v>
      </c>
      <c r="FF29" s="159"/>
      <c r="FH29" s="160"/>
      <c r="FI29" s="160"/>
      <c r="FJ29" s="160"/>
      <c r="FK29" s="160"/>
      <c r="FL29" s="160"/>
      <c r="FM29" s="160"/>
      <c r="FN29" s="160"/>
    </row>
    <row r="30" spans="1:170" ht="35.1" customHeight="1" x14ac:dyDescent="0.4">
      <c r="A30" s="133" t="s">
        <v>511</v>
      </c>
      <c r="B30" s="134" t="s">
        <v>565</v>
      </c>
      <c r="C30" s="68" t="s">
        <v>74</v>
      </c>
      <c r="D30" s="68"/>
      <c r="E30" s="69"/>
      <c r="F30" s="70"/>
      <c r="G30" s="68" t="s">
        <v>64</v>
      </c>
      <c r="H30" s="71"/>
      <c r="I30" s="69"/>
      <c r="J30" s="69" t="s">
        <v>64</v>
      </c>
      <c r="K30" s="766" t="s">
        <v>64</v>
      </c>
      <c r="L30" s="135" t="s">
        <v>70</v>
      </c>
      <c r="M30" s="68"/>
      <c r="N30" s="68" t="s">
        <v>70</v>
      </c>
      <c r="O30" s="246">
        <f t="shared" si="0"/>
        <v>0</v>
      </c>
      <c r="FF30" s="159"/>
      <c r="FH30" s="160"/>
      <c r="FI30" s="160"/>
      <c r="FJ30" s="160"/>
      <c r="FK30" s="160"/>
      <c r="FL30" s="160"/>
      <c r="FM30" s="160"/>
      <c r="FN30" s="160"/>
    </row>
    <row r="31" spans="1:170" ht="35.1" customHeight="1" x14ac:dyDescent="0.4">
      <c r="A31" s="72"/>
      <c r="B31" s="72"/>
      <c r="C31" s="71"/>
      <c r="D31" s="71"/>
      <c r="E31" s="71"/>
      <c r="F31" s="71"/>
      <c r="G31" s="71"/>
      <c r="H31" s="71"/>
      <c r="I31" s="71"/>
      <c r="J31" s="1135"/>
      <c r="K31" s="1135"/>
      <c r="L31" s="71"/>
      <c r="M31" s="1136" t="s">
        <v>65</v>
      </c>
      <c r="N31" s="1136"/>
      <c r="O31" s="246">
        <f t="shared" si="0"/>
        <v>0</v>
      </c>
      <c r="FF31" s="159"/>
      <c r="FH31" s="160"/>
      <c r="FI31" s="160"/>
      <c r="FJ31" s="160"/>
      <c r="FK31" s="160"/>
      <c r="FL31" s="160"/>
      <c r="FM31" s="160"/>
      <c r="FN31" s="160"/>
    </row>
    <row r="32" spans="1:170" ht="35.1" customHeight="1" x14ac:dyDescent="0.4">
      <c r="A32" s="72"/>
      <c r="B32" s="72"/>
      <c r="C32" s="71"/>
      <c r="D32" s="1100" t="s">
        <v>558</v>
      </c>
      <c r="E32" s="1100"/>
      <c r="F32" s="1100"/>
      <c r="G32" s="1100"/>
      <c r="H32" s="71"/>
      <c r="I32" s="71"/>
      <c r="J32" s="1132" t="s">
        <v>560</v>
      </c>
      <c r="K32" s="1133"/>
      <c r="L32" s="1134"/>
      <c r="M32" s="1137" t="s">
        <v>67</v>
      </c>
      <c r="N32" s="1138"/>
      <c r="O32" s="246">
        <f t="shared" si="0"/>
        <v>0</v>
      </c>
      <c r="FF32" s="159"/>
      <c r="FH32" s="160"/>
      <c r="FI32" s="160"/>
      <c r="FJ32" s="160"/>
      <c r="FK32" s="160"/>
      <c r="FL32" s="160"/>
      <c r="FM32" s="160"/>
      <c r="FN32" s="160"/>
    </row>
    <row r="33" spans="1:170" ht="35.1" customHeight="1" x14ac:dyDescent="0.4">
      <c r="A33" s="68"/>
      <c r="B33" s="73"/>
      <c r="C33" s="74"/>
      <c r="D33" s="1100" t="s">
        <v>153</v>
      </c>
      <c r="E33" s="1100"/>
      <c r="F33" s="1100"/>
      <c r="G33" s="1100"/>
      <c r="H33" s="68"/>
      <c r="I33" s="71"/>
      <c r="J33" s="1132" t="s">
        <v>797</v>
      </c>
      <c r="K33" s="1133"/>
      <c r="L33" s="1134"/>
      <c r="M33" s="1108" t="s">
        <v>481</v>
      </c>
      <c r="N33" s="1109"/>
      <c r="O33" s="246">
        <f t="shared" si="0"/>
        <v>0</v>
      </c>
      <c r="FF33" s="159"/>
      <c r="FH33" s="160"/>
      <c r="FI33" s="160"/>
      <c r="FJ33" s="160"/>
      <c r="FK33" s="160"/>
      <c r="FL33" s="160"/>
      <c r="FM33" s="160"/>
      <c r="FN33" s="160"/>
    </row>
    <row r="34" spans="1:170" ht="35.1" customHeight="1" x14ac:dyDescent="0.4">
      <c r="A34" s="75"/>
      <c r="B34" s="76"/>
      <c r="C34" s="77"/>
      <c r="D34" s="68" t="s">
        <v>233</v>
      </c>
      <c r="E34" s="78"/>
      <c r="F34" s="79"/>
      <c r="G34" s="75"/>
      <c r="H34" s="79"/>
      <c r="I34" s="71"/>
      <c r="J34" s="68" t="s">
        <v>231</v>
      </c>
      <c r="K34" s="78"/>
      <c r="L34" s="79"/>
      <c r="M34" s="80" t="s">
        <v>232</v>
      </c>
      <c r="N34" s="81"/>
      <c r="O34" s="246">
        <f t="shared" si="0"/>
        <v>0</v>
      </c>
      <c r="FF34" s="159"/>
      <c r="FH34" s="160"/>
      <c r="FI34" s="160"/>
      <c r="FJ34" s="160"/>
      <c r="FK34" s="160"/>
      <c r="FL34" s="160"/>
      <c r="FM34" s="160"/>
      <c r="FN34" s="160"/>
    </row>
    <row r="35" spans="1:170" ht="54.6" customHeight="1" x14ac:dyDescent="0.4">
      <c r="A35" s="1101" t="s">
        <v>31</v>
      </c>
      <c r="B35" s="1101"/>
      <c r="C35" s="1101"/>
      <c r="D35" s="1101"/>
      <c r="E35" s="1101"/>
      <c r="F35" s="1101"/>
      <c r="G35" s="1101"/>
      <c r="H35" s="1101"/>
      <c r="I35" s="1101"/>
      <c r="J35" s="243">
        <f>J23</f>
        <v>250080535</v>
      </c>
      <c r="K35" s="244"/>
      <c r="L35" s="243">
        <f>L23</f>
        <v>0</v>
      </c>
      <c r="M35" s="243">
        <f>M23</f>
        <v>250080535</v>
      </c>
      <c r="N35" s="245"/>
      <c r="O35" s="246">
        <f t="shared" si="0"/>
        <v>0</v>
      </c>
      <c r="FF35" s="159"/>
      <c r="FH35" s="160"/>
      <c r="FI35" s="160"/>
      <c r="FJ35" s="160"/>
      <c r="FK35" s="160"/>
      <c r="FL35" s="160"/>
      <c r="FM35" s="160"/>
      <c r="FN35" s="160"/>
    </row>
    <row r="36" spans="1:170" ht="50.1" customHeight="1" x14ac:dyDescent="0.4">
      <c r="A36" s="1145" t="s">
        <v>237</v>
      </c>
      <c r="B36" s="1145"/>
      <c r="C36" s="1145"/>
      <c r="D36" s="253"/>
      <c r="E36" s="250"/>
      <c r="F36" s="250"/>
      <c r="G36" s="252"/>
      <c r="H36" s="252"/>
      <c r="I36" s="252"/>
      <c r="J36" s="252"/>
      <c r="K36" s="235"/>
      <c r="L36" s="252"/>
      <c r="M36" s="252"/>
      <c r="N36" s="237"/>
      <c r="O36" s="246">
        <f t="shared" si="0"/>
        <v>0</v>
      </c>
      <c r="FF36" s="159"/>
      <c r="FH36" s="160"/>
      <c r="FI36" s="160"/>
      <c r="FJ36" s="160"/>
      <c r="FK36" s="160"/>
      <c r="FL36" s="160"/>
      <c r="FM36" s="160"/>
      <c r="FN36" s="160"/>
    </row>
    <row r="37" spans="1:170" ht="50.1" customHeight="1" x14ac:dyDescent="0.4">
      <c r="A37" s="238" t="s">
        <v>54</v>
      </c>
      <c r="B37" s="248" t="s">
        <v>502</v>
      </c>
      <c r="C37" s="240" t="s">
        <v>22</v>
      </c>
      <c r="D37" s="241">
        <v>330</v>
      </c>
      <c r="E37" s="241">
        <f>D37*54</f>
        <v>17820</v>
      </c>
      <c r="F37" s="241">
        <v>120</v>
      </c>
      <c r="G37" s="241">
        <v>18145</v>
      </c>
      <c r="H37" s="242">
        <f>I37-G37</f>
        <v>0</v>
      </c>
      <c r="I37" s="241">
        <f>ROUNDDOWN('بيان الاعمال'!BH40,1)</f>
        <v>18145</v>
      </c>
      <c r="J37" s="243">
        <f>F37*I37</f>
        <v>2177400</v>
      </c>
      <c r="K37" s="244">
        <v>1</v>
      </c>
      <c r="L37" s="243">
        <f>J37*(1-K37)</f>
        <v>0</v>
      </c>
      <c r="M37" s="243">
        <f>J37-L37</f>
        <v>2177400</v>
      </c>
      <c r="N37" s="245"/>
      <c r="O37" s="246">
        <f t="shared" si="0"/>
        <v>336.01851851851853</v>
      </c>
      <c r="FF37" s="159"/>
      <c r="FH37" s="160"/>
      <c r="FI37" s="160"/>
      <c r="FJ37" s="160"/>
      <c r="FK37" s="160"/>
      <c r="FL37" s="160"/>
      <c r="FM37" s="160"/>
      <c r="FN37" s="160"/>
    </row>
    <row r="38" spans="1:170" ht="50.1" customHeight="1" x14ac:dyDescent="0.4">
      <c r="A38" s="238" t="s">
        <v>55</v>
      </c>
      <c r="B38" s="248" t="s">
        <v>503</v>
      </c>
      <c r="C38" s="240" t="s">
        <v>22</v>
      </c>
      <c r="D38" s="241">
        <v>330</v>
      </c>
      <c r="E38" s="241">
        <f t="shared" ref="E38" si="2">D38*54</f>
        <v>17820</v>
      </c>
      <c r="F38" s="241">
        <v>90</v>
      </c>
      <c r="G38" s="241">
        <v>18145</v>
      </c>
      <c r="H38" s="242">
        <f>I38-G38</f>
        <v>0</v>
      </c>
      <c r="I38" s="241">
        <f>ROUNDDOWN('بيان الاعمال'!BG43,1)</f>
        <v>18145</v>
      </c>
      <c r="J38" s="243">
        <f>F38*I38</f>
        <v>1633050</v>
      </c>
      <c r="K38" s="244">
        <v>1</v>
      </c>
      <c r="L38" s="243">
        <f>J38*(1-K38)</f>
        <v>0</v>
      </c>
      <c r="M38" s="243">
        <f>J38-L38</f>
        <v>1633050</v>
      </c>
      <c r="N38" s="245"/>
      <c r="O38" s="246">
        <f t="shared" si="0"/>
        <v>336.01851851851853</v>
      </c>
      <c r="FF38" s="159"/>
      <c r="FH38" s="160"/>
      <c r="FI38" s="160"/>
      <c r="FJ38" s="160"/>
      <c r="FK38" s="160"/>
      <c r="FL38" s="160"/>
      <c r="FM38" s="160"/>
      <c r="FN38" s="160"/>
    </row>
    <row r="39" spans="1:170" ht="57" customHeight="1" x14ac:dyDescent="0.4">
      <c r="A39" s="238" t="s">
        <v>56</v>
      </c>
      <c r="B39" s="248" t="s">
        <v>455</v>
      </c>
      <c r="C39" s="240" t="s">
        <v>22</v>
      </c>
      <c r="D39" s="241">
        <v>106</v>
      </c>
      <c r="E39" s="241">
        <f>D39*54</f>
        <v>5724</v>
      </c>
      <c r="F39" s="241">
        <v>250</v>
      </c>
      <c r="G39" s="241">
        <v>5724</v>
      </c>
      <c r="H39" s="242">
        <f>I39-G39</f>
        <v>0</v>
      </c>
      <c r="I39" s="241">
        <f>FLOOR(IF('بيان الاعمال'!BH44&lt;مستخلص!E39,'بيان الاعمال'!BH44,مستخلص!E39),1)</f>
        <v>5724</v>
      </c>
      <c r="J39" s="243">
        <f>F39*I39</f>
        <v>1431000</v>
      </c>
      <c r="K39" s="244">
        <v>1</v>
      </c>
      <c r="L39" s="243">
        <f>J39*(1-K39)</f>
        <v>0</v>
      </c>
      <c r="M39" s="243">
        <f>J39-L39</f>
        <v>1431000</v>
      </c>
      <c r="N39" s="245"/>
      <c r="O39" s="246">
        <f t="shared" si="0"/>
        <v>106</v>
      </c>
      <c r="FF39" s="159"/>
      <c r="FH39" s="160"/>
      <c r="FI39" s="160"/>
      <c r="FJ39" s="160"/>
      <c r="FK39" s="160"/>
      <c r="FL39" s="160"/>
      <c r="FM39" s="160"/>
      <c r="FN39" s="160"/>
    </row>
    <row r="40" spans="1:170" ht="50.1" customHeight="1" x14ac:dyDescent="0.4">
      <c r="A40" s="238" t="s">
        <v>57</v>
      </c>
      <c r="B40" s="248" t="s">
        <v>68</v>
      </c>
      <c r="C40" s="240" t="s">
        <v>22</v>
      </c>
      <c r="D40" s="241">
        <v>795</v>
      </c>
      <c r="E40" s="241">
        <f>D40*54</f>
        <v>42930</v>
      </c>
      <c r="F40" s="241">
        <v>25</v>
      </c>
      <c r="G40" s="241">
        <v>43504</v>
      </c>
      <c r="H40" s="242">
        <f>I40-G40</f>
        <v>0</v>
      </c>
      <c r="I40" s="241">
        <f>FLOOR('بيان الاعمال'!BG47,1)</f>
        <v>43504</v>
      </c>
      <c r="J40" s="243">
        <f>F40*I40</f>
        <v>1087600</v>
      </c>
      <c r="K40" s="244">
        <v>1</v>
      </c>
      <c r="L40" s="243">
        <f>J40*(1-K40)</f>
        <v>0</v>
      </c>
      <c r="M40" s="243">
        <f>J40-L40</f>
        <v>1087600</v>
      </c>
      <c r="N40" s="245"/>
      <c r="O40" s="246">
        <f t="shared" si="0"/>
        <v>805.62962962962968</v>
      </c>
      <c r="FF40" s="159"/>
      <c r="FH40" s="160"/>
      <c r="FI40" s="160"/>
      <c r="FJ40" s="160"/>
      <c r="FK40" s="160"/>
      <c r="FL40" s="160"/>
      <c r="FM40" s="160"/>
      <c r="FN40" s="160"/>
    </row>
    <row r="41" spans="1:170" ht="50.1" customHeight="1" x14ac:dyDescent="0.4">
      <c r="A41" s="238" t="s">
        <v>58</v>
      </c>
      <c r="B41" s="248" t="s">
        <v>323</v>
      </c>
      <c r="C41" s="240" t="s">
        <v>22</v>
      </c>
      <c r="D41" s="241">
        <v>27</v>
      </c>
      <c r="E41" s="241">
        <f>D41*54</f>
        <v>1458</v>
      </c>
      <c r="F41" s="241">
        <v>55</v>
      </c>
      <c r="G41" s="241">
        <v>1458</v>
      </c>
      <c r="H41" s="242">
        <f>I41-G41</f>
        <v>0</v>
      </c>
      <c r="I41" s="241">
        <f>FLOOR('بيان الاعمال'!BG49,1)</f>
        <v>1458</v>
      </c>
      <c r="J41" s="243">
        <f>F41*I41</f>
        <v>80190</v>
      </c>
      <c r="K41" s="244">
        <v>1</v>
      </c>
      <c r="L41" s="243">
        <f>J41*(1-K41)</f>
        <v>0</v>
      </c>
      <c r="M41" s="243">
        <f>J41-L41</f>
        <v>80190</v>
      </c>
      <c r="N41" s="245"/>
      <c r="O41" s="246">
        <f t="shared" si="0"/>
        <v>27</v>
      </c>
      <c r="FF41" s="159"/>
      <c r="FH41" s="160"/>
      <c r="FI41" s="160"/>
      <c r="FJ41" s="160"/>
      <c r="FK41" s="160"/>
      <c r="FL41" s="160"/>
      <c r="FM41" s="160"/>
      <c r="FN41" s="160"/>
    </row>
    <row r="42" spans="1:170" ht="50.1" customHeight="1" x14ac:dyDescent="0.4">
      <c r="A42" s="1145" t="s">
        <v>204</v>
      </c>
      <c r="B42" s="1145"/>
      <c r="C42" s="1145"/>
      <c r="D42" s="253"/>
      <c r="E42" s="250"/>
      <c r="F42" s="250"/>
      <c r="G42" s="233"/>
      <c r="H42" s="251"/>
      <c r="I42" s="233"/>
      <c r="J42" s="252"/>
      <c r="K42" s="235"/>
      <c r="L42" s="252"/>
      <c r="M42" s="252"/>
      <c r="N42" s="237"/>
      <c r="O42" s="246">
        <f t="shared" si="0"/>
        <v>0</v>
      </c>
      <c r="FF42" s="159"/>
      <c r="FH42" s="160"/>
      <c r="FI42" s="160"/>
      <c r="FJ42" s="160"/>
      <c r="FK42" s="160"/>
      <c r="FL42" s="160"/>
      <c r="FM42" s="160"/>
      <c r="FN42" s="160"/>
    </row>
    <row r="43" spans="1:170" ht="50.1" customHeight="1" x14ac:dyDescent="0.4">
      <c r="A43" s="238" t="s">
        <v>200</v>
      </c>
      <c r="B43" s="248" t="s">
        <v>622</v>
      </c>
      <c r="C43" s="240" t="s">
        <v>21</v>
      </c>
      <c r="D43" s="241">
        <v>114</v>
      </c>
      <c r="E43" s="241">
        <f>D43*54</f>
        <v>6156</v>
      </c>
      <c r="F43" s="241">
        <v>700</v>
      </c>
      <c r="G43" s="241">
        <v>5685</v>
      </c>
      <c r="H43" s="242">
        <f>I43-G43</f>
        <v>0</v>
      </c>
      <c r="I43" s="241">
        <f>FLOOR(IF('بيان الاعمال'!BG51&lt;مستخلص!E43,'بيان الاعمال'!BG51,مستخلص!E43),1)</f>
        <v>5685</v>
      </c>
      <c r="J43" s="243">
        <f>F43*I43</f>
        <v>3979500</v>
      </c>
      <c r="K43" s="244">
        <v>1</v>
      </c>
      <c r="L43" s="243">
        <f>J43*(1-K43)</f>
        <v>0</v>
      </c>
      <c r="M43" s="243">
        <f>J43-L43</f>
        <v>3979500</v>
      </c>
      <c r="N43" s="245"/>
      <c r="O43" s="246">
        <f t="shared" si="0"/>
        <v>105.27777777777777</v>
      </c>
      <c r="FF43" s="159"/>
      <c r="FH43" s="160"/>
      <c r="FI43" s="160"/>
      <c r="FJ43" s="160"/>
      <c r="FK43" s="160"/>
      <c r="FL43" s="160"/>
      <c r="FM43" s="160"/>
      <c r="FN43" s="160"/>
    </row>
    <row r="44" spans="1:170" ht="63" customHeight="1" x14ac:dyDescent="0.4">
      <c r="A44" s="238" t="s">
        <v>201</v>
      </c>
      <c r="B44" s="248" t="s">
        <v>623</v>
      </c>
      <c r="C44" s="240" t="s">
        <v>21</v>
      </c>
      <c r="D44" s="241">
        <v>100</v>
      </c>
      <c r="E44" s="241">
        <f>D44*54</f>
        <v>5400</v>
      </c>
      <c r="F44" s="241">
        <v>810</v>
      </c>
      <c r="G44" s="241">
        <v>5209</v>
      </c>
      <c r="H44" s="242">
        <f>I44-G44</f>
        <v>0</v>
      </c>
      <c r="I44" s="241">
        <f>FLOOR(IF('بيان الاعمال'!BH54&lt;مستخلص!E44,'بيان الاعمال'!BH54,مستخلص!E44),1)</f>
        <v>5209</v>
      </c>
      <c r="J44" s="243">
        <f>F44*I44</f>
        <v>4219290</v>
      </c>
      <c r="K44" s="244">
        <v>1</v>
      </c>
      <c r="L44" s="243">
        <f>J44*(1-K44)</f>
        <v>0</v>
      </c>
      <c r="M44" s="243">
        <f>J44-L44</f>
        <v>4219290</v>
      </c>
      <c r="N44" s="245"/>
      <c r="O44" s="246">
        <f t="shared" si="0"/>
        <v>96.462962962962962</v>
      </c>
      <c r="FF44" s="159"/>
      <c r="FH44" s="238" t="s">
        <v>235</v>
      </c>
      <c r="FI44" s="248" t="s">
        <v>624</v>
      </c>
      <c r="FJ44" s="160"/>
      <c r="FK44" s="160"/>
      <c r="FL44" s="160"/>
      <c r="FM44" s="160"/>
      <c r="FN44" s="160"/>
    </row>
    <row r="45" spans="1:170" ht="50.1" customHeight="1" x14ac:dyDescent="0.4">
      <c r="A45" s="238" t="s">
        <v>202</v>
      </c>
      <c r="B45" s="248" t="s">
        <v>625</v>
      </c>
      <c r="C45" s="240" t="s">
        <v>22</v>
      </c>
      <c r="D45" s="241">
        <v>1700</v>
      </c>
      <c r="E45" s="241">
        <f>D45*54</f>
        <v>91800</v>
      </c>
      <c r="F45" s="241">
        <v>85</v>
      </c>
      <c r="G45" s="241">
        <v>90234</v>
      </c>
      <c r="H45" s="242">
        <f>I45-G45</f>
        <v>0</v>
      </c>
      <c r="I45" s="241">
        <f>FLOOR(IF('بيان الاعمال'!BH61&lt;مستخلص!E45,'بيان الاعمال'!BH61,مستخلص!E45),1)</f>
        <v>90234</v>
      </c>
      <c r="J45" s="243">
        <f>F45*I45</f>
        <v>7669890</v>
      </c>
      <c r="K45" s="244">
        <v>1</v>
      </c>
      <c r="L45" s="243">
        <f>J45*(1-K45)</f>
        <v>0</v>
      </c>
      <c r="M45" s="243">
        <f>J45-L45</f>
        <v>7669890</v>
      </c>
      <c r="N45" s="245"/>
      <c r="O45" s="246">
        <f t="shared" si="0"/>
        <v>1671</v>
      </c>
      <c r="FF45" s="159"/>
      <c r="FH45" s="160"/>
      <c r="FI45" s="160"/>
      <c r="FJ45" s="160"/>
      <c r="FK45" s="160"/>
      <c r="FL45" s="160"/>
      <c r="FM45" s="160"/>
      <c r="FN45" s="160"/>
    </row>
    <row r="46" spans="1:170" ht="64.5" customHeight="1" x14ac:dyDescent="0.4">
      <c r="A46" s="238" t="s">
        <v>203</v>
      </c>
      <c r="B46" s="248" t="s">
        <v>626</v>
      </c>
      <c r="C46" s="240" t="s">
        <v>22</v>
      </c>
      <c r="D46" s="241">
        <v>850</v>
      </c>
      <c r="E46" s="241">
        <f>D46*54</f>
        <v>45900</v>
      </c>
      <c r="F46" s="241">
        <v>110</v>
      </c>
      <c r="G46" s="241">
        <v>47088</v>
      </c>
      <c r="H46" s="242">
        <f>I46-G46</f>
        <v>0</v>
      </c>
      <c r="I46" s="241">
        <f>FLOOR(IF('بيان الاعمال'!BH69&gt;مستخلص!E46,'بيان الاعمال'!BH69,مستخلص!E46),1)</f>
        <v>47088</v>
      </c>
      <c r="J46" s="243">
        <f>F46*I46</f>
        <v>5179680</v>
      </c>
      <c r="K46" s="244">
        <v>1</v>
      </c>
      <c r="L46" s="243">
        <f>J46*(1-K46)</f>
        <v>0</v>
      </c>
      <c r="M46" s="243">
        <f>J46-L46</f>
        <v>5179680</v>
      </c>
      <c r="N46" s="323"/>
      <c r="O46" s="246">
        <f t="shared" si="0"/>
        <v>872</v>
      </c>
      <c r="FF46" s="159"/>
      <c r="FH46" s="160"/>
      <c r="FI46" s="160"/>
      <c r="FJ46" s="160"/>
      <c r="FK46" s="160"/>
      <c r="FL46" s="160"/>
      <c r="FM46" s="160"/>
      <c r="FN46" s="160"/>
    </row>
    <row r="47" spans="1:170" ht="60" customHeight="1" x14ac:dyDescent="0.4">
      <c r="A47" s="1144" t="s">
        <v>23</v>
      </c>
      <c r="B47" s="1144"/>
      <c r="C47" s="1144"/>
      <c r="D47" s="1144"/>
      <c r="E47" s="1144"/>
      <c r="F47" s="1144"/>
      <c r="G47" s="1144"/>
      <c r="H47" s="1144"/>
      <c r="I47" s="1144"/>
      <c r="J47" s="236">
        <f>SUM(J35:J46)</f>
        <v>277538135</v>
      </c>
      <c r="K47" s="236"/>
      <c r="L47" s="236">
        <f>SUM(L35:L46)</f>
        <v>0</v>
      </c>
      <c r="M47" s="236">
        <f>SUM(M35:M46)</f>
        <v>277538135</v>
      </c>
      <c r="N47" s="236"/>
      <c r="O47" s="246">
        <f t="shared" si="0"/>
        <v>0</v>
      </c>
      <c r="FG47" s="82">
        <f>SUM(K47:FF47)</f>
        <v>277538135</v>
      </c>
      <c r="FH47" s="1148">
        <f>SUM(M11:M46)</f>
        <v>777699205</v>
      </c>
      <c r="FI47" s="1149"/>
      <c r="FJ47" s="1149"/>
      <c r="FK47" s="1149"/>
      <c r="FL47" s="1149"/>
      <c r="FM47" s="1149"/>
      <c r="FN47" s="1149"/>
    </row>
    <row r="48" spans="1:170" ht="35.1" customHeight="1" x14ac:dyDescent="0.4">
      <c r="A48" s="1139" t="s">
        <v>24</v>
      </c>
      <c r="B48" s="1139"/>
      <c r="C48" s="1139"/>
      <c r="D48" s="1139"/>
      <c r="E48" s="1139"/>
      <c r="F48" s="1139"/>
      <c r="G48" s="1139"/>
      <c r="H48" s="260"/>
      <c r="I48" s="260"/>
      <c r="J48" s="78"/>
      <c r="K48" s="78"/>
      <c r="L48" s="78"/>
      <c r="M48" s="162"/>
      <c r="N48" s="162"/>
      <c r="O48" s="246">
        <f t="shared" si="0"/>
        <v>0</v>
      </c>
      <c r="FF48" s="159"/>
      <c r="FH48" s="160"/>
      <c r="FI48" s="160"/>
      <c r="FJ48" s="160"/>
      <c r="FK48" s="160"/>
      <c r="FL48" s="160"/>
      <c r="FM48" s="160"/>
      <c r="FN48" s="160"/>
    </row>
    <row r="49" spans="1:170" ht="35.1" customHeight="1" x14ac:dyDescent="0.4">
      <c r="A49" s="261"/>
      <c r="B49" s="262" t="s">
        <v>25</v>
      </c>
      <c r="C49" s="1140" t="s">
        <v>26</v>
      </c>
      <c r="D49" s="1140"/>
      <c r="E49" s="1140"/>
      <c r="F49" s="1140"/>
      <c r="G49" s="1140"/>
      <c r="H49" s="1140"/>
      <c r="I49" s="1140"/>
      <c r="J49" s="1140"/>
      <c r="K49" s="1140"/>
      <c r="L49" s="1140"/>
      <c r="M49" s="1140"/>
      <c r="N49" s="1140"/>
      <c r="O49" s="246">
        <f t="shared" si="0"/>
        <v>0</v>
      </c>
      <c r="FF49" s="159"/>
      <c r="FH49" s="160"/>
      <c r="FI49" s="160"/>
      <c r="FJ49" s="160"/>
      <c r="FK49" s="160"/>
      <c r="FL49" s="160"/>
      <c r="FM49" s="160"/>
      <c r="FN49" s="160"/>
    </row>
    <row r="50" spans="1:170" ht="35.1" customHeight="1" x14ac:dyDescent="0.4">
      <c r="A50" s="263"/>
      <c r="B50" s="264"/>
      <c r="C50" s="265"/>
      <c r="D50" s="265"/>
      <c r="E50" s="265"/>
      <c r="F50" s="265"/>
      <c r="G50" s="266"/>
      <c r="H50" s="266"/>
      <c r="I50" s="266"/>
      <c r="J50" s="265"/>
      <c r="K50" s="267"/>
      <c r="L50" s="265"/>
      <c r="M50" s="265"/>
      <c r="N50" s="265"/>
      <c r="O50" s="246">
        <f t="shared" si="0"/>
        <v>0</v>
      </c>
      <c r="FF50" s="159"/>
      <c r="FH50" s="160"/>
      <c r="FI50" s="160"/>
      <c r="FJ50" s="160"/>
      <c r="FK50" s="160"/>
      <c r="FL50" s="160"/>
      <c r="FM50" s="160"/>
      <c r="FN50" s="160"/>
    </row>
    <row r="51" spans="1:170" ht="35.1" customHeight="1" x14ac:dyDescent="0.4">
      <c r="A51" s="1104" t="s">
        <v>27</v>
      </c>
      <c r="B51" s="1105"/>
      <c r="C51" s="1104" t="s">
        <v>61</v>
      </c>
      <c r="D51" s="1143"/>
      <c r="E51" s="1143"/>
      <c r="F51" s="1143"/>
      <c r="G51" s="1143"/>
      <c r="H51" s="1143"/>
      <c r="I51" s="1105"/>
      <c r="J51" s="1107" t="s">
        <v>62</v>
      </c>
      <c r="K51" s="1107"/>
      <c r="L51" s="1107"/>
      <c r="M51" s="1107"/>
      <c r="N51" s="1107"/>
      <c r="O51" s="246">
        <f t="shared" si="0"/>
        <v>0</v>
      </c>
      <c r="FF51" s="159"/>
      <c r="FH51" s="160"/>
      <c r="FI51" s="160"/>
      <c r="FJ51" s="160"/>
      <c r="FK51" s="160"/>
      <c r="FL51" s="160"/>
      <c r="FM51" s="160"/>
      <c r="FN51" s="160"/>
    </row>
    <row r="52" spans="1:170" ht="50.25" customHeight="1" x14ac:dyDescent="0.4">
      <c r="A52" s="1102" t="s">
        <v>513</v>
      </c>
      <c r="B52" s="1103"/>
      <c r="C52" s="1104" t="s">
        <v>28</v>
      </c>
      <c r="D52" s="1105"/>
      <c r="E52" s="1106" t="s">
        <v>63</v>
      </c>
      <c r="F52" s="1106"/>
      <c r="G52" s="1107" t="s">
        <v>557</v>
      </c>
      <c r="H52" s="1107"/>
      <c r="I52" s="1107"/>
      <c r="J52" s="762" t="s">
        <v>793</v>
      </c>
      <c r="K52" s="765" t="s">
        <v>512</v>
      </c>
      <c r="L52" s="1141" t="s">
        <v>795</v>
      </c>
      <c r="M52" s="1142"/>
      <c r="N52" s="756" t="s">
        <v>69</v>
      </c>
      <c r="O52" s="246">
        <f t="shared" si="0"/>
        <v>0</v>
      </c>
      <c r="FF52" s="159"/>
      <c r="FH52" s="160"/>
      <c r="FI52" s="160"/>
      <c r="FJ52" s="160"/>
      <c r="FK52" s="160"/>
      <c r="FL52" s="160"/>
      <c r="FM52" s="160"/>
      <c r="FN52" s="160"/>
    </row>
    <row r="53" spans="1:170" ht="51.75" customHeight="1" x14ac:dyDescent="0.4">
      <c r="A53" s="1110" t="s">
        <v>514</v>
      </c>
      <c r="B53" s="1111"/>
      <c r="C53" s="1112" t="s">
        <v>701</v>
      </c>
      <c r="D53" s="1113"/>
      <c r="E53" s="1107" t="s">
        <v>515</v>
      </c>
      <c r="F53" s="1107"/>
      <c r="G53" s="1107" t="s">
        <v>152</v>
      </c>
      <c r="H53" s="1107"/>
      <c r="I53" s="1104"/>
      <c r="J53" s="763" t="s">
        <v>322</v>
      </c>
      <c r="K53" s="764" t="s">
        <v>794</v>
      </c>
      <c r="L53" s="1104" t="s">
        <v>796</v>
      </c>
      <c r="M53" s="1105"/>
      <c r="N53" s="268" t="s">
        <v>739</v>
      </c>
      <c r="O53" s="246">
        <f t="shared" si="0"/>
        <v>0</v>
      </c>
      <c r="FF53" s="159"/>
      <c r="FH53" s="160"/>
      <c r="FI53" s="160"/>
      <c r="FJ53" s="160"/>
      <c r="FK53" s="160"/>
      <c r="FL53" s="160"/>
      <c r="FM53" s="160"/>
      <c r="FN53" s="160"/>
    </row>
    <row r="54" spans="1:170" ht="35.1" customHeight="1" x14ac:dyDescent="0.4">
      <c r="A54" s="133" t="s">
        <v>511</v>
      </c>
      <c r="B54" s="134" t="s">
        <v>564</v>
      </c>
      <c r="C54" s="68" t="s">
        <v>74</v>
      </c>
      <c r="D54" s="68"/>
      <c r="E54" s="69"/>
      <c r="F54" s="70"/>
      <c r="G54" s="68" t="s">
        <v>64</v>
      </c>
      <c r="H54" s="71"/>
      <c r="I54" s="69"/>
      <c r="J54" s="69" t="s">
        <v>64</v>
      </c>
      <c r="K54" s="766" t="s">
        <v>64</v>
      </c>
      <c r="L54" s="135" t="s">
        <v>70</v>
      </c>
      <c r="M54" s="68"/>
      <c r="N54" s="68" t="s">
        <v>70</v>
      </c>
      <c r="O54" s="246">
        <f t="shared" si="0"/>
        <v>0</v>
      </c>
      <c r="FF54" s="159"/>
      <c r="FH54" s="160"/>
      <c r="FI54" s="160"/>
      <c r="FJ54" s="160"/>
      <c r="FK54" s="160"/>
      <c r="FL54" s="160"/>
      <c r="FM54" s="160"/>
      <c r="FN54" s="160"/>
    </row>
    <row r="55" spans="1:170" ht="35.1" customHeight="1" x14ac:dyDescent="0.4">
      <c r="A55" s="72"/>
      <c r="B55" s="72"/>
      <c r="C55" s="71"/>
      <c r="D55" s="71"/>
      <c r="E55" s="71"/>
      <c r="F55" s="71"/>
      <c r="G55" s="71"/>
      <c r="H55" s="71"/>
      <c r="I55" s="71"/>
      <c r="J55" s="1135"/>
      <c r="K55" s="1135"/>
      <c r="L55" s="71"/>
      <c r="M55" s="1136" t="s">
        <v>65</v>
      </c>
      <c r="N55" s="1136"/>
      <c r="O55" s="246">
        <f t="shared" si="0"/>
        <v>0</v>
      </c>
      <c r="FF55" s="159"/>
      <c r="FH55" s="160"/>
      <c r="FI55" s="160"/>
      <c r="FJ55" s="160"/>
      <c r="FK55" s="160"/>
      <c r="FL55" s="160"/>
      <c r="FM55" s="160"/>
      <c r="FN55" s="160"/>
    </row>
    <row r="56" spans="1:170" ht="35.1" customHeight="1" x14ac:dyDescent="0.4">
      <c r="A56" s="72"/>
      <c r="B56" s="72"/>
      <c r="C56" s="71"/>
      <c r="D56" s="1100" t="s">
        <v>558</v>
      </c>
      <c r="E56" s="1100"/>
      <c r="F56" s="1100"/>
      <c r="G56" s="1100"/>
      <c r="H56" s="71"/>
      <c r="I56" s="71"/>
      <c r="J56" s="1132" t="s">
        <v>560</v>
      </c>
      <c r="K56" s="1133"/>
      <c r="L56" s="1134"/>
      <c r="M56" s="1137" t="s">
        <v>67</v>
      </c>
      <c r="N56" s="1138"/>
      <c r="O56" s="246">
        <f t="shared" si="0"/>
        <v>0</v>
      </c>
      <c r="FF56" s="159"/>
      <c r="FH56" s="160"/>
      <c r="FI56" s="160"/>
      <c r="FJ56" s="160"/>
      <c r="FK56" s="160"/>
      <c r="FL56" s="160"/>
      <c r="FM56" s="160"/>
      <c r="FN56" s="160"/>
    </row>
    <row r="57" spans="1:170" ht="35.1" customHeight="1" x14ac:dyDescent="0.4">
      <c r="A57" s="68"/>
      <c r="B57" s="73"/>
      <c r="C57" s="74"/>
      <c r="D57" s="1100" t="s">
        <v>153</v>
      </c>
      <c r="E57" s="1100"/>
      <c r="F57" s="1100"/>
      <c r="G57" s="1100"/>
      <c r="H57" s="68"/>
      <c r="I57" s="71"/>
      <c r="J57" s="1132" t="s">
        <v>797</v>
      </c>
      <c r="K57" s="1133"/>
      <c r="L57" s="1134"/>
      <c r="M57" s="1108" t="s">
        <v>481</v>
      </c>
      <c r="N57" s="1109"/>
      <c r="O57" s="246">
        <f t="shared" si="0"/>
        <v>0</v>
      </c>
      <c r="FF57" s="159"/>
      <c r="FH57" s="160"/>
      <c r="FI57" s="160"/>
      <c r="FJ57" s="160"/>
      <c r="FK57" s="160"/>
      <c r="FL57" s="160"/>
      <c r="FM57" s="160"/>
      <c r="FN57" s="160"/>
    </row>
    <row r="58" spans="1:170" ht="35.1" customHeight="1" x14ac:dyDescent="0.4">
      <c r="A58" s="75"/>
      <c r="B58" s="76"/>
      <c r="C58" s="77"/>
      <c r="D58" s="68" t="s">
        <v>233</v>
      </c>
      <c r="E58" s="78"/>
      <c r="F58" s="79"/>
      <c r="G58" s="75"/>
      <c r="H58" s="79"/>
      <c r="I58" s="71"/>
      <c r="J58" s="68" t="s">
        <v>231</v>
      </c>
      <c r="K58" s="78"/>
      <c r="L58" s="79"/>
      <c r="M58" s="757" t="s">
        <v>232</v>
      </c>
      <c r="N58" s="81"/>
      <c r="O58" s="246">
        <f t="shared" si="0"/>
        <v>0</v>
      </c>
      <c r="FF58" s="159"/>
      <c r="FH58" s="160"/>
      <c r="FI58" s="160"/>
      <c r="FJ58" s="160"/>
      <c r="FK58" s="160"/>
      <c r="FL58" s="160"/>
      <c r="FM58" s="160"/>
      <c r="FN58" s="160"/>
    </row>
    <row r="59" spans="1:170" ht="35.1" customHeight="1" x14ac:dyDescent="0.4">
      <c r="A59" s="75"/>
      <c r="B59" s="76"/>
      <c r="C59" s="77"/>
      <c r="D59" s="68"/>
      <c r="E59" s="78"/>
      <c r="F59" s="79"/>
      <c r="G59" s="75"/>
      <c r="H59" s="79"/>
      <c r="I59" s="71"/>
      <c r="J59" s="68"/>
      <c r="K59" s="78"/>
      <c r="L59" s="79"/>
      <c r="M59" s="80"/>
      <c r="N59" s="81"/>
      <c r="O59" s="246">
        <f t="shared" si="0"/>
        <v>0</v>
      </c>
      <c r="FF59" s="159"/>
      <c r="FH59" s="160"/>
      <c r="FI59" s="160"/>
      <c r="FJ59" s="160"/>
      <c r="FK59" s="160"/>
      <c r="FL59" s="160"/>
      <c r="FM59" s="160"/>
      <c r="FN59" s="160"/>
    </row>
    <row r="60" spans="1:170" ht="35.1" customHeight="1" x14ac:dyDescent="0.4">
      <c r="A60" s="1101" t="s">
        <v>31</v>
      </c>
      <c r="B60" s="1101"/>
      <c r="C60" s="1101"/>
      <c r="D60" s="1101"/>
      <c r="E60" s="1101"/>
      <c r="F60" s="1101"/>
      <c r="G60" s="1101"/>
      <c r="H60" s="1101"/>
      <c r="I60" s="1101"/>
      <c r="J60" s="243">
        <f>J47</f>
        <v>277538135</v>
      </c>
      <c r="K60" s="244"/>
      <c r="L60" s="243">
        <f>L47</f>
        <v>0</v>
      </c>
      <c r="M60" s="243">
        <f>M47</f>
        <v>277538135</v>
      </c>
      <c r="N60" s="245"/>
      <c r="O60" s="246">
        <f t="shared" si="0"/>
        <v>0</v>
      </c>
      <c r="FF60" s="159"/>
      <c r="FH60" s="160"/>
      <c r="FI60" s="160"/>
      <c r="FJ60" s="160"/>
      <c r="FK60" s="160"/>
      <c r="FL60" s="160"/>
      <c r="FM60" s="160"/>
      <c r="FN60" s="160"/>
    </row>
    <row r="61" spans="1:170" ht="35.1" customHeight="1" x14ac:dyDescent="0.4">
      <c r="A61" s="1145" t="s">
        <v>353</v>
      </c>
      <c r="B61" s="1145"/>
      <c r="C61" s="1145"/>
      <c r="D61" s="253"/>
      <c r="E61" s="250"/>
      <c r="F61" s="250"/>
      <c r="G61" s="252"/>
      <c r="H61" s="252"/>
      <c r="I61" s="252"/>
      <c r="J61" s="252"/>
      <c r="K61" s="235"/>
      <c r="L61" s="252"/>
      <c r="M61" s="252"/>
      <c r="N61" s="237"/>
      <c r="O61" s="246">
        <f t="shared" si="0"/>
        <v>0</v>
      </c>
      <c r="FF61" s="159"/>
      <c r="FH61" s="160"/>
      <c r="FI61" s="160"/>
      <c r="FJ61" s="160"/>
      <c r="FK61" s="160"/>
      <c r="FL61" s="160"/>
      <c r="FM61" s="160"/>
      <c r="FN61" s="160"/>
    </row>
    <row r="62" spans="1:170" ht="61.9" customHeight="1" x14ac:dyDescent="0.4">
      <c r="A62" s="238" t="s">
        <v>46</v>
      </c>
      <c r="B62" s="248" t="s">
        <v>354</v>
      </c>
      <c r="C62" s="240" t="s">
        <v>22</v>
      </c>
      <c r="D62" s="241">
        <v>3850</v>
      </c>
      <c r="E62" s="241">
        <f>D62*54</f>
        <v>207900</v>
      </c>
      <c r="F62" s="241">
        <v>50</v>
      </c>
      <c r="G62" s="241">
        <v>209891</v>
      </c>
      <c r="H62" s="242">
        <f t="shared" ref="H62:H73" si="3">I62-G62</f>
        <v>0</v>
      </c>
      <c r="I62" s="269">
        <f>ROUNDDOWN('بيان الاعمال'!BH79,0.1)</f>
        <v>209891</v>
      </c>
      <c r="J62" s="243">
        <f>F62*I62</f>
        <v>10494550</v>
      </c>
      <c r="K62" s="244">
        <v>1</v>
      </c>
      <c r="L62" s="243">
        <f t="shared" ref="L62:L73" si="4">J62*(1-K62)</f>
        <v>0</v>
      </c>
      <c r="M62" s="243">
        <f t="shared" ref="M62:M73" si="5">J62-L62</f>
        <v>10494550</v>
      </c>
      <c r="N62" s="245"/>
      <c r="O62" s="246">
        <f t="shared" si="0"/>
        <v>3886.8703703703704</v>
      </c>
      <c r="FF62" s="159"/>
      <c r="FH62" s="160"/>
      <c r="FI62" s="160"/>
      <c r="FJ62" s="160"/>
      <c r="FK62" s="160"/>
      <c r="FL62" s="160"/>
      <c r="FM62" s="160"/>
      <c r="FN62" s="160"/>
    </row>
    <row r="63" spans="1:170" ht="60.75" customHeight="1" x14ac:dyDescent="0.4">
      <c r="A63" s="238" t="s">
        <v>47</v>
      </c>
      <c r="B63" s="248" t="s">
        <v>355</v>
      </c>
      <c r="C63" s="240" t="s">
        <v>22</v>
      </c>
      <c r="D63" s="241">
        <v>1590</v>
      </c>
      <c r="E63" s="241">
        <f>D63*54</f>
        <v>85860</v>
      </c>
      <c r="F63" s="241">
        <v>40</v>
      </c>
      <c r="G63" s="241">
        <v>86592</v>
      </c>
      <c r="H63" s="242">
        <f t="shared" si="3"/>
        <v>0</v>
      </c>
      <c r="I63" s="269">
        <f>ROUNDDOWN('بيان الاعمال'!BH86,0.1)</f>
        <v>86592</v>
      </c>
      <c r="J63" s="243">
        <f>F63*I63</f>
        <v>3463680</v>
      </c>
      <c r="K63" s="244">
        <v>1</v>
      </c>
      <c r="L63" s="243">
        <f t="shared" si="4"/>
        <v>0</v>
      </c>
      <c r="M63" s="243">
        <f t="shared" si="5"/>
        <v>3463680</v>
      </c>
      <c r="N63" s="245"/>
      <c r="O63" s="246">
        <f t="shared" si="0"/>
        <v>1603.5555555555557</v>
      </c>
      <c r="FF63" s="159"/>
      <c r="FH63" s="160"/>
      <c r="FI63" s="160"/>
      <c r="FJ63" s="160"/>
      <c r="FK63" s="160"/>
      <c r="FL63" s="160"/>
      <c r="FM63" s="160"/>
      <c r="FN63" s="160"/>
    </row>
    <row r="64" spans="1:170" ht="50.1" hidden="1" customHeight="1" x14ac:dyDescent="0.4">
      <c r="A64" s="238" t="s">
        <v>440</v>
      </c>
      <c r="B64" s="248" t="s">
        <v>586</v>
      </c>
      <c r="C64" s="240" t="s">
        <v>22</v>
      </c>
      <c r="D64" s="1129">
        <v>2750</v>
      </c>
      <c r="E64" s="1129">
        <f>D64*54</f>
        <v>148500</v>
      </c>
      <c r="F64" s="1129">
        <v>100</v>
      </c>
      <c r="G64" s="241">
        <v>0</v>
      </c>
      <c r="H64" s="242">
        <f t="shared" si="3"/>
        <v>0</v>
      </c>
      <c r="I64" s="242">
        <f>FLOOR(IF('بيان الاعمال'!BH93&lt;مستخلص!E64,'بيان الاعمال'!BH93,مستخلص!E64),1)</f>
        <v>0</v>
      </c>
      <c r="J64" s="243">
        <f>F64*I64</f>
        <v>0</v>
      </c>
      <c r="K64" s="244">
        <v>0.7</v>
      </c>
      <c r="L64" s="243">
        <f t="shared" si="4"/>
        <v>0</v>
      </c>
      <c r="M64" s="243">
        <f t="shared" si="5"/>
        <v>0</v>
      </c>
      <c r="N64" s="240"/>
      <c r="O64" s="246">
        <f t="shared" si="0"/>
        <v>0</v>
      </c>
      <c r="FF64" s="159"/>
      <c r="FH64" s="160"/>
      <c r="FI64" s="160"/>
      <c r="FJ64" s="160"/>
      <c r="FK64" s="160"/>
      <c r="FL64" s="160"/>
      <c r="FM64" s="160"/>
      <c r="FN64" s="160"/>
    </row>
    <row r="65" spans="1:170" ht="50.1" customHeight="1" x14ac:dyDescent="0.4">
      <c r="A65" s="238" t="s">
        <v>440</v>
      </c>
      <c r="B65" s="248" t="s">
        <v>587</v>
      </c>
      <c r="C65" s="240" t="s">
        <v>22</v>
      </c>
      <c r="D65" s="1131"/>
      <c r="E65" s="1131"/>
      <c r="F65" s="1131"/>
      <c r="G65" s="241">
        <v>161253</v>
      </c>
      <c r="H65" s="242">
        <f t="shared" si="3"/>
        <v>0</v>
      </c>
      <c r="I65" s="320">
        <v>161253</v>
      </c>
      <c r="J65" s="243">
        <f>I65*F64</f>
        <v>16125300</v>
      </c>
      <c r="K65" s="244">
        <v>0.98</v>
      </c>
      <c r="L65" s="243">
        <f t="shared" si="4"/>
        <v>322506.00000000029</v>
      </c>
      <c r="M65" s="243">
        <f t="shared" si="5"/>
        <v>15802794</v>
      </c>
      <c r="N65" s="245"/>
      <c r="O65" s="246">
        <f t="shared" si="0"/>
        <v>2986.1666666666665</v>
      </c>
      <c r="FF65" s="159"/>
      <c r="FH65" s="160"/>
      <c r="FI65" s="160"/>
      <c r="FJ65" s="160"/>
      <c r="FK65" s="160"/>
      <c r="FL65" s="160"/>
      <c r="FM65" s="160"/>
      <c r="FN65" s="160"/>
    </row>
    <row r="66" spans="1:170" ht="50.1" hidden="1" customHeight="1" x14ac:dyDescent="0.4">
      <c r="A66" s="238" t="s">
        <v>448</v>
      </c>
      <c r="B66" s="248" t="s">
        <v>588</v>
      </c>
      <c r="C66" s="240" t="s">
        <v>22</v>
      </c>
      <c r="D66" s="1129">
        <v>130</v>
      </c>
      <c r="E66" s="1129">
        <f>54*D66</f>
        <v>7020</v>
      </c>
      <c r="F66" s="1129">
        <v>85</v>
      </c>
      <c r="G66" s="241">
        <v>0</v>
      </c>
      <c r="H66" s="242">
        <f t="shared" si="3"/>
        <v>0</v>
      </c>
      <c r="I66" s="242">
        <f>FLOOR(IF('بيان الاعمال'!BH104&lt;مستخلص!E66,'بيان الاعمال'!BH104,مستخلص!E66),1)</f>
        <v>0</v>
      </c>
      <c r="J66" s="243">
        <f>F66*I66</f>
        <v>0</v>
      </c>
      <c r="K66" s="244">
        <v>0.7</v>
      </c>
      <c r="L66" s="243">
        <f t="shared" si="4"/>
        <v>0</v>
      </c>
      <c r="M66" s="243">
        <f t="shared" si="5"/>
        <v>0</v>
      </c>
      <c r="N66" s="241"/>
      <c r="O66" s="246">
        <f t="shared" si="0"/>
        <v>0</v>
      </c>
      <c r="FF66" s="159"/>
      <c r="FH66" s="160"/>
      <c r="FI66" s="160"/>
      <c r="FJ66" s="160"/>
      <c r="FK66" s="160"/>
      <c r="FL66" s="160"/>
      <c r="FM66" s="160"/>
      <c r="FN66" s="160"/>
    </row>
    <row r="67" spans="1:170" ht="50.1" customHeight="1" x14ac:dyDescent="0.4">
      <c r="A67" s="238" t="s">
        <v>448</v>
      </c>
      <c r="B67" s="248" t="s">
        <v>589</v>
      </c>
      <c r="C67" s="240" t="s">
        <v>22</v>
      </c>
      <c r="D67" s="1131"/>
      <c r="E67" s="1131"/>
      <c r="F67" s="1131"/>
      <c r="G67" s="241">
        <v>7394</v>
      </c>
      <c r="H67" s="242">
        <f t="shared" si="3"/>
        <v>0</v>
      </c>
      <c r="I67" s="242">
        <v>7394</v>
      </c>
      <c r="J67" s="243">
        <f>I67*F66</f>
        <v>628490</v>
      </c>
      <c r="K67" s="244">
        <v>0.98</v>
      </c>
      <c r="L67" s="243">
        <f t="shared" si="4"/>
        <v>12569.800000000012</v>
      </c>
      <c r="M67" s="243">
        <f t="shared" si="5"/>
        <v>615920.19999999995</v>
      </c>
      <c r="N67" s="245"/>
      <c r="O67" s="246">
        <f t="shared" si="0"/>
        <v>136.92592592592592</v>
      </c>
      <c r="FF67" s="159"/>
      <c r="FH67" s="160"/>
      <c r="FI67" s="160"/>
      <c r="FJ67" s="160"/>
      <c r="FK67" s="160"/>
      <c r="FL67" s="160"/>
      <c r="FM67" s="160"/>
      <c r="FN67" s="160"/>
    </row>
    <row r="68" spans="1:170" ht="50.1" customHeight="1" x14ac:dyDescent="0.4">
      <c r="A68" s="238" t="s">
        <v>441</v>
      </c>
      <c r="B68" s="248" t="s">
        <v>591</v>
      </c>
      <c r="C68" s="240" t="s">
        <v>22</v>
      </c>
      <c r="D68" s="1129">
        <v>300</v>
      </c>
      <c r="E68" s="1129">
        <f t="shared" ref="E68:E72" si="6">D68*54</f>
        <v>16200</v>
      </c>
      <c r="F68" s="1129">
        <v>100</v>
      </c>
      <c r="G68" s="241">
        <v>1161</v>
      </c>
      <c r="H68" s="242">
        <f t="shared" si="3"/>
        <v>0</v>
      </c>
      <c r="I68" s="242">
        <f>FLOOR(IF('بيان الاعمال'!BH107&lt;مستخلص!E68,'بيان الاعمال'!BH107,مستخلص!E68),1)</f>
        <v>1161</v>
      </c>
      <c r="J68" s="243">
        <f>F68*I68</f>
        <v>116100</v>
      </c>
      <c r="K68" s="244">
        <v>0.7</v>
      </c>
      <c r="L68" s="243">
        <f t="shared" si="4"/>
        <v>34830.000000000007</v>
      </c>
      <c r="M68" s="243">
        <f t="shared" si="5"/>
        <v>81270</v>
      </c>
      <c r="N68" s="245"/>
      <c r="O68" s="246">
        <f t="shared" si="0"/>
        <v>21.5</v>
      </c>
      <c r="FF68" s="159"/>
      <c r="FH68" s="160"/>
      <c r="FI68" s="160"/>
      <c r="FJ68" s="160"/>
      <c r="FK68" s="160"/>
      <c r="FL68" s="160"/>
      <c r="FM68" s="160"/>
      <c r="FN68" s="160"/>
    </row>
    <row r="69" spans="1:170" ht="50.1" customHeight="1" x14ac:dyDescent="0.4">
      <c r="A69" s="238" t="s">
        <v>441</v>
      </c>
      <c r="B69" s="248" t="s">
        <v>590</v>
      </c>
      <c r="C69" s="240" t="s">
        <v>22</v>
      </c>
      <c r="D69" s="1131"/>
      <c r="E69" s="1131"/>
      <c r="F69" s="1131"/>
      <c r="G69" s="241">
        <v>14517</v>
      </c>
      <c r="H69" s="242">
        <f t="shared" si="3"/>
        <v>0</v>
      </c>
      <c r="I69" s="242">
        <f>FLOOR(IF('بيان الاعمال'!BH108&lt;مستخلص!E68,'بيان الاعمال'!BH108,مستخلص!E68),1)</f>
        <v>14517</v>
      </c>
      <c r="J69" s="243">
        <f>I69*F68</f>
        <v>1451700</v>
      </c>
      <c r="K69" s="244">
        <v>0.98</v>
      </c>
      <c r="L69" s="243">
        <f t="shared" si="4"/>
        <v>29034.000000000025</v>
      </c>
      <c r="M69" s="243">
        <f t="shared" si="5"/>
        <v>1422666</v>
      </c>
      <c r="N69" s="245"/>
      <c r="O69" s="246">
        <f t="shared" si="0"/>
        <v>268.83333333333331</v>
      </c>
      <c r="FF69" s="159"/>
      <c r="FH69" s="160"/>
      <c r="FI69" s="160"/>
      <c r="FJ69" s="160"/>
      <c r="FK69" s="160"/>
      <c r="FL69" s="160"/>
      <c r="FM69" s="160"/>
      <c r="FN69" s="160"/>
    </row>
    <row r="70" spans="1:170" ht="50.1" customHeight="1" x14ac:dyDescent="0.4">
      <c r="A70" s="238" t="s">
        <v>442</v>
      </c>
      <c r="B70" s="248" t="s">
        <v>592</v>
      </c>
      <c r="C70" s="240" t="s">
        <v>22</v>
      </c>
      <c r="D70" s="1129">
        <v>125</v>
      </c>
      <c r="E70" s="1129">
        <f t="shared" si="6"/>
        <v>6750</v>
      </c>
      <c r="F70" s="1129">
        <v>85</v>
      </c>
      <c r="G70" s="241">
        <v>482</v>
      </c>
      <c r="H70" s="242">
        <f t="shared" si="3"/>
        <v>0</v>
      </c>
      <c r="I70" s="269">
        <f>FLOOR(IF('بيان الاعمال'!BH110&lt;مستخلص!E70,'بيان الاعمال'!BH110,مستخلص!E70),1)</f>
        <v>482</v>
      </c>
      <c r="J70" s="243">
        <f>F70*I70</f>
        <v>40970</v>
      </c>
      <c r="K70" s="244">
        <v>0.7</v>
      </c>
      <c r="L70" s="243">
        <f t="shared" si="4"/>
        <v>12291.000000000002</v>
      </c>
      <c r="M70" s="243">
        <f t="shared" si="5"/>
        <v>28679</v>
      </c>
      <c r="N70" s="245"/>
      <c r="O70" s="246">
        <f t="shared" si="0"/>
        <v>8.9259259259259256</v>
      </c>
      <c r="FF70" s="159"/>
      <c r="FH70" s="160"/>
      <c r="FI70" s="160"/>
      <c r="FJ70" s="160"/>
      <c r="FK70" s="160"/>
      <c r="FL70" s="160"/>
      <c r="FM70" s="160"/>
      <c r="FN70" s="160"/>
    </row>
    <row r="71" spans="1:170" ht="50.1" customHeight="1" x14ac:dyDescent="0.4">
      <c r="A71" s="238" t="s">
        <v>442</v>
      </c>
      <c r="B71" s="248" t="s">
        <v>593</v>
      </c>
      <c r="C71" s="240" t="s">
        <v>22</v>
      </c>
      <c r="D71" s="1131"/>
      <c r="E71" s="1131"/>
      <c r="F71" s="1131"/>
      <c r="G71" s="241">
        <v>6033</v>
      </c>
      <c r="H71" s="242">
        <f t="shared" si="3"/>
        <v>0</v>
      </c>
      <c r="I71" s="269">
        <v>6033</v>
      </c>
      <c r="J71" s="243">
        <f>I71*F70</f>
        <v>512805</v>
      </c>
      <c r="K71" s="244">
        <v>0.98</v>
      </c>
      <c r="L71" s="243">
        <f t="shared" si="4"/>
        <v>10256.100000000009</v>
      </c>
      <c r="M71" s="243">
        <f t="shared" si="5"/>
        <v>502548.89999999997</v>
      </c>
      <c r="N71" s="245"/>
      <c r="O71" s="246">
        <f t="shared" si="0"/>
        <v>111.72222222222223</v>
      </c>
      <c r="FF71" s="159"/>
      <c r="FH71" s="160"/>
      <c r="FI71" s="160"/>
      <c r="FJ71" s="160"/>
      <c r="FK71" s="160"/>
      <c r="FL71" s="160"/>
      <c r="FM71" s="160"/>
      <c r="FN71" s="160"/>
    </row>
    <row r="72" spans="1:170" ht="50.1" hidden="1" customHeight="1" x14ac:dyDescent="0.4">
      <c r="A72" s="238" t="s">
        <v>411</v>
      </c>
      <c r="B72" s="248" t="s">
        <v>594</v>
      </c>
      <c r="C72" s="240" t="s">
        <v>22</v>
      </c>
      <c r="D72" s="1129">
        <v>130</v>
      </c>
      <c r="E72" s="1129">
        <f t="shared" si="6"/>
        <v>7020</v>
      </c>
      <c r="F72" s="1129">
        <v>100</v>
      </c>
      <c r="G72" s="241">
        <v>0</v>
      </c>
      <c r="H72" s="242">
        <f t="shared" si="3"/>
        <v>0</v>
      </c>
      <c r="I72" s="269">
        <f>FLOOR(IF('بيان الاعمال'!BH113&lt;مستخلص!E72,'بيان الاعمال'!BH113,مستخلص!E72),1)</f>
        <v>0</v>
      </c>
      <c r="J72" s="243">
        <f>F72*I72</f>
        <v>0</v>
      </c>
      <c r="K72" s="244">
        <v>0.7</v>
      </c>
      <c r="L72" s="243">
        <f t="shared" si="4"/>
        <v>0</v>
      </c>
      <c r="M72" s="243">
        <f t="shared" si="5"/>
        <v>0</v>
      </c>
      <c r="N72" s="629"/>
      <c r="O72" s="246">
        <f t="shared" si="0"/>
        <v>0</v>
      </c>
      <c r="FF72" s="159"/>
      <c r="FH72" s="160"/>
      <c r="FI72" s="160"/>
      <c r="FJ72" s="160"/>
      <c r="FK72" s="160"/>
      <c r="FL72" s="160"/>
      <c r="FM72" s="160"/>
      <c r="FN72" s="160"/>
    </row>
    <row r="73" spans="1:170" ht="50.1" customHeight="1" x14ac:dyDescent="0.4">
      <c r="A73" s="238" t="s">
        <v>411</v>
      </c>
      <c r="B73" s="248" t="s">
        <v>595</v>
      </c>
      <c r="C73" s="240" t="s">
        <v>22</v>
      </c>
      <c r="D73" s="1131"/>
      <c r="E73" s="1131"/>
      <c r="F73" s="1131"/>
      <c r="G73" s="241">
        <v>8563</v>
      </c>
      <c r="H73" s="242">
        <f t="shared" si="3"/>
        <v>0</v>
      </c>
      <c r="I73" s="269">
        <f>ROUNDDOWN('بيان الاعمال'!BG114,0.1)</f>
        <v>8563</v>
      </c>
      <c r="J73" s="243">
        <f>I73*F72</f>
        <v>856300</v>
      </c>
      <c r="K73" s="244">
        <v>0.98</v>
      </c>
      <c r="L73" s="243">
        <f t="shared" si="4"/>
        <v>17126.000000000015</v>
      </c>
      <c r="M73" s="243">
        <f t="shared" si="5"/>
        <v>839174</v>
      </c>
      <c r="N73" s="245"/>
      <c r="O73" s="246">
        <f t="shared" si="0"/>
        <v>158.57407407407408</v>
      </c>
      <c r="FF73" s="159"/>
      <c r="FH73" s="160"/>
      <c r="FI73" s="160"/>
      <c r="FJ73" s="160"/>
      <c r="FK73" s="160"/>
      <c r="FL73" s="160"/>
      <c r="FM73" s="160"/>
      <c r="FN73" s="160"/>
    </row>
    <row r="74" spans="1:170" ht="50.1" customHeight="1" x14ac:dyDescent="0.4">
      <c r="A74" s="1144" t="s">
        <v>23</v>
      </c>
      <c r="B74" s="1144"/>
      <c r="C74" s="1144"/>
      <c r="D74" s="1144"/>
      <c r="E74" s="1144"/>
      <c r="F74" s="1144"/>
      <c r="G74" s="1144"/>
      <c r="H74" s="1144"/>
      <c r="I74" s="1144"/>
      <c r="J74" s="236">
        <f>SUM(J60:J73)</f>
        <v>311228030</v>
      </c>
      <c r="K74" s="236"/>
      <c r="L74" s="236">
        <f>SUM(L60:L73)</f>
        <v>438612.90000000031</v>
      </c>
      <c r="M74" s="236">
        <f>SUM(M60:M73)</f>
        <v>310789417.09999996</v>
      </c>
      <c r="N74" s="236"/>
      <c r="O74" s="246">
        <f t="shared" si="0"/>
        <v>0</v>
      </c>
      <c r="FF74" s="159"/>
      <c r="FH74" s="160"/>
      <c r="FI74" s="160"/>
      <c r="FJ74" s="160"/>
      <c r="FK74" s="160"/>
      <c r="FL74" s="160"/>
      <c r="FM74" s="160"/>
      <c r="FN74" s="160"/>
    </row>
    <row r="75" spans="1:170" ht="50.1" customHeight="1" x14ac:dyDescent="0.4">
      <c r="A75" s="1139" t="s">
        <v>24</v>
      </c>
      <c r="B75" s="1139"/>
      <c r="C75" s="1139"/>
      <c r="D75" s="1139"/>
      <c r="E75" s="1139"/>
      <c r="F75" s="1139"/>
      <c r="G75" s="1139"/>
      <c r="H75" s="260"/>
      <c r="I75" s="260"/>
      <c r="J75" s="78"/>
      <c r="K75" s="78"/>
      <c r="L75" s="78"/>
      <c r="M75" s="162"/>
      <c r="N75" s="162"/>
      <c r="O75" s="246">
        <f t="shared" si="0"/>
        <v>0</v>
      </c>
      <c r="FF75" s="159"/>
      <c r="FH75" s="160"/>
      <c r="FI75" s="160"/>
      <c r="FJ75" s="160"/>
      <c r="FK75" s="160"/>
      <c r="FL75" s="160"/>
      <c r="FM75" s="160"/>
      <c r="FN75" s="160"/>
    </row>
    <row r="76" spans="1:170" ht="50.1" customHeight="1" x14ac:dyDescent="0.4">
      <c r="A76" s="261"/>
      <c r="B76" s="262" t="s">
        <v>25</v>
      </c>
      <c r="C76" s="1140" t="s">
        <v>26</v>
      </c>
      <c r="D76" s="1140"/>
      <c r="E76" s="1140"/>
      <c r="F76" s="1140"/>
      <c r="G76" s="1140"/>
      <c r="H76" s="1140"/>
      <c r="I76" s="1140"/>
      <c r="J76" s="1140"/>
      <c r="K76" s="1140"/>
      <c r="L76" s="1140"/>
      <c r="M76" s="1140"/>
      <c r="N76" s="1140"/>
      <c r="O76" s="246">
        <f t="shared" ref="O76:O146" si="7">I76/54</f>
        <v>0</v>
      </c>
      <c r="FF76" s="159"/>
      <c r="FH76" s="160"/>
      <c r="FI76" s="160"/>
      <c r="FJ76" s="160"/>
      <c r="FK76" s="160"/>
      <c r="FL76" s="160"/>
      <c r="FM76" s="160"/>
      <c r="FN76" s="160"/>
    </row>
    <row r="77" spans="1:170" ht="50.1" customHeight="1" x14ac:dyDescent="0.4">
      <c r="A77" s="263"/>
      <c r="B77" s="264"/>
      <c r="C77" s="265"/>
      <c r="D77" s="265"/>
      <c r="E77" s="265"/>
      <c r="F77" s="265"/>
      <c r="G77" s="266"/>
      <c r="H77" s="266"/>
      <c r="I77" s="266"/>
      <c r="J77" s="265"/>
      <c r="K77" s="267"/>
      <c r="L77" s="265"/>
      <c r="M77" s="265"/>
      <c r="N77" s="265"/>
      <c r="O77" s="246">
        <f t="shared" si="7"/>
        <v>0</v>
      </c>
      <c r="FF77" s="159"/>
      <c r="FH77" s="160"/>
      <c r="FI77" s="160"/>
      <c r="FJ77" s="160"/>
      <c r="FK77" s="160"/>
      <c r="FL77" s="160"/>
      <c r="FM77" s="160"/>
      <c r="FN77" s="160"/>
    </row>
    <row r="78" spans="1:170" ht="50.1" customHeight="1" x14ac:dyDescent="0.4">
      <c r="A78" s="1104" t="s">
        <v>27</v>
      </c>
      <c r="B78" s="1105"/>
      <c r="C78" s="1104" t="s">
        <v>61</v>
      </c>
      <c r="D78" s="1143"/>
      <c r="E78" s="1143"/>
      <c r="F78" s="1143"/>
      <c r="G78" s="1143"/>
      <c r="H78" s="1143"/>
      <c r="I78" s="1105"/>
      <c r="J78" s="1107" t="s">
        <v>62</v>
      </c>
      <c r="K78" s="1107"/>
      <c r="L78" s="1107"/>
      <c r="M78" s="1107"/>
      <c r="N78" s="1107"/>
      <c r="O78" s="246">
        <f t="shared" si="7"/>
        <v>0</v>
      </c>
      <c r="FF78" s="159"/>
      <c r="FH78" s="160"/>
      <c r="FI78" s="160"/>
      <c r="FJ78" s="160"/>
      <c r="FK78" s="160"/>
      <c r="FL78" s="160"/>
      <c r="FM78" s="160"/>
      <c r="FN78" s="160"/>
    </row>
    <row r="79" spans="1:170" ht="50.1" customHeight="1" x14ac:dyDescent="0.4">
      <c r="A79" s="1102" t="s">
        <v>513</v>
      </c>
      <c r="B79" s="1103"/>
      <c r="C79" s="1104" t="s">
        <v>28</v>
      </c>
      <c r="D79" s="1105"/>
      <c r="E79" s="1106" t="s">
        <v>63</v>
      </c>
      <c r="F79" s="1106"/>
      <c r="G79" s="1107" t="s">
        <v>557</v>
      </c>
      <c r="H79" s="1107"/>
      <c r="I79" s="1107"/>
      <c r="J79" s="762" t="s">
        <v>793</v>
      </c>
      <c r="K79" s="765" t="s">
        <v>512</v>
      </c>
      <c r="L79" s="1141" t="s">
        <v>795</v>
      </c>
      <c r="M79" s="1142"/>
      <c r="N79" s="756" t="s">
        <v>69</v>
      </c>
      <c r="O79" s="246">
        <f t="shared" si="7"/>
        <v>0</v>
      </c>
      <c r="FF79" s="159"/>
      <c r="FH79" s="160"/>
      <c r="FI79" s="160"/>
      <c r="FJ79" s="160"/>
      <c r="FK79" s="160"/>
      <c r="FL79" s="160"/>
      <c r="FM79" s="160"/>
      <c r="FN79" s="160"/>
    </row>
    <row r="80" spans="1:170" ht="50.1" customHeight="1" x14ac:dyDescent="0.4">
      <c r="A80" s="1110" t="s">
        <v>514</v>
      </c>
      <c r="B80" s="1111"/>
      <c r="C80" s="1112" t="s">
        <v>702</v>
      </c>
      <c r="D80" s="1113"/>
      <c r="E80" s="1107" t="s">
        <v>515</v>
      </c>
      <c r="F80" s="1107"/>
      <c r="G80" s="1107" t="s">
        <v>152</v>
      </c>
      <c r="H80" s="1107"/>
      <c r="I80" s="1104"/>
      <c r="J80" s="763" t="s">
        <v>322</v>
      </c>
      <c r="K80" s="764" t="s">
        <v>794</v>
      </c>
      <c r="L80" s="1104" t="s">
        <v>796</v>
      </c>
      <c r="M80" s="1105"/>
      <c r="N80" s="268" t="s">
        <v>739</v>
      </c>
      <c r="O80" s="246">
        <f t="shared" si="7"/>
        <v>0</v>
      </c>
      <c r="FF80" s="159"/>
      <c r="FH80" s="160"/>
      <c r="FI80" s="160"/>
      <c r="FJ80" s="160"/>
      <c r="FK80" s="160"/>
      <c r="FL80" s="160"/>
      <c r="FM80" s="160"/>
      <c r="FN80" s="160"/>
    </row>
    <row r="81" spans="1:170" ht="50.1" customHeight="1" x14ac:dyDescent="0.4">
      <c r="A81" s="133" t="s">
        <v>511</v>
      </c>
      <c r="B81" s="134" t="s">
        <v>562</v>
      </c>
      <c r="C81" s="68" t="s">
        <v>74</v>
      </c>
      <c r="D81" s="68"/>
      <c r="E81" s="69"/>
      <c r="F81" s="70"/>
      <c r="G81" s="68" t="s">
        <v>64</v>
      </c>
      <c r="H81" s="71"/>
      <c r="I81" s="69"/>
      <c r="J81" s="69" t="s">
        <v>64</v>
      </c>
      <c r="K81" s="766" t="s">
        <v>64</v>
      </c>
      <c r="L81" s="135" t="s">
        <v>70</v>
      </c>
      <c r="M81" s="68"/>
      <c r="N81" s="68" t="s">
        <v>70</v>
      </c>
      <c r="O81" s="246">
        <f t="shared" si="7"/>
        <v>0</v>
      </c>
      <c r="FF81" s="159"/>
      <c r="FH81" s="160"/>
      <c r="FI81" s="160"/>
      <c r="FJ81" s="160"/>
      <c r="FK81" s="160"/>
      <c r="FL81" s="160"/>
      <c r="FM81" s="160"/>
      <c r="FN81" s="160"/>
    </row>
    <row r="82" spans="1:170" ht="50.1" customHeight="1" x14ac:dyDescent="0.4">
      <c r="A82" s="72"/>
      <c r="B82" s="72"/>
      <c r="C82" s="71"/>
      <c r="D82" s="71"/>
      <c r="E82" s="71"/>
      <c r="F82" s="71"/>
      <c r="G82" s="71"/>
      <c r="H82" s="71"/>
      <c r="I82" s="71"/>
      <c r="J82" s="1135"/>
      <c r="K82" s="1135"/>
      <c r="L82" s="71"/>
      <c r="M82" s="1136" t="s">
        <v>65</v>
      </c>
      <c r="N82" s="1136"/>
      <c r="O82" s="246">
        <f t="shared" si="7"/>
        <v>0</v>
      </c>
      <c r="FF82" s="159"/>
      <c r="FH82" s="160"/>
      <c r="FI82" s="160"/>
      <c r="FJ82" s="160"/>
      <c r="FK82" s="160"/>
      <c r="FL82" s="160"/>
      <c r="FM82" s="160"/>
      <c r="FN82" s="160"/>
    </row>
    <row r="83" spans="1:170" ht="50.1" customHeight="1" x14ac:dyDescent="0.4">
      <c r="A83" s="72"/>
      <c r="B83" s="72"/>
      <c r="C83" s="71"/>
      <c r="D83" s="1100" t="s">
        <v>558</v>
      </c>
      <c r="E83" s="1100"/>
      <c r="F83" s="1100"/>
      <c r="G83" s="1100"/>
      <c r="H83" s="71"/>
      <c r="I83" s="71"/>
      <c r="J83" s="1132" t="s">
        <v>560</v>
      </c>
      <c r="K83" s="1133"/>
      <c r="L83" s="1134"/>
      <c r="M83" s="1137" t="s">
        <v>67</v>
      </c>
      <c r="N83" s="1138"/>
      <c r="O83" s="246">
        <f t="shared" si="7"/>
        <v>0</v>
      </c>
      <c r="FF83" s="159"/>
      <c r="FH83" s="160"/>
      <c r="FI83" s="160"/>
      <c r="FJ83" s="160"/>
      <c r="FK83" s="160"/>
      <c r="FL83" s="160"/>
      <c r="FM83" s="160"/>
      <c r="FN83" s="160"/>
    </row>
    <row r="84" spans="1:170" ht="50.1" customHeight="1" x14ac:dyDescent="0.4">
      <c r="A84" s="68"/>
      <c r="B84" s="73"/>
      <c r="C84" s="74"/>
      <c r="D84" s="1100" t="s">
        <v>153</v>
      </c>
      <c r="E84" s="1100"/>
      <c r="F84" s="1100"/>
      <c r="G84" s="1100"/>
      <c r="H84" s="68"/>
      <c r="I84" s="71"/>
      <c r="J84" s="1132" t="s">
        <v>797</v>
      </c>
      <c r="K84" s="1133"/>
      <c r="L84" s="1134"/>
      <c r="M84" s="1108" t="s">
        <v>481</v>
      </c>
      <c r="N84" s="1109"/>
      <c r="O84" s="246">
        <f t="shared" si="7"/>
        <v>0</v>
      </c>
      <c r="FF84" s="159"/>
      <c r="FH84" s="160"/>
      <c r="FI84" s="160"/>
      <c r="FJ84" s="160"/>
      <c r="FK84" s="160"/>
      <c r="FL84" s="160"/>
      <c r="FM84" s="160"/>
      <c r="FN84" s="160"/>
    </row>
    <row r="85" spans="1:170" ht="50.1" customHeight="1" x14ac:dyDescent="0.4">
      <c r="A85" s="75"/>
      <c r="B85" s="76"/>
      <c r="C85" s="77"/>
      <c r="D85" s="68" t="s">
        <v>233</v>
      </c>
      <c r="E85" s="78"/>
      <c r="F85" s="79"/>
      <c r="G85" s="75"/>
      <c r="H85" s="79"/>
      <c r="I85" s="71"/>
      <c r="J85" s="68" t="s">
        <v>231</v>
      </c>
      <c r="K85" s="78"/>
      <c r="L85" s="79"/>
      <c r="M85" s="757" t="s">
        <v>232</v>
      </c>
      <c r="N85" s="81"/>
      <c r="O85" s="246">
        <f t="shared" si="7"/>
        <v>0</v>
      </c>
      <c r="FF85" s="159"/>
      <c r="FH85" s="160"/>
      <c r="FI85" s="160"/>
      <c r="FJ85" s="160"/>
      <c r="FK85" s="160"/>
      <c r="FL85" s="160"/>
      <c r="FM85" s="160"/>
      <c r="FN85" s="160"/>
    </row>
    <row r="86" spans="1:170" ht="50.1" customHeight="1" x14ac:dyDescent="0.4">
      <c r="A86" s="1101" t="s">
        <v>31</v>
      </c>
      <c r="B86" s="1101"/>
      <c r="C86" s="1101"/>
      <c r="D86" s="1101"/>
      <c r="E86" s="1101"/>
      <c r="F86" s="1101"/>
      <c r="G86" s="1101"/>
      <c r="H86" s="1101"/>
      <c r="I86" s="1101"/>
      <c r="J86" s="243">
        <f>J74</f>
        <v>311228030</v>
      </c>
      <c r="K86" s="244"/>
      <c r="L86" s="243">
        <f>L74</f>
        <v>438612.90000000031</v>
      </c>
      <c r="M86" s="243">
        <f>M74</f>
        <v>310789417.09999996</v>
      </c>
      <c r="N86" s="245"/>
      <c r="O86" s="246">
        <f t="shared" si="7"/>
        <v>0</v>
      </c>
      <c r="FF86" s="159"/>
      <c r="FH86" s="160"/>
      <c r="FI86" s="160"/>
      <c r="FJ86" s="160"/>
      <c r="FK86" s="160"/>
      <c r="FL86" s="160"/>
      <c r="FM86" s="160"/>
      <c r="FN86" s="160"/>
    </row>
    <row r="87" spans="1:170" ht="50.1" customHeight="1" x14ac:dyDescent="0.4">
      <c r="A87" s="1145" t="s">
        <v>464</v>
      </c>
      <c r="B87" s="1145"/>
      <c r="C87" s="1145"/>
      <c r="D87" s="253"/>
      <c r="E87" s="250"/>
      <c r="F87" s="250"/>
      <c r="G87" s="252"/>
      <c r="H87" s="252"/>
      <c r="I87" s="252"/>
      <c r="J87" s="252"/>
      <c r="K87" s="235"/>
      <c r="L87" s="252"/>
      <c r="M87" s="252"/>
      <c r="N87" s="237"/>
      <c r="O87" s="246">
        <f t="shared" si="7"/>
        <v>0</v>
      </c>
      <c r="FF87" s="159"/>
      <c r="FH87" s="160"/>
      <c r="FI87" s="160"/>
      <c r="FJ87" s="160"/>
      <c r="FK87" s="160"/>
      <c r="FL87" s="160"/>
      <c r="FM87" s="160"/>
      <c r="FN87" s="160"/>
    </row>
    <row r="88" spans="1:170" ht="54.6" customHeight="1" x14ac:dyDescent="0.4">
      <c r="A88" s="238" t="s">
        <v>482</v>
      </c>
      <c r="B88" s="248" t="s">
        <v>508</v>
      </c>
      <c r="C88" s="241" t="s">
        <v>22</v>
      </c>
      <c r="D88" s="241">
        <v>75</v>
      </c>
      <c r="E88" s="241">
        <f>D88*54</f>
        <v>4050</v>
      </c>
      <c r="F88" s="241">
        <v>350</v>
      </c>
      <c r="G88" s="241">
        <v>5062</v>
      </c>
      <c r="H88" s="242">
        <f t="shared" ref="H88:H94" si="8">I88-G88</f>
        <v>0</v>
      </c>
      <c r="I88" s="242">
        <v>5062</v>
      </c>
      <c r="J88" s="243">
        <f t="shared" ref="J88:J94" si="9">F88*I88</f>
        <v>1771700</v>
      </c>
      <c r="K88" s="244">
        <v>0.99</v>
      </c>
      <c r="L88" s="243">
        <f t="shared" ref="L88:L94" si="10">J88*(1-K88)</f>
        <v>17717.000000000015</v>
      </c>
      <c r="M88" s="243">
        <f t="shared" ref="M88:M94" si="11">J88-L88</f>
        <v>1753983</v>
      </c>
      <c r="N88" s="245"/>
      <c r="O88" s="246">
        <f t="shared" si="7"/>
        <v>93.740740740740748</v>
      </c>
      <c r="FF88" s="159"/>
      <c r="FH88" s="160"/>
      <c r="FI88" s="160"/>
      <c r="FJ88" s="160"/>
      <c r="FK88" s="160"/>
      <c r="FL88" s="160"/>
      <c r="FM88" s="160"/>
      <c r="FN88" s="160"/>
    </row>
    <row r="89" spans="1:170" ht="54.6" customHeight="1" x14ac:dyDescent="0.4">
      <c r="A89" s="238" t="s">
        <v>566</v>
      </c>
      <c r="B89" s="248" t="s">
        <v>567</v>
      </c>
      <c r="C89" s="241" t="s">
        <v>22</v>
      </c>
      <c r="D89" s="241">
        <v>20</v>
      </c>
      <c r="E89" s="241">
        <f>D89*54</f>
        <v>1080</v>
      </c>
      <c r="F89" s="241">
        <v>380</v>
      </c>
      <c r="G89" s="241">
        <v>1153</v>
      </c>
      <c r="H89" s="242">
        <f t="shared" si="8"/>
        <v>0</v>
      </c>
      <c r="I89" s="242">
        <v>1153</v>
      </c>
      <c r="J89" s="243">
        <f t="shared" si="9"/>
        <v>438140</v>
      </c>
      <c r="K89" s="244">
        <v>0.99</v>
      </c>
      <c r="L89" s="243">
        <f t="shared" si="10"/>
        <v>4381.4000000000042</v>
      </c>
      <c r="M89" s="243">
        <f t="shared" si="11"/>
        <v>433758.6</v>
      </c>
      <c r="N89" s="245"/>
      <c r="O89" s="246">
        <f t="shared" si="7"/>
        <v>21.351851851851851</v>
      </c>
      <c r="FF89" s="159"/>
      <c r="FH89" s="160"/>
      <c r="FI89" s="160"/>
      <c r="FJ89" s="160"/>
      <c r="FK89" s="160"/>
      <c r="FL89" s="160"/>
      <c r="FM89" s="160"/>
      <c r="FN89" s="160"/>
    </row>
    <row r="90" spans="1:170" ht="54.6" customHeight="1" x14ac:dyDescent="0.4">
      <c r="A90" s="238" t="s">
        <v>465</v>
      </c>
      <c r="B90" s="248" t="s">
        <v>466</v>
      </c>
      <c r="C90" s="241" t="s">
        <v>40</v>
      </c>
      <c r="D90" s="241">
        <v>128</v>
      </c>
      <c r="E90" s="241">
        <f t="shared" ref="E90:E91" si="12">D90*54</f>
        <v>6912</v>
      </c>
      <c r="F90" s="241">
        <v>265</v>
      </c>
      <c r="G90" s="241">
        <v>6935</v>
      </c>
      <c r="H90" s="242">
        <f t="shared" si="8"/>
        <v>0</v>
      </c>
      <c r="I90" s="242">
        <v>6935</v>
      </c>
      <c r="J90" s="243">
        <f t="shared" si="9"/>
        <v>1837775</v>
      </c>
      <c r="K90" s="244">
        <v>0.99</v>
      </c>
      <c r="L90" s="243">
        <f t="shared" si="10"/>
        <v>18377.750000000015</v>
      </c>
      <c r="M90" s="243">
        <f t="shared" si="11"/>
        <v>1819397.25</v>
      </c>
      <c r="N90" s="245"/>
      <c r="O90" s="246">
        <f t="shared" si="7"/>
        <v>128.42592592592592</v>
      </c>
      <c r="FF90" s="159"/>
      <c r="FH90" s="160"/>
      <c r="FI90" s="160"/>
      <c r="FJ90" s="160"/>
      <c r="FK90" s="160"/>
      <c r="FL90" s="160"/>
      <c r="FM90" s="160"/>
      <c r="FN90" s="160"/>
    </row>
    <row r="91" spans="1:170" ht="54.6" customHeight="1" x14ac:dyDescent="0.4">
      <c r="A91" s="238" t="s">
        <v>490</v>
      </c>
      <c r="B91" s="248" t="s">
        <v>552</v>
      </c>
      <c r="C91" s="241" t="s">
        <v>22</v>
      </c>
      <c r="D91" s="241">
        <v>325</v>
      </c>
      <c r="E91" s="241">
        <f t="shared" si="12"/>
        <v>17550</v>
      </c>
      <c r="F91" s="241">
        <v>145</v>
      </c>
      <c r="G91" s="241">
        <v>17975</v>
      </c>
      <c r="H91" s="242">
        <f t="shared" si="8"/>
        <v>0</v>
      </c>
      <c r="I91" s="242">
        <v>17975</v>
      </c>
      <c r="J91" s="243">
        <f t="shared" si="9"/>
        <v>2606375</v>
      </c>
      <c r="K91" s="244">
        <v>0.99</v>
      </c>
      <c r="L91" s="243">
        <f t="shared" si="10"/>
        <v>26063.750000000022</v>
      </c>
      <c r="M91" s="243">
        <f t="shared" si="11"/>
        <v>2580311.25</v>
      </c>
      <c r="N91" s="245"/>
      <c r="O91" s="246">
        <f t="shared" si="7"/>
        <v>332.87037037037038</v>
      </c>
      <c r="FF91" s="159"/>
      <c r="FH91" s="160"/>
      <c r="FI91" s="160"/>
      <c r="FJ91" s="160"/>
      <c r="FK91" s="160"/>
      <c r="FL91" s="160"/>
      <c r="FM91" s="160"/>
      <c r="FN91" s="160"/>
    </row>
    <row r="92" spans="1:170" ht="54.6" customHeight="1" x14ac:dyDescent="0.4">
      <c r="A92" s="238" t="s">
        <v>491</v>
      </c>
      <c r="B92" s="248" t="s">
        <v>495</v>
      </c>
      <c r="C92" s="241" t="s">
        <v>22</v>
      </c>
      <c r="D92" s="241">
        <v>1460</v>
      </c>
      <c r="E92" s="241">
        <f>D92*54</f>
        <v>78840</v>
      </c>
      <c r="F92" s="241">
        <v>175</v>
      </c>
      <c r="G92" s="241">
        <v>79812</v>
      </c>
      <c r="H92" s="242">
        <f t="shared" si="8"/>
        <v>0</v>
      </c>
      <c r="I92" s="242">
        <v>79812</v>
      </c>
      <c r="J92" s="243">
        <f t="shared" si="9"/>
        <v>13967100</v>
      </c>
      <c r="K92" s="244">
        <v>0.99</v>
      </c>
      <c r="L92" s="243">
        <f t="shared" si="10"/>
        <v>139671.00000000012</v>
      </c>
      <c r="M92" s="243">
        <f t="shared" si="11"/>
        <v>13827429</v>
      </c>
      <c r="N92" s="245"/>
      <c r="O92" s="246">
        <f t="shared" si="7"/>
        <v>1478</v>
      </c>
      <c r="FF92" s="159"/>
      <c r="FH92" s="160"/>
      <c r="FI92" s="160"/>
      <c r="FJ92" s="160"/>
      <c r="FK92" s="160"/>
      <c r="FL92" s="160"/>
      <c r="FM92" s="160"/>
      <c r="FN92" s="160"/>
    </row>
    <row r="93" spans="1:170" ht="54.6" customHeight="1" x14ac:dyDescent="0.4">
      <c r="A93" s="238" t="s">
        <v>492</v>
      </c>
      <c r="B93" s="248" t="s">
        <v>493</v>
      </c>
      <c r="C93" s="241" t="s">
        <v>22</v>
      </c>
      <c r="D93" s="241">
        <v>235</v>
      </c>
      <c r="E93" s="241">
        <f>D93*54</f>
        <v>12690</v>
      </c>
      <c r="F93" s="241">
        <v>160</v>
      </c>
      <c r="G93" s="241">
        <v>12582</v>
      </c>
      <c r="H93" s="242">
        <f t="shared" si="8"/>
        <v>0</v>
      </c>
      <c r="I93" s="242">
        <f>FLOOR(IF('بيان الاعمال'!BH132&lt;مستخلص!E93,'بيان الاعمال'!BH132,مستخلص!E93),1)</f>
        <v>12582</v>
      </c>
      <c r="J93" s="243">
        <f t="shared" si="9"/>
        <v>2013120</v>
      </c>
      <c r="K93" s="244">
        <v>0.99</v>
      </c>
      <c r="L93" s="243">
        <f t="shared" si="10"/>
        <v>20131.200000000019</v>
      </c>
      <c r="M93" s="243">
        <f t="shared" si="11"/>
        <v>1992988.8</v>
      </c>
      <c r="N93" s="245"/>
      <c r="O93" s="246">
        <f t="shared" si="7"/>
        <v>233</v>
      </c>
      <c r="FF93" s="159"/>
      <c r="FH93" s="160"/>
      <c r="FI93" s="160"/>
      <c r="FJ93" s="160"/>
      <c r="FK93" s="160"/>
      <c r="FL93" s="160"/>
      <c r="FM93" s="160"/>
      <c r="FN93" s="160"/>
    </row>
    <row r="94" spans="1:170" ht="54.6" customHeight="1" x14ac:dyDescent="0.4">
      <c r="A94" s="238" t="s">
        <v>412</v>
      </c>
      <c r="B94" s="248" t="s">
        <v>494</v>
      </c>
      <c r="C94" s="241" t="s">
        <v>22</v>
      </c>
      <c r="D94" s="241">
        <v>1100</v>
      </c>
      <c r="E94" s="241">
        <f>D94*54</f>
        <v>59400</v>
      </c>
      <c r="F94" s="241">
        <v>170</v>
      </c>
      <c r="G94" s="241">
        <v>59292</v>
      </c>
      <c r="H94" s="242">
        <f t="shared" si="8"/>
        <v>0</v>
      </c>
      <c r="I94" s="242">
        <f>FLOOR(IF('بيان الاعمال'!BH139&lt;مستخلص!E94,'بيان الاعمال'!BH139,مستخلص!E94),1)</f>
        <v>59292</v>
      </c>
      <c r="J94" s="243">
        <f t="shared" si="9"/>
        <v>10079640</v>
      </c>
      <c r="K94" s="244">
        <v>0.99</v>
      </c>
      <c r="L94" s="243">
        <f t="shared" si="10"/>
        <v>100796.4000000001</v>
      </c>
      <c r="M94" s="243">
        <f t="shared" si="11"/>
        <v>9978843.5999999996</v>
      </c>
      <c r="N94" s="245"/>
      <c r="O94" s="246">
        <f t="shared" si="7"/>
        <v>1098</v>
      </c>
      <c r="FF94" s="159"/>
      <c r="FH94" s="160"/>
      <c r="FI94" s="160"/>
      <c r="FJ94" s="160"/>
      <c r="FK94" s="160"/>
      <c r="FL94" s="160"/>
      <c r="FM94" s="160"/>
      <c r="FN94" s="160"/>
    </row>
    <row r="95" spans="1:170" ht="50.1" customHeight="1" x14ac:dyDescent="0.4">
      <c r="A95" s="1144" t="s">
        <v>23</v>
      </c>
      <c r="B95" s="1144"/>
      <c r="C95" s="1144"/>
      <c r="D95" s="1144"/>
      <c r="E95" s="1144"/>
      <c r="F95" s="1144"/>
      <c r="G95" s="1144"/>
      <c r="H95" s="1144"/>
      <c r="I95" s="1144"/>
      <c r="J95" s="236">
        <f>SUM(J86:J94)</f>
        <v>343941880</v>
      </c>
      <c r="K95" s="236"/>
      <c r="L95" s="236">
        <f>SUM(L86:L94)</f>
        <v>765751.40000000072</v>
      </c>
      <c r="M95" s="236">
        <f>SUM(M86:M94)</f>
        <v>343176128.60000002</v>
      </c>
      <c r="N95" s="236"/>
      <c r="O95" s="246">
        <f t="shared" si="7"/>
        <v>0</v>
      </c>
      <c r="FF95" s="159"/>
      <c r="FH95" s="160"/>
      <c r="FI95" s="160"/>
      <c r="FJ95" s="160"/>
      <c r="FK95" s="160"/>
      <c r="FL95" s="160"/>
      <c r="FM95" s="160"/>
      <c r="FN95" s="160"/>
    </row>
    <row r="96" spans="1:170" ht="40.15" customHeight="1" x14ac:dyDescent="0.4">
      <c r="A96" s="1139" t="s">
        <v>24</v>
      </c>
      <c r="B96" s="1139"/>
      <c r="C96" s="1139"/>
      <c r="D96" s="1139"/>
      <c r="E96" s="1139"/>
      <c r="F96" s="1139"/>
      <c r="G96" s="1139"/>
      <c r="H96" s="260"/>
      <c r="I96" s="260"/>
      <c r="J96" s="78"/>
      <c r="K96" s="78"/>
      <c r="L96" s="78"/>
      <c r="M96" s="162"/>
      <c r="N96" s="162"/>
      <c r="O96" s="246">
        <f t="shared" si="7"/>
        <v>0</v>
      </c>
      <c r="FF96" s="159"/>
      <c r="FH96" s="160"/>
      <c r="FI96" s="160"/>
      <c r="FJ96" s="160"/>
      <c r="FK96" s="160"/>
      <c r="FL96" s="160"/>
      <c r="FM96" s="160"/>
      <c r="FN96" s="160"/>
    </row>
    <row r="97" spans="1:170" ht="40.15" customHeight="1" x14ac:dyDescent="0.4">
      <c r="A97" s="261"/>
      <c r="B97" s="262" t="s">
        <v>25</v>
      </c>
      <c r="C97" s="1140" t="s">
        <v>26</v>
      </c>
      <c r="D97" s="1140"/>
      <c r="E97" s="1140"/>
      <c r="F97" s="1140"/>
      <c r="G97" s="1140"/>
      <c r="H97" s="1140"/>
      <c r="I97" s="1140"/>
      <c r="J97" s="1140"/>
      <c r="K97" s="1140"/>
      <c r="L97" s="1140"/>
      <c r="M97" s="1140"/>
      <c r="N97" s="1140"/>
      <c r="O97" s="246">
        <f t="shared" si="7"/>
        <v>0</v>
      </c>
      <c r="FF97" s="159"/>
      <c r="FH97" s="160"/>
      <c r="FI97" s="160"/>
      <c r="FJ97" s="160"/>
      <c r="FK97" s="160"/>
      <c r="FL97" s="160"/>
      <c r="FM97" s="160"/>
      <c r="FN97" s="160"/>
    </row>
    <row r="98" spans="1:170" ht="19.899999999999999" customHeight="1" x14ac:dyDescent="0.4">
      <c r="A98" s="263"/>
      <c r="B98" s="264"/>
      <c r="C98" s="265"/>
      <c r="D98" s="265"/>
      <c r="E98" s="265"/>
      <c r="F98" s="265"/>
      <c r="G98" s="266"/>
      <c r="H98" s="266"/>
      <c r="I98" s="266"/>
      <c r="J98" s="265"/>
      <c r="K98" s="267"/>
      <c r="L98" s="265"/>
      <c r="M98" s="265"/>
      <c r="N98" s="265"/>
      <c r="O98" s="246">
        <f t="shared" si="7"/>
        <v>0</v>
      </c>
      <c r="FF98" s="159"/>
      <c r="FH98" s="160"/>
      <c r="FI98" s="160"/>
      <c r="FJ98" s="160"/>
      <c r="FK98" s="160"/>
      <c r="FL98" s="160"/>
      <c r="FM98" s="160"/>
      <c r="FN98" s="160"/>
    </row>
    <row r="99" spans="1:170" ht="39.950000000000003" customHeight="1" x14ac:dyDescent="0.4">
      <c r="A99" s="1104" t="s">
        <v>27</v>
      </c>
      <c r="B99" s="1105"/>
      <c r="C99" s="1104" t="s">
        <v>61</v>
      </c>
      <c r="D99" s="1143"/>
      <c r="E99" s="1143"/>
      <c r="F99" s="1143"/>
      <c r="G99" s="1143"/>
      <c r="H99" s="1143"/>
      <c r="I99" s="1105"/>
      <c r="J99" s="1107" t="s">
        <v>62</v>
      </c>
      <c r="K99" s="1107"/>
      <c r="L99" s="1107"/>
      <c r="M99" s="1107"/>
      <c r="N99" s="1107"/>
      <c r="O99" s="246">
        <f t="shared" si="7"/>
        <v>0</v>
      </c>
      <c r="FF99" s="159"/>
      <c r="FH99" s="160"/>
      <c r="FI99" s="160"/>
      <c r="FJ99" s="160"/>
      <c r="FK99" s="160"/>
      <c r="FL99" s="160"/>
      <c r="FM99" s="160"/>
      <c r="FN99" s="160"/>
    </row>
    <row r="100" spans="1:170" ht="39.950000000000003" customHeight="1" x14ac:dyDescent="0.4">
      <c r="A100" s="1102" t="s">
        <v>513</v>
      </c>
      <c r="B100" s="1103"/>
      <c r="C100" s="1104" t="s">
        <v>28</v>
      </c>
      <c r="D100" s="1105"/>
      <c r="E100" s="1106" t="s">
        <v>63</v>
      </c>
      <c r="F100" s="1106"/>
      <c r="G100" s="1107" t="s">
        <v>557</v>
      </c>
      <c r="H100" s="1107"/>
      <c r="I100" s="1107"/>
      <c r="J100" s="762" t="s">
        <v>793</v>
      </c>
      <c r="K100" s="765" t="s">
        <v>512</v>
      </c>
      <c r="L100" s="1141" t="s">
        <v>795</v>
      </c>
      <c r="M100" s="1142"/>
      <c r="N100" s="756" t="s">
        <v>69</v>
      </c>
      <c r="O100" s="246">
        <f t="shared" si="7"/>
        <v>0</v>
      </c>
      <c r="FF100" s="159"/>
      <c r="FH100" s="160"/>
      <c r="FI100" s="160"/>
      <c r="FJ100" s="160"/>
      <c r="FK100" s="160"/>
      <c r="FL100" s="160"/>
      <c r="FM100" s="160"/>
      <c r="FN100" s="160"/>
    </row>
    <row r="101" spans="1:170" ht="39.950000000000003" customHeight="1" x14ac:dyDescent="0.4">
      <c r="A101" s="1110" t="s">
        <v>514</v>
      </c>
      <c r="B101" s="1111"/>
      <c r="C101" s="1112" t="s">
        <v>701</v>
      </c>
      <c r="D101" s="1113"/>
      <c r="E101" s="1107" t="s">
        <v>515</v>
      </c>
      <c r="F101" s="1107"/>
      <c r="G101" s="1107" t="s">
        <v>152</v>
      </c>
      <c r="H101" s="1107"/>
      <c r="I101" s="1104"/>
      <c r="J101" s="763" t="s">
        <v>322</v>
      </c>
      <c r="K101" s="764" t="s">
        <v>794</v>
      </c>
      <c r="L101" s="1104" t="s">
        <v>796</v>
      </c>
      <c r="M101" s="1105"/>
      <c r="N101" s="268" t="s">
        <v>739</v>
      </c>
      <c r="O101" s="246">
        <f t="shared" si="7"/>
        <v>0</v>
      </c>
      <c r="FF101" s="159"/>
      <c r="FH101" s="160"/>
      <c r="FI101" s="160"/>
      <c r="FJ101" s="160"/>
      <c r="FK101" s="160"/>
      <c r="FL101" s="160"/>
      <c r="FM101" s="160"/>
      <c r="FN101" s="160"/>
    </row>
    <row r="102" spans="1:170" ht="39.950000000000003" customHeight="1" x14ac:dyDescent="0.4">
      <c r="A102" s="133" t="s">
        <v>511</v>
      </c>
      <c r="B102" s="134" t="s">
        <v>562</v>
      </c>
      <c r="C102" s="68" t="s">
        <v>74</v>
      </c>
      <c r="D102" s="68"/>
      <c r="E102" s="69"/>
      <c r="F102" s="70"/>
      <c r="G102" s="68" t="s">
        <v>64</v>
      </c>
      <c r="H102" s="71"/>
      <c r="I102" s="69"/>
      <c r="J102" s="69" t="s">
        <v>64</v>
      </c>
      <c r="K102" s="766" t="s">
        <v>64</v>
      </c>
      <c r="L102" s="135" t="s">
        <v>70</v>
      </c>
      <c r="M102" s="68"/>
      <c r="N102" s="68" t="s">
        <v>70</v>
      </c>
      <c r="O102" s="246">
        <f t="shared" si="7"/>
        <v>0</v>
      </c>
      <c r="FF102" s="159"/>
      <c r="FH102" s="160"/>
      <c r="FI102" s="160"/>
      <c r="FJ102" s="160"/>
      <c r="FK102" s="160"/>
      <c r="FL102" s="160"/>
      <c r="FM102" s="160"/>
      <c r="FN102" s="160"/>
    </row>
    <row r="103" spans="1:170" ht="39.950000000000003" customHeight="1" x14ac:dyDescent="0.4">
      <c r="A103" s="72"/>
      <c r="B103" s="72"/>
      <c r="C103" s="71"/>
      <c r="D103" s="71"/>
      <c r="E103" s="71"/>
      <c r="F103" s="71"/>
      <c r="G103" s="71"/>
      <c r="H103" s="71"/>
      <c r="I103" s="71"/>
      <c r="J103" s="1135"/>
      <c r="K103" s="1135"/>
      <c r="L103" s="71"/>
      <c r="M103" s="1136" t="s">
        <v>65</v>
      </c>
      <c r="N103" s="1136"/>
      <c r="O103" s="246">
        <f t="shared" si="7"/>
        <v>0</v>
      </c>
      <c r="FF103" s="159"/>
      <c r="FH103" s="160"/>
      <c r="FI103" s="160"/>
      <c r="FJ103" s="160"/>
      <c r="FK103" s="160"/>
      <c r="FL103" s="160"/>
      <c r="FM103" s="160"/>
      <c r="FN103" s="160"/>
    </row>
    <row r="104" spans="1:170" ht="39.950000000000003" customHeight="1" x14ac:dyDescent="0.4">
      <c r="A104" s="72"/>
      <c r="B104" s="72"/>
      <c r="C104" s="71"/>
      <c r="D104" s="1100" t="s">
        <v>558</v>
      </c>
      <c r="E104" s="1100"/>
      <c r="F104" s="1100"/>
      <c r="G104" s="1100"/>
      <c r="H104" s="71"/>
      <c r="I104" s="71"/>
      <c r="J104" s="1132" t="s">
        <v>560</v>
      </c>
      <c r="K104" s="1133"/>
      <c r="L104" s="1134"/>
      <c r="M104" s="1137" t="s">
        <v>67</v>
      </c>
      <c r="N104" s="1138"/>
      <c r="O104" s="246">
        <f t="shared" si="7"/>
        <v>0</v>
      </c>
      <c r="FF104" s="159"/>
      <c r="FH104" s="160"/>
      <c r="FI104" s="160"/>
      <c r="FJ104" s="160"/>
      <c r="FK104" s="160"/>
      <c r="FL104" s="160"/>
      <c r="FM104" s="160"/>
      <c r="FN104" s="160"/>
    </row>
    <row r="105" spans="1:170" ht="39.950000000000003" customHeight="1" x14ac:dyDescent="0.4">
      <c r="A105" s="68"/>
      <c r="B105" s="73"/>
      <c r="C105" s="74"/>
      <c r="D105" s="1100" t="s">
        <v>153</v>
      </c>
      <c r="E105" s="1100"/>
      <c r="F105" s="1100"/>
      <c r="G105" s="1100"/>
      <c r="H105" s="71"/>
      <c r="I105" s="71"/>
      <c r="J105" s="1132" t="s">
        <v>797</v>
      </c>
      <c r="K105" s="1133"/>
      <c r="L105" s="1134"/>
      <c r="M105" s="1108" t="s">
        <v>481</v>
      </c>
      <c r="N105" s="1109"/>
      <c r="O105" s="246">
        <f t="shared" si="7"/>
        <v>0</v>
      </c>
      <c r="FF105" s="159"/>
      <c r="FH105" s="160"/>
      <c r="FI105" s="160"/>
      <c r="FJ105" s="160"/>
      <c r="FK105" s="160"/>
      <c r="FL105" s="160"/>
      <c r="FM105" s="160"/>
      <c r="FN105" s="160"/>
    </row>
    <row r="106" spans="1:170" ht="39.950000000000003" customHeight="1" x14ac:dyDescent="0.4">
      <c r="A106" s="75"/>
      <c r="B106" s="76"/>
      <c r="C106" s="77"/>
      <c r="D106" s="68" t="s">
        <v>233</v>
      </c>
      <c r="E106" s="78"/>
      <c r="F106" s="79"/>
      <c r="G106" s="75"/>
      <c r="H106" s="79"/>
      <c r="I106" s="71"/>
      <c r="J106" s="68" t="s">
        <v>231</v>
      </c>
      <c r="K106" s="78"/>
      <c r="L106" s="79"/>
      <c r="M106" s="757" t="s">
        <v>232</v>
      </c>
      <c r="N106" s="81"/>
      <c r="O106" s="246">
        <f t="shared" si="7"/>
        <v>0</v>
      </c>
      <c r="FF106" s="159"/>
      <c r="FH106" s="160"/>
      <c r="FI106" s="160"/>
      <c r="FJ106" s="160"/>
      <c r="FK106" s="160"/>
      <c r="FL106" s="160"/>
      <c r="FM106" s="160"/>
      <c r="FN106" s="160"/>
    </row>
    <row r="107" spans="1:170" ht="45" customHeight="1" x14ac:dyDescent="0.4">
      <c r="A107" s="1101" t="s">
        <v>31</v>
      </c>
      <c r="B107" s="1101"/>
      <c r="C107" s="1101"/>
      <c r="D107" s="1101"/>
      <c r="E107" s="1101"/>
      <c r="F107" s="1101"/>
      <c r="G107" s="1101"/>
      <c r="H107" s="1101"/>
      <c r="I107" s="1101"/>
      <c r="J107" s="243">
        <f>J95</f>
        <v>343941880</v>
      </c>
      <c r="K107" s="244"/>
      <c r="L107" s="243">
        <f>L95</f>
        <v>765751.40000000072</v>
      </c>
      <c r="M107" s="243">
        <f>M95</f>
        <v>343176128.60000002</v>
      </c>
      <c r="N107" s="245"/>
      <c r="O107" s="246">
        <f t="shared" si="7"/>
        <v>0</v>
      </c>
      <c r="FF107" s="159"/>
      <c r="FH107" s="160"/>
      <c r="FI107" s="160"/>
      <c r="FJ107" s="160"/>
      <c r="FK107" s="160"/>
      <c r="FL107" s="160"/>
      <c r="FM107" s="160"/>
      <c r="FN107" s="160"/>
    </row>
    <row r="108" spans="1:170" ht="40.15" customHeight="1" x14ac:dyDescent="0.4">
      <c r="A108" s="1145" t="s">
        <v>422</v>
      </c>
      <c r="B108" s="1145"/>
      <c r="C108" s="1145"/>
      <c r="D108" s="253"/>
      <c r="E108" s="250"/>
      <c r="F108" s="250"/>
      <c r="G108" s="252"/>
      <c r="H108" s="252"/>
      <c r="I108" s="252"/>
      <c r="J108" s="252"/>
      <c r="K108" s="235"/>
      <c r="L108" s="252"/>
      <c r="M108" s="252"/>
      <c r="N108" s="237"/>
      <c r="O108" s="246">
        <f t="shared" si="7"/>
        <v>0</v>
      </c>
      <c r="FF108" s="159"/>
      <c r="FH108" s="160"/>
      <c r="FI108" s="160"/>
      <c r="FJ108" s="160"/>
      <c r="FK108" s="160"/>
      <c r="FL108" s="160"/>
      <c r="FM108" s="160"/>
      <c r="FN108" s="160"/>
    </row>
    <row r="109" spans="1:170" ht="45" hidden="1" customHeight="1" x14ac:dyDescent="0.4">
      <c r="A109" s="1174" t="s">
        <v>423</v>
      </c>
      <c r="B109" s="744" t="s">
        <v>450</v>
      </c>
      <c r="C109" s="1168" t="s">
        <v>22</v>
      </c>
      <c r="D109" s="1171">
        <v>5195</v>
      </c>
      <c r="E109" s="1171">
        <f>D109*54</f>
        <v>280530</v>
      </c>
      <c r="F109" s="1171">
        <v>20</v>
      </c>
      <c r="G109" s="745">
        <v>0</v>
      </c>
      <c r="H109" s="741">
        <f t="shared" ref="H109:H113" si="13">I109-G109</f>
        <v>0</v>
      </c>
      <c r="I109" s="741">
        <v>0</v>
      </c>
      <c r="J109" s="742">
        <f>F109*I109</f>
        <v>0</v>
      </c>
      <c r="K109" s="743">
        <v>0.4</v>
      </c>
      <c r="L109" s="742">
        <f t="shared" ref="L109:L113" si="14">J109*(1-K109)</f>
        <v>0</v>
      </c>
      <c r="M109" s="742">
        <f t="shared" ref="M109:M113" si="15">J109-L109</f>
        <v>0</v>
      </c>
      <c r="N109" s="740"/>
      <c r="O109" s="246">
        <f t="shared" si="7"/>
        <v>0</v>
      </c>
      <c r="FF109" s="159"/>
      <c r="FH109" s="160"/>
      <c r="FI109" s="160"/>
      <c r="FJ109" s="160"/>
      <c r="FK109" s="160"/>
      <c r="FL109" s="160"/>
      <c r="FM109" s="160"/>
      <c r="FN109" s="160"/>
    </row>
    <row r="110" spans="1:170" s="751" customFormat="1" ht="57" customHeight="1" x14ac:dyDescent="0.4">
      <c r="A110" s="1175"/>
      <c r="B110" s="744" t="s">
        <v>698</v>
      </c>
      <c r="C110" s="1169"/>
      <c r="D110" s="1172"/>
      <c r="E110" s="1172"/>
      <c r="F110" s="1172"/>
      <c r="G110" s="745">
        <v>10490</v>
      </c>
      <c r="H110" s="746">
        <f>I110-G110</f>
        <v>0</v>
      </c>
      <c r="I110" s="746">
        <f>FLOOR('بيان الاعمال'!BH148,1)</f>
        <v>10490</v>
      </c>
      <c r="J110" s="747">
        <f>I110*F109</f>
        <v>209800</v>
      </c>
      <c r="K110" s="748">
        <v>0.5</v>
      </c>
      <c r="L110" s="747">
        <f>J110*(1-K110)</f>
        <v>104900</v>
      </c>
      <c r="M110" s="747">
        <f>J110-L110</f>
        <v>104900</v>
      </c>
      <c r="N110" s="749"/>
      <c r="O110" s="750">
        <f t="shared" si="7"/>
        <v>194.25925925925927</v>
      </c>
      <c r="FF110" s="752"/>
      <c r="FH110" s="753"/>
      <c r="FI110" s="753"/>
      <c r="FJ110" s="753"/>
      <c r="FK110" s="753"/>
      <c r="FL110" s="753"/>
      <c r="FM110" s="753"/>
      <c r="FN110" s="753"/>
    </row>
    <row r="111" spans="1:170" s="751" customFormat="1" ht="58.9" customHeight="1" x14ac:dyDescent="0.4">
      <c r="A111" s="1175"/>
      <c r="B111" s="744" t="s">
        <v>761</v>
      </c>
      <c r="C111" s="1169"/>
      <c r="D111" s="1172"/>
      <c r="E111" s="1172"/>
      <c r="F111" s="1172"/>
      <c r="G111" s="745">
        <v>0</v>
      </c>
      <c r="H111" s="746">
        <f>I111-G111</f>
        <v>0</v>
      </c>
      <c r="I111" s="746">
        <v>0</v>
      </c>
      <c r="J111" s="747">
        <f>I111*F109</f>
        <v>0</v>
      </c>
      <c r="K111" s="748">
        <v>0.75</v>
      </c>
      <c r="L111" s="747">
        <f>J111*(1-K111)</f>
        <v>0</v>
      </c>
      <c r="M111" s="747">
        <f>J111-L111</f>
        <v>0</v>
      </c>
      <c r="N111" s="749"/>
      <c r="O111" s="750">
        <f t="shared" ref="O111:O112" si="16">I111/54</f>
        <v>0</v>
      </c>
      <c r="FF111" s="752"/>
      <c r="FH111" s="753"/>
      <c r="FI111" s="753"/>
      <c r="FJ111" s="753"/>
      <c r="FK111" s="753"/>
      <c r="FL111" s="753"/>
      <c r="FM111" s="753"/>
      <c r="FN111" s="753"/>
    </row>
    <row r="112" spans="1:170" s="751" customFormat="1" ht="56.45" customHeight="1" x14ac:dyDescent="0.4">
      <c r="A112" s="1176"/>
      <c r="B112" s="744" t="s">
        <v>781</v>
      </c>
      <c r="C112" s="1170"/>
      <c r="D112" s="1173"/>
      <c r="E112" s="1173"/>
      <c r="F112" s="1173"/>
      <c r="G112" s="745">
        <v>272742</v>
      </c>
      <c r="H112" s="746">
        <f>I112-G112</f>
        <v>0</v>
      </c>
      <c r="I112" s="746">
        <f>FLOOR('بيان الاعمال'!BH155,1)</f>
        <v>272742</v>
      </c>
      <c r="J112" s="747">
        <f>I112*F109</f>
        <v>5454840</v>
      </c>
      <c r="K112" s="748">
        <v>0.96</v>
      </c>
      <c r="L112" s="747">
        <f>J112*(1-K112)</f>
        <v>218193.60000000018</v>
      </c>
      <c r="M112" s="747">
        <f>J112-L112</f>
        <v>5236646.3999999994</v>
      </c>
      <c r="N112" s="745"/>
      <c r="O112" s="750">
        <f t="shared" si="16"/>
        <v>5050.7777777777774</v>
      </c>
      <c r="FF112" s="752"/>
      <c r="FH112" s="753"/>
      <c r="FI112" s="753"/>
      <c r="FJ112" s="753"/>
      <c r="FK112" s="753"/>
      <c r="FL112" s="753"/>
      <c r="FM112" s="753"/>
      <c r="FN112" s="753"/>
    </row>
    <row r="113" spans="1:170" ht="45" hidden="1" customHeight="1" x14ac:dyDescent="0.4">
      <c r="A113" s="1123" t="s">
        <v>424</v>
      </c>
      <c r="B113" s="270" t="s">
        <v>451</v>
      </c>
      <c r="C113" s="1126" t="s">
        <v>22</v>
      </c>
      <c r="D113" s="1129">
        <v>245</v>
      </c>
      <c r="E113" s="1129">
        <f>D113*54</f>
        <v>13230</v>
      </c>
      <c r="F113" s="1129">
        <v>20</v>
      </c>
      <c r="G113" s="241">
        <v>0</v>
      </c>
      <c r="H113" s="242">
        <f t="shared" si="13"/>
        <v>0</v>
      </c>
      <c r="I113" s="242">
        <v>0</v>
      </c>
      <c r="J113" s="243">
        <f>F113*I113</f>
        <v>0</v>
      </c>
      <c r="K113" s="244">
        <v>0.4</v>
      </c>
      <c r="L113" s="243">
        <f t="shared" si="14"/>
        <v>0</v>
      </c>
      <c r="M113" s="243">
        <f t="shared" si="15"/>
        <v>0</v>
      </c>
      <c r="N113" s="241"/>
      <c r="O113" s="246">
        <f t="shared" si="7"/>
        <v>0</v>
      </c>
      <c r="FF113" s="159"/>
      <c r="FH113" s="160"/>
      <c r="FI113" s="160"/>
      <c r="FJ113" s="160"/>
      <c r="FK113" s="160"/>
      <c r="FL113" s="160"/>
      <c r="FM113" s="160"/>
      <c r="FN113" s="160"/>
    </row>
    <row r="114" spans="1:170" ht="52.15" customHeight="1" x14ac:dyDescent="0.4">
      <c r="A114" s="1124"/>
      <c r="B114" s="270" t="s">
        <v>699</v>
      </c>
      <c r="C114" s="1127"/>
      <c r="D114" s="1130"/>
      <c r="E114" s="1130"/>
      <c r="F114" s="1130"/>
      <c r="G114" s="241">
        <v>490</v>
      </c>
      <c r="H114" s="242">
        <f>I114-G114</f>
        <v>0</v>
      </c>
      <c r="I114" s="242">
        <f>FLOOR('بيان الاعمال'!BH163,1)</f>
        <v>490</v>
      </c>
      <c r="J114" s="243">
        <f>I114*F113</f>
        <v>9800</v>
      </c>
      <c r="K114" s="244">
        <v>0.5</v>
      </c>
      <c r="L114" s="243">
        <f>J114*(1-K114)</f>
        <v>4900</v>
      </c>
      <c r="M114" s="243">
        <f>J114-L114</f>
        <v>4900</v>
      </c>
      <c r="N114" s="245"/>
      <c r="O114" s="246">
        <f t="shared" si="7"/>
        <v>9.0740740740740744</v>
      </c>
      <c r="FF114" s="159"/>
      <c r="FH114" s="347"/>
      <c r="FI114" s="347"/>
      <c r="FJ114" s="347"/>
      <c r="FK114" s="347"/>
      <c r="FL114" s="347"/>
      <c r="FM114" s="347"/>
      <c r="FN114" s="347"/>
    </row>
    <row r="115" spans="1:170" ht="54" customHeight="1" x14ac:dyDescent="0.4">
      <c r="A115" s="1124"/>
      <c r="B115" s="270" t="s">
        <v>762</v>
      </c>
      <c r="C115" s="1127"/>
      <c r="D115" s="1130"/>
      <c r="E115" s="1130"/>
      <c r="F115" s="1130"/>
      <c r="G115" s="241">
        <v>0</v>
      </c>
      <c r="H115" s="242">
        <f>I115-G115</f>
        <v>0</v>
      </c>
      <c r="I115" s="242">
        <v>0</v>
      </c>
      <c r="J115" s="243">
        <f>I115*F113</f>
        <v>0</v>
      </c>
      <c r="K115" s="244">
        <v>0.75</v>
      </c>
      <c r="L115" s="243">
        <f>J115*(1-K115)</f>
        <v>0</v>
      </c>
      <c r="M115" s="243">
        <f>J115-L115</f>
        <v>0</v>
      </c>
      <c r="N115" s="245"/>
      <c r="O115" s="246"/>
      <c r="FF115" s="159"/>
      <c r="FH115" s="694"/>
      <c r="FI115" s="694"/>
      <c r="FJ115" s="694"/>
      <c r="FK115" s="694"/>
      <c r="FL115" s="694"/>
      <c r="FM115" s="694"/>
      <c r="FN115" s="694"/>
    </row>
    <row r="116" spans="1:170" ht="49.9" customHeight="1" x14ac:dyDescent="0.4">
      <c r="A116" s="1125"/>
      <c r="B116" s="270" t="s">
        <v>782</v>
      </c>
      <c r="C116" s="1128"/>
      <c r="D116" s="1131"/>
      <c r="E116" s="1131"/>
      <c r="F116" s="1131"/>
      <c r="G116" s="241">
        <v>12761</v>
      </c>
      <c r="H116" s="242">
        <f>I116-G116</f>
        <v>0</v>
      </c>
      <c r="I116" s="242">
        <v>12761</v>
      </c>
      <c r="J116" s="243">
        <f>I116*F113</f>
        <v>255220</v>
      </c>
      <c r="K116" s="244">
        <v>0.96</v>
      </c>
      <c r="L116" s="243">
        <f>J116*(1-K116)</f>
        <v>10208.800000000008</v>
      </c>
      <c r="M116" s="243">
        <f>J116-L116</f>
        <v>245011.19999999998</v>
      </c>
      <c r="N116" s="245"/>
      <c r="O116" s="246"/>
      <c r="FF116" s="159"/>
      <c r="FH116" s="735"/>
      <c r="FI116" s="735"/>
      <c r="FJ116" s="735"/>
      <c r="FK116" s="735"/>
      <c r="FL116" s="735"/>
      <c r="FM116" s="735"/>
      <c r="FN116" s="735"/>
    </row>
    <row r="117" spans="1:170" ht="34.15" customHeight="1" x14ac:dyDescent="0.4">
      <c r="A117" s="1145" t="s">
        <v>356</v>
      </c>
      <c r="B117" s="1145"/>
      <c r="C117" s="1145"/>
      <c r="D117" s="253"/>
      <c r="E117" s="250"/>
      <c r="F117" s="250"/>
      <c r="G117" s="233"/>
      <c r="H117" s="233"/>
      <c r="I117" s="233"/>
      <c r="J117" s="252"/>
      <c r="K117" s="235"/>
      <c r="L117" s="252"/>
      <c r="M117" s="252"/>
      <c r="N117" s="237"/>
      <c r="O117" s="246">
        <f t="shared" si="7"/>
        <v>0</v>
      </c>
      <c r="FF117" s="159"/>
      <c r="FH117" s="160"/>
      <c r="FI117" s="160"/>
      <c r="FJ117" s="160"/>
      <c r="FK117" s="160"/>
      <c r="FL117" s="160"/>
      <c r="FM117" s="160"/>
      <c r="FN117" s="160"/>
    </row>
    <row r="118" spans="1:170" ht="45" customHeight="1" x14ac:dyDescent="0.4">
      <c r="A118" s="553" t="s">
        <v>696</v>
      </c>
      <c r="B118" s="554" t="s">
        <v>700</v>
      </c>
      <c r="C118" s="772" t="s">
        <v>34</v>
      </c>
      <c r="D118" s="241">
        <v>1</v>
      </c>
      <c r="E118" s="241">
        <f>54*D118</f>
        <v>54</v>
      </c>
      <c r="F118" s="241">
        <v>17870</v>
      </c>
      <c r="G118" s="269">
        <v>54</v>
      </c>
      <c r="H118" s="242">
        <f t="shared" ref="H118:H136" si="17">I118-G118</f>
        <v>0</v>
      </c>
      <c r="I118" s="269">
        <f>'بيان الاعمال'!BH179</f>
        <v>54</v>
      </c>
      <c r="J118" s="243">
        <f>I118*F118</f>
        <v>964980</v>
      </c>
      <c r="K118" s="280">
        <v>0.95</v>
      </c>
      <c r="L118" s="243">
        <f t="shared" ref="L118:L136" si="18">J118*(1-K118)</f>
        <v>48249.000000000044</v>
      </c>
      <c r="M118" s="243">
        <f t="shared" ref="M118:M136" si="19">J118-L118</f>
        <v>916731</v>
      </c>
      <c r="N118" s="552"/>
      <c r="O118" s="246">
        <f t="shared" si="7"/>
        <v>1</v>
      </c>
      <c r="FF118" s="159"/>
      <c r="FH118" s="347"/>
      <c r="FI118" s="347"/>
      <c r="FJ118" s="347"/>
      <c r="FK118" s="347"/>
      <c r="FL118" s="347"/>
      <c r="FM118" s="347"/>
      <c r="FN118" s="347"/>
    </row>
    <row r="119" spans="1:170" ht="45" customHeight="1" x14ac:dyDescent="0.4">
      <c r="A119" s="1114" t="s">
        <v>43</v>
      </c>
      <c r="B119" s="702" t="s">
        <v>358</v>
      </c>
      <c r="C119" s="1117" t="s">
        <v>33</v>
      </c>
      <c r="D119" s="1120">
        <v>24</v>
      </c>
      <c r="E119" s="1120">
        <f>D119*54</f>
        <v>1296</v>
      </c>
      <c r="F119" s="1120">
        <v>3850</v>
      </c>
      <c r="G119" s="703">
        <v>0</v>
      </c>
      <c r="H119" s="703">
        <f t="shared" si="17"/>
        <v>0</v>
      </c>
      <c r="I119" s="703">
        <f>'بيان الاعمال'!BH181</f>
        <v>0</v>
      </c>
      <c r="J119" s="704">
        <f>F119*I119</f>
        <v>0</v>
      </c>
      <c r="K119" s="705">
        <v>0.2</v>
      </c>
      <c r="L119" s="704">
        <f t="shared" si="18"/>
        <v>0</v>
      </c>
      <c r="M119" s="704">
        <f t="shared" si="19"/>
        <v>0</v>
      </c>
      <c r="N119" s="706"/>
      <c r="O119" s="246">
        <f>648-288</f>
        <v>360</v>
      </c>
      <c r="FF119" s="159"/>
      <c r="FH119" s="160"/>
      <c r="FI119" s="160"/>
      <c r="FJ119" s="160"/>
      <c r="FK119" s="160"/>
      <c r="FL119" s="160"/>
      <c r="FM119" s="160"/>
      <c r="FN119" s="160"/>
    </row>
    <row r="120" spans="1:170" ht="45" customHeight="1" x14ac:dyDescent="0.4">
      <c r="A120" s="1115"/>
      <c r="B120" s="702" t="s">
        <v>555</v>
      </c>
      <c r="C120" s="1118"/>
      <c r="D120" s="1121"/>
      <c r="E120" s="1121"/>
      <c r="F120" s="1121"/>
      <c r="G120" s="703">
        <v>0</v>
      </c>
      <c r="H120" s="703">
        <f t="shared" si="17"/>
        <v>0</v>
      </c>
      <c r="I120" s="703">
        <f>'بيان الاعمال'!BH182</f>
        <v>0</v>
      </c>
      <c r="J120" s="704">
        <f>I120*F119</f>
        <v>0</v>
      </c>
      <c r="K120" s="705">
        <v>0.7</v>
      </c>
      <c r="L120" s="704">
        <f t="shared" si="18"/>
        <v>0</v>
      </c>
      <c r="M120" s="704">
        <f t="shared" si="19"/>
        <v>0</v>
      </c>
      <c r="N120" s="706"/>
      <c r="O120" s="246">
        <f t="shared" si="7"/>
        <v>0</v>
      </c>
      <c r="FF120" s="159"/>
      <c r="FH120" s="160"/>
      <c r="FI120" s="160"/>
      <c r="FJ120" s="160"/>
      <c r="FK120" s="160"/>
      <c r="FL120" s="160"/>
      <c r="FM120" s="160"/>
      <c r="FN120" s="160"/>
    </row>
    <row r="121" spans="1:170" ht="45" customHeight="1" x14ac:dyDescent="0.4">
      <c r="A121" s="1115"/>
      <c r="B121" s="702" t="s">
        <v>660</v>
      </c>
      <c r="C121" s="1118"/>
      <c r="D121" s="1121"/>
      <c r="E121" s="1121"/>
      <c r="F121" s="1121"/>
      <c r="G121" s="703">
        <v>48</v>
      </c>
      <c r="H121" s="703">
        <f t="shared" si="17"/>
        <v>0</v>
      </c>
      <c r="I121" s="703">
        <f>'بيان الاعمال'!BH183</f>
        <v>48</v>
      </c>
      <c r="J121" s="704">
        <f>I121*F119</f>
        <v>184800</v>
      </c>
      <c r="K121" s="705">
        <v>0.9</v>
      </c>
      <c r="L121" s="704">
        <f t="shared" si="18"/>
        <v>18479.999999999996</v>
      </c>
      <c r="M121" s="704">
        <f t="shared" si="19"/>
        <v>166320</v>
      </c>
      <c r="N121" s="706"/>
      <c r="O121" s="246">
        <f t="shared" si="7"/>
        <v>0.88888888888888884</v>
      </c>
      <c r="FF121" s="159"/>
      <c r="FH121" s="344"/>
      <c r="FI121" s="344"/>
      <c r="FJ121" s="344"/>
      <c r="FK121" s="344"/>
      <c r="FL121" s="344"/>
      <c r="FM121" s="344"/>
      <c r="FN121" s="344"/>
    </row>
    <row r="122" spans="1:170" ht="45" customHeight="1" x14ac:dyDescent="0.4">
      <c r="A122" s="1116"/>
      <c r="B122" s="702" t="s">
        <v>770</v>
      </c>
      <c r="C122" s="1119"/>
      <c r="D122" s="1122"/>
      <c r="E122" s="1122"/>
      <c r="F122" s="1122"/>
      <c r="G122" s="703">
        <v>1248</v>
      </c>
      <c r="H122" s="703">
        <f t="shared" si="17"/>
        <v>0</v>
      </c>
      <c r="I122" s="703">
        <f>'بيان الاعمال'!BH184</f>
        <v>1248</v>
      </c>
      <c r="J122" s="704">
        <f>I122*F119</f>
        <v>4804800</v>
      </c>
      <c r="K122" s="705">
        <v>0.97</v>
      </c>
      <c r="L122" s="704">
        <f t="shared" si="18"/>
        <v>144144.00000000012</v>
      </c>
      <c r="M122" s="704">
        <f t="shared" si="19"/>
        <v>4660656</v>
      </c>
      <c r="N122" s="706"/>
      <c r="O122" s="246"/>
      <c r="FF122" s="159"/>
      <c r="FH122" s="700"/>
      <c r="FI122" s="700"/>
      <c r="FJ122" s="700"/>
      <c r="FK122" s="700"/>
      <c r="FL122" s="700"/>
      <c r="FM122" s="700"/>
      <c r="FN122" s="700"/>
    </row>
    <row r="123" spans="1:170" ht="45" hidden="1" customHeight="1" x14ac:dyDescent="0.4">
      <c r="A123" s="1123" t="s">
        <v>41</v>
      </c>
      <c r="B123" s="248" t="s">
        <v>359</v>
      </c>
      <c r="C123" s="1126" t="s">
        <v>33</v>
      </c>
      <c r="D123" s="1129">
        <v>72</v>
      </c>
      <c r="E123" s="1129">
        <f>D123*54</f>
        <v>3888</v>
      </c>
      <c r="F123" s="1129">
        <v>2300</v>
      </c>
      <c r="G123" s="242">
        <v>0</v>
      </c>
      <c r="H123" s="242">
        <f t="shared" si="17"/>
        <v>0</v>
      </c>
      <c r="I123" s="242">
        <f>'بيان الاعمال'!BH186</f>
        <v>0</v>
      </c>
      <c r="J123" s="243">
        <f>F123*I123</f>
        <v>0</v>
      </c>
      <c r="K123" s="244">
        <v>0.2</v>
      </c>
      <c r="L123" s="243">
        <f t="shared" si="18"/>
        <v>0</v>
      </c>
      <c r="M123" s="243">
        <f t="shared" si="19"/>
        <v>0</v>
      </c>
      <c r="N123" s="241"/>
      <c r="O123" s="246">
        <f t="shared" si="7"/>
        <v>0</v>
      </c>
      <c r="FF123" s="159"/>
      <c r="FH123" s="160"/>
      <c r="FI123" s="160"/>
      <c r="FJ123" s="160"/>
      <c r="FK123" s="160"/>
      <c r="FL123" s="160"/>
      <c r="FM123" s="160"/>
      <c r="FN123" s="160"/>
    </row>
    <row r="124" spans="1:170" ht="45" hidden="1" customHeight="1" x14ac:dyDescent="0.4">
      <c r="A124" s="1124"/>
      <c r="B124" s="248" t="s">
        <v>553</v>
      </c>
      <c r="C124" s="1127"/>
      <c r="D124" s="1130"/>
      <c r="E124" s="1130"/>
      <c r="F124" s="1130"/>
      <c r="G124" s="242">
        <v>0</v>
      </c>
      <c r="H124" s="242">
        <f t="shared" si="17"/>
        <v>0</v>
      </c>
      <c r="I124" s="242">
        <f>'بيان الاعمال'!BH187</f>
        <v>0</v>
      </c>
      <c r="J124" s="243">
        <f>I124*F123</f>
        <v>0</v>
      </c>
      <c r="K124" s="244">
        <v>0.7</v>
      </c>
      <c r="L124" s="243">
        <f t="shared" si="18"/>
        <v>0</v>
      </c>
      <c r="M124" s="243">
        <f t="shared" si="19"/>
        <v>0</v>
      </c>
      <c r="N124" s="241"/>
      <c r="O124" s="246">
        <f t="shared" si="7"/>
        <v>0</v>
      </c>
      <c r="FF124" s="159"/>
      <c r="FH124" s="160"/>
      <c r="FI124" s="160"/>
      <c r="FJ124" s="160"/>
      <c r="FK124" s="160"/>
      <c r="FL124" s="160"/>
      <c r="FM124" s="160"/>
      <c r="FN124" s="160"/>
    </row>
    <row r="125" spans="1:170" ht="45" customHeight="1" x14ac:dyDescent="0.4">
      <c r="A125" s="1124"/>
      <c r="B125" s="248" t="s">
        <v>661</v>
      </c>
      <c r="C125" s="1127"/>
      <c r="D125" s="1130"/>
      <c r="E125" s="1130"/>
      <c r="F125" s="1130"/>
      <c r="G125" s="242">
        <v>144</v>
      </c>
      <c r="H125" s="242">
        <f t="shared" si="17"/>
        <v>0</v>
      </c>
      <c r="I125" s="242">
        <f>'بيان الاعمال'!BH188</f>
        <v>144</v>
      </c>
      <c r="J125" s="243">
        <f>I125*F123</f>
        <v>331200</v>
      </c>
      <c r="K125" s="244">
        <v>0.9</v>
      </c>
      <c r="L125" s="243">
        <f t="shared" si="18"/>
        <v>33119.999999999993</v>
      </c>
      <c r="M125" s="243">
        <f t="shared" si="19"/>
        <v>298080</v>
      </c>
      <c r="N125" s="241"/>
      <c r="O125" s="246">
        <f t="shared" si="7"/>
        <v>2.6666666666666665</v>
      </c>
      <c r="FF125" s="159"/>
      <c r="FH125" s="344"/>
      <c r="FI125" s="344"/>
      <c r="FJ125" s="344"/>
      <c r="FK125" s="344"/>
      <c r="FL125" s="344"/>
      <c r="FM125" s="344"/>
      <c r="FN125" s="344"/>
    </row>
    <row r="126" spans="1:170" ht="45" customHeight="1" x14ac:dyDescent="0.4">
      <c r="A126" s="1125"/>
      <c r="B126" s="248" t="s">
        <v>771</v>
      </c>
      <c r="C126" s="1128"/>
      <c r="D126" s="1131"/>
      <c r="E126" s="1131"/>
      <c r="F126" s="1131"/>
      <c r="G126" s="242">
        <v>3744</v>
      </c>
      <c r="H126" s="242">
        <f t="shared" si="17"/>
        <v>0</v>
      </c>
      <c r="I126" s="242">
        <f>'بيان الاعمال'!BH189</f>
        <v>3744</v>
      </c>
      <c r="J126" s="243">
        <f>I126*F123</f>
        <v>8611200</v>
      </c>
      <c r="K126" s="244">
        <v>0.97</v>
      </c>
      <c r="L126" s="243">
        <f t="shared" si="18"/>
        <v>258336.00000000023</v>
      </c>
      <c r="M126" s="243">
        <f t="shared" si="19"/>
        <v>8352864</v>
      </c>
      <c r="N126" s="241"/>
      <c r="O126" s="246"/>
      <c r="FF126" s="159"/>
      <c r="FH126" s="700"/>
      <c r="FI126" s="700"/>
      <c r="FJ126" s="700"/>
      <c r="FK126" s="700"/>
      <c r="FL126" s="700"/>
      <c r="FM126" s="700"/>
      <c r="FN126" s="700"/>
    </row>
    <row r="127" spans="1:170" ht="45" hidden="1" customHeight="1" x14ac:dyDescent="0.4">
      <c r="A127" s="1114" t="s">
        <v>42</v>
      </c>
      <c r="B127" s="702" t="s">
        <v>360</v>
      </c>
      <c r="C127" s="1117" t="s">
        <v>33</v>
      </c>
      <c r="D127" s="1120">
        <v>48</v>
      </c>
      <c r="E127" s="1120">
        <f>D127*54</f>
        <v>2592</v>
      </c>
      <c r="F127" s="1120">
        <v>2750</v>
      </c>
      <c r="G127" s="703">
        <v>0</v>
      </c>
      <c r="H127" s="703">
        <f t="shared" si="17"/>
        <v>0</v>
      </c>
      <c r="I127" s="703">
        <f>'بيان الاعمال'!BH191</f>
        <v>0</v>
      </c>
      <c r="J127" s="704">
        <f>F127*I127</f>
        <v>0</v>
      </c>
      <c r="K127" s="705">
        <v>0.2</v>
      </c>
      <c r="L127" s="704">
        <f t="shared" si="18"/>
        <v>0</v>
      </c>
      <c r="M127" s="704">
        <f t="shared" si="19"/>
        <v>0</v>
      </c>
      <c r="N127" s="707"/>
      <c r="O127" s="246">
        <f>432-192</f>
        <v>240</v>
      </c>
      <c r="FF127" s="159"/>
      <c r="FH127" s="160"/>
      <c r="FI127" s="160"/>
      <c r="FJ127" s="160"/>
      <c r="FK127" s="160"/>
      <c r="FL127" s="160"/>
      <c r="FM127" s="160"/>
      <c r="FN127" s="160"/>
    </row>
    <row r="128" spans="1:170" ht="45" hidden="1" customHeight="1" x14ac:dyDescent="0.4">
      <c r="A128" s="1115"/>
      <c r="B128" s="702" t="s">
        <v>554</v>
      </c>
      <c r="C128" s="1118"/>
      <c r="D128" s="1121"/>
      <c r="E128" s="1121"/>
      <c r="F128" s="1121"/>
      <c r="G128" s="703">
        <v>0</v>
      </c>
      <c r="H128" s="703">
        <f t="shared" si="17"/>
        <v>0</v>
      </c>
      <c r="I128" s="703">
        <f>'بيان الاعمال'!BH192</f>
        <v>0</v>
      </c>
      <c r="J128" s="704">
        <f>I128*F127</f>
        <v>0</v>
      </c>
      <c r="K128" s="705">
        <v>0.7</v>
      </c>
      <c r="L128" s="704">
        <f t="shared" si="18"/>
        <v>0</v>
      </c>
      <c r="M128" s="704">
        <f t="shared" si="19"/>
        <v>0</v>
      </c>
      <c r="N128" s="706"/>
      <c r="O128" s="246">
        <f t="shared" si="7"/>
        <v>0</v>
      </c>
      <c r="FF128" s="159"/>
      <c r="FH128" s="160"/>
      <c r="FI128" s="160"/>
      <c r="FJ128" s="160"/>
      <c r="FK128" s="160"/>
      <c r="FL128" s="160"/>
      <c r="FM128" s="160"/>
      <c r="FN128" s="160"/>
    </row>
    <row r="129" spans="1:170" ht="45" customHeight="1" x14ac:dyDescent="0.4">
      <c r="A129" s="1115"/>
      <c r="B129" s="702" t="s">
        <v>662</v>
      </c>
      <c r="C129" s="1118"/>
      <c r="D129" s="1121"/>
      <c r="E129" s="1121"/>
      <c r="F129" s="1121"/>
      <c r="G129" s="703">
        <v>96</v>
      </c>
      <c r="H129" s="703">
        <f t="shared" si="17"/>
        <v>0</v>
      </c>
      <c r="I129" s="703">
        <f>'بيان الاعمال'!BH193</f>
        <v>96</v>
      </c>
      <c r="J129" s="704">
        <f>I129*F127</f>
        <v>264000</v>
      </c>
      <c r="K129" s="705">
        <v>0.9</v>
      </c>
      <c r="L129" s="704">
        <f t="shared" si="18"/>
        <v>26399.999999999993</v>
      </c>
      <c r="M129" s="704">
        <f t="shared" si="19"/>
        <v>237600</v>
      </c>
      <c r="N129" s="706"/>
      <c r="O129" s="246">
        <f t="shared" si="7"/>
        <v>1.7777777777777777</v>
      </c>
      <c r="FF129" s="159"/>
      <c r="FH129" s="344"/>
      <c r="FI129" s="344"/>
      <c r="FJ129" s="344"/>
      <c r="FK129" s="344"/>
      <c r="FL129" s="344"/>
      <c r="FM129" s="344"/>
      <c r="FN129" s="344"/>
    </row>
    <row r="130" spans="1:170" ht="45" customHeight="1" x14ac:dyDescent="0.4">
      <c r="A130" s="1116"/>
      <c r="B130" s="702" t="s">
        <v>772</v>
      </c>
      <c r="C130" s="1119"/>
      <c r="D130" s="1122"/>
      <c r="E130" s="1122"/>
      <c r="F130" s="1122"/>
      <c r="G130" s="703">
        <v>2496</v>
      </c>
      <c r="H130" s="703">
        <f t="shared" si="17"/>
        <v>0</v>
      </c>
      <c r="I130" s="703">
        <f>'بيان الاعمال'!BH194</f>
        <v>2496</v>
      </c>
      <c r="J130" s="704">
        <f>I130*F127</f>
        <v>6864000</v>
      </c>
      <c r="K130" s="705">
        <v>0.97</v>
      </c>
      <c r="L130" s="704">
        <f t="shared" si="18"/>
        <v>205920.00000000017</v>
      </c>
      <c r="M130" s="704">
        <f t="shared" si="19"/>
        <v>6658080</v>
      </c>
      <c r="N130" s="706"/>
      <c r="O130" s="246"/>
      <c r="FF130" s="159"/>
      <c r="FH130" s="700"/>
      <c r="FI130" s="700"/>
      <c r="FJ130" s="700"/>
      <c r="FK130" s="700"/>
      <c r="FL130" s="700"/>
      <c r="FM130" s="700"/>
      <c r="FN130" s="700"/>
    </row>
    <row r="131" spans="1:170" ht="43.15" customHeight="1" x14ac:dyDescent="0.4">
      <c r="A131" s="271" t="s">
        <v>600</v>
      </c>
      <c r="B131" s="248" t="s">
        <v>579</v>
      </c>
      <c r="C131" s="272" t="s">
        <v>33</v>
      </c>
      <c r="D131" s="273">
        <v>24</v>
      </c>
      <c r="E131" s="273">
        <f>D131*54</f>
        <v>1296</v>
      </c>
      <c r="F131" s="273">
        <v>3450</v>
      </c>
      <c r="G131" s="242">
        <v>1248</v>
      </c>
      <c r="H131" s="242">
        <f t="shared" si="17"/>
        <v>0</v>
      </c>
      <c r="I131" s="242">
        <f>FLOOR(IF('بيان الاعمال'!BH197&lt;مستخلص!E131,'بيان الاعمال'!BH197,مستخلص!E131),1)</f>
        <v>1248</v>
      </c>
      <c r="J131" s="243">
        <f t="shared" ref="J131:J136" si="20">I131*F131</f>
        <v>4305600</v>
      </c>
      <c r="K131" s="244">
        <v>0.99</v>
      </c>
      <c r="L131" s="243">
        <f t="shared" si="18"/>
        <v>43056.000000000036</v>
      </c>
      <c r="M131" s="243">
        <f t="shared" si="19"/>
        <v>4262544</v>
      </c>
      <c r="N131" s="241"/>
      <c r="O131" s="246">
        <f t="shared" si="7"/>
        <v>23.111111111111111</v>
      </c>
      <c r="FF131" s="159"/>
      <c r="FH131" s="160"/>
      <c r="FI131" s="160"/>
      <c r="FJ131" s="160"/>
      <c r="FK131" s="160"/>
      <c r="FL131" s="160"/>
      <c r="FM131" s="160"/>
      <c r="FN131" s="160"/>
    </row>
    <row r="132" spans="1:170" ht="45" customHeight="1" x14ac:dyDescent="0.4">
      <c r="A132" s="271" t="s">
        <v>601</v>
      </c>
      <c r="B132" s="248" t="s">
        <v>580</v>
      </c>
      <c r="C132" s="272" t="s">
        <v>33</v>
      </c>
      <c r="D132" s="273">
        <v>24</v>
      </c>
      <c r="E132" s="273">
        <f>D132*54</f>
        <v>1296</v>
      </c>
      <c r="F132" s="273">
        <v>6900</v>
      </c>
      <c r="G132" s="242">
        <v>1248</v>
      </c>
      <c r="H132" s="242">
        <f t="shared" si="17"/>
        <v>0</v>
      </c>
      <c r="I132" s="242">
        <f>FLOOR(IF('بيان الاعمال'!BH199&lt;مستخلص!E132,'بيان الاعمال'!BH199,مستخلص!E132),1)</f>
        <v>1248</v>
      </c>
      <c r="J132" s="243">
        <f t="shared" si="20"/>
        <v>8611200</v>
      </c>
      <c r="K132" s="244">
        <v>0.99</v>
      </c>
      <c r="L132" s="243">
        <f t="shared" si="18"/>
        <v>86112.000000000073</v>
      </c>
      <c r="M132" s="243">
        <f t="shared" si="19"/>
        <v>8525088</v>
      </c>
      <c r="N132" s="241"/>
      <c r="O132" s="246">
        <f t="shared" si="7"/>
        <v>23.111111111111111</v>
      </c>
      <c r="FF132" s="159"/>
      <c r="FH132" s="160"/>
      <c r="FI132" s="160"/>
      <c r="FJ132" s="160"/>
      <c r="FK132" s="160"/>
      <c r="FL132" s="160"/>
      <c r="FM132" s="160"/>
      <c r="FN132" s="160"/>
    </row>
    <row r="133" spans="1:170" ht="45" customHeight="1" x14ac:dyDescent="0.4">
      <c r="A133" s="271" t="s">
        <v>602</v>
      </c>
      <c r="B133" s="248" t="s">
        <v>581</v>
      </c>
      <c r="C133" s="272" t="s">
        <v>33</v>
      </c>
      <c r="D133" s="273">
        <v>72</v>
      </c>
      <c r="E133" s="273">
        <f>D133*54</f>
        <v>3888</v>
      </c>
      <c r="F133" s="273">
        <v>2350</v>
      </c>
      <c r="G133" s="242">
        <v>3744</v>
      </c>
      <c r="H133" s="242">
        <f t="shared" si="17"/>
        <v>0</v>
      </c>
      <c r="I133" s="242">
        <f>FLOOR(IF('بيان الاعمال'!BH201&lt;مستخلص!E133,'بيان الاعمال'!BH201,مستخلص!E133),1)</f>
        <v>3744</v>
      </c>
      <c r="J133" s="243">
        <f t="shared" si="20"/>
        <v>8798400</v>
      </c>
      <c r="K133" s="244">
        <v>0.99</v>
      </c>
      <c r="L133" s="243">
        <f t="shared" si="18"/>
        <v>87984.000000000073</v>
      </c>
      <c r="M133" s="243">
        <f t="shared" si="19"/>
        <v>8710416</v>
      </c>
      <c r="N133" s="241"/>
      <c r="O133" s="246">
        <f t="shared" si="7"/>
        <v>69.333333333333329</v>
      </c>
      <c r="FF133" s="159"/>
      <c r="FH133" s="160"/>
      <c r="FI133" s="160"/>
      <c r="FJ133" s="160"/>
      <c r="FK133" s="160"/>
      <c r="FL133" s="160"/>
      <c r="FM133" s="160"/>
      <c r="FN133" s="160"/>
    </row>
    <row r="134" spans="1:170" ht="45" customHeight="1" x14ac:dyDescent="0.4">
      <c r="A134" s="271" t="s">
        <v>603</v>
      </c>
      <c r="B134" s="248" t="s">
        <v>582</v>
      </c>
      <c r="C134" s="272" t="s">
        <v>33</v>
      </c>
      <c r="D134" s="273">
        <v>24</v>
      </c>
      <c r="E134" s="273">
        <f>D134*54</f>
        <v>1296</v>
      </c>
      <c r="F134" s="273">
        <v>1960</v>
      </c>
      <c r="G134" s="242">
        <v>1248</v>
      </c>
      <c r="H134" s="242">
        <f t="shared" si="17"/>
        <v>0</v>
      </c>
      <c r="I134" s="242">
        <f>FLOOR(IF('بيان الاعمال'!BH203&lt;مستخلص!E134,'بيان الاعمال'!BH203,مستخلص!E134),1)</f>
        <v>1248</v>
      </c>
      <c r="J134" s="243">
        <f t="shared" si="20"/>
        <v>2446080</v>
      </c>
      <c r="K134" s="244">
        <v>0.99</v>
      </c>
      <c r="L134" s="243">
        <f t="shared" si="18"/>
        <v>24460.800000000021</v>
      </c>
      <c r="M134" s="243">
        <f t="shared" si="19"/>
        <v>2421619.2000000002</v>
      </c>
      <c r="N134" s="241"/>
      <c r="O134" s="246">
        <f t="shared" si="7"/>
        <v>23.111111111111111</v>
      </c>
      <c r="FF134" s="159"/>
      <c r="FH134" s="160"/>
      <c r="FI134" s="160"/>
      <c r="FJ134" s="160"/>
      <c r="FK134" s="160"/>
      <c r="FL134" s="160"/>
      <c r="FM134" s="160"/>
      <c r="FN134" s="160"/>
    </row>
    <row r="135" spans="1:170" ht="45" customHeight="1" x14ac:dyDescent="0.4">
      <c r="A135" s="271" t="s">
        <v>583</v>
      </c>
      <c r="B135" s="248" t="s">
        <v>584</v>
      </c>
      <c r="C135" s="272" t="s">
        <v>33</v>
      </c>
      <c r="D135" s="273">
        <v>24</v>
      </c>
      <c r="E135" s="273">
        <f t="shared" ref="E135" si="21">D135*54</f>
        <v>1296</v>
      </c>
      <c r="F135" s="273">
        <v>1960</v>
      </c>
      <c r="G135" s="242">
        <v>1248</v>
      </c>
      <c r="H135" s="242">
        <f t="shared" si="17"/>
        <v>0</v>
      </c>
      <c r="I135" s="242">
        <f>FLOOR(IF('بيان الاعمال'!BH205&lt;مستخلص!E135,'بيان الاعمال'!BH205,مستخلص!E135),1)</f>
        <v>1248</v>
      </c>
      <c r="J135" s="243">
        <f t="shared" si="20"/>
        <v>2446080</v>
      </c>
      <c r="K135" s="244">
        <v>0.99</v>
      </c>
      <c r="L135" s="243">
        <f t="shared" si="18"/>
        <v>24460.800000000021</v>
      </c>
      <c r="M135" s="243">
        <f t="shared" si="19"/>
        <v>2421619.2000000002</v>
      </c>
      <c r="N135" s="241"/>
      <c r="O135" s="246">
        <f t="shared" si="7"/>
        <v>23.111111111111111</v>
      </c>
      <c r="FF135" s="159"/>
      <c r="FH135" s="160"/>
      <c r="FI135" s="160"/>
      <c r="FJ135" s="160"/>
      <c r="FK135" s="160"/>
      <c r="FL135" s="160"/>
      <c r="FM135" s="160"/>
      <c r="FN135" s="160"/>
    </row>
    <row r="136" spans="1:170" ht="37.15" customHeight="1" x14ac:dyDescent="0.4">
      <c r="A136" s="271" t="s">
        <v>604</v>
      </c>
      <c r="B136" s="248" t="s">
        <v>585</v>
      </c>
      <c r="C136" s="272" t="s">
        <v>33</v>
      </c>
      <c r="D136" s="273">
        <v>20</v>
      </c>
      <c r="E136" s="273">
        <f>D136*54</f>
        <v>1080</v>
      </c>
      <c r="F136" s="273">
        <v>1960</v>
      </c>
      <c r="G136" s="242">
        <v>1040</v>
      </c>
      <c r="H136" s="242">
        <f t="shared" si="17"/>
        <v>0</v>
      </c>
      <c r="I136" s="242">
        <f>FLOOR(IF('بيان الاعمال'!BH207&lt;مستخلص!E136,'بيان الاعمال'!BH207,مستخلص!E136),1)</f>
        <v>1040</v>
      </c>
      <c r="J136" s="243">
        <f t="shared" si="20"/>
        <v>2038400</v>
      </c>
      <c r="K136" s="244">
        <v>0.99</v>
      </c>
      <c r="L136" s="243">
        <f t="shared" si="18"/>
        <v>20384.000000000018</v>
      </c>
      <c r="M136" s="243">
        <f t="shared" si="19"/>
        <v>2018016</v>
      </c>
      <c r="N136" s="241"/>
      <c r="O136" s="246">
        <f t="shared" si="7"/>
        <v>19.25925925925926</v>
      </c>
      <c r="FF136" s="159"/>
      <c r="FH136" s="160"/>
      <c r="FI136" s="160"/>
      <c r="FJ136" s="160"/>
      <c r="FK136" s="160"/>
      <c r="FL136" s="160"/>
      <c r="FM136" s="160"/>
      <c r="FN136" s="160"/>
    </row>
    <row r="137" spans="1:170" ht="42" customHeight="1" x14ac:dyDescent="0.4">
      <c r="A137" s="1144" t="s">
        <v>23</v>
      </c>
      <c r="B137" s="1144"/>
      <c r="C137" s="1144"/>
      <c r="D137" s="1144"/>
      <c r="E137" s="1144"/>
      <c r="F137" s="1144"/>
      <c r="G137" s="1144"/>
      <c r="H137" s="1144"/>
      <c r="I137" s="1144"/>
      <c r="J137" s="236">
        <f>SUM(J107:J136)</f>
        <v>400542280</v>
      </c>
      <c r="K137" s="236"/>
      <c r="L137" s="236">
        <f>SUM(L107:L136)</f>
        <v>2125060.4000000018</v>
      </c>
      <c r="M137" s="236">
        <f>SUM(M107:M136)</f>
        <v>398417219.59999996</v>
      </c>
      <c r="N137" s="236"/>
      <c r="O137" s="246">
        <f t="shared" si="7"/>
        <v>0</v>
      </c>
      <c r="FF137" s="159"/>
      <c r="FH137" s="160"/>
      <c r="FI137" s="160"/>
      <c r="FJ137" s="160"/>
      <c r="FK137" s="160"/>
      <c r="FL137" s="160"/>
      <c r="FM137" s="160"/>
      <c r="FN137" s="160"/>
    </row>
    <row r="138" spans="1:170" ht="27" customHeight="1" x14ac:dyDescent="0.4">
      <c r="A138" s="1139" t="s">
        <v>24</v>
      </c>
      <c r="B138" s="1139"/>
      <c r="C138" s="1139"/>
      <c r="D138" s="1139"/>
      <c r="E138" s="1139"/>
      <c r="F138" s="1139"/>
      <c r="G138" s="1139"/>
      <c r="H138" s="260"/>
      <c r="I138" s="260"/>
      <c r="J138" s="78"/>
      <c r="K138" s="78"/>
      <c r="L138" s="78"/>
      <c r="M138" s="162"/>
      <c r="N138" s="162"/>
      <c r="O138" s="246">
        <f t="shared" si="7"/>
        <v>0</v>
      </c>
      <c r="FF138" s="159"/>
      <c r="FH138" s="160"/>
      <c r="FI138" s="160"/>
      <c r="FJ138" s="160"/>
      <c r="FK138" s="160"/>
      <c r="FL138" s="160"/>
      <c r="FM138" s="160"/>
      <c r="FN138" s="160"/>
    </row>
    <row r="139" spans="1:170" ht="28.15" customHeight="1" x14ac:dyDescent="0.4">
      <c r="A139" s="261"/>
      <c r="B139" s="262" t="s">
        <v>25</v>
      </c>
      <c r="C139" s="1140" t="s">
        <v>26</v>
      </c>
      <c r="D139" s="1140"/>
      <c r="E139" s="1140"/>
      <c r="F139" s="1140"/>
      <c r="G139" s="1140"/>
      <c r="H139" s="1140"/>
      <c r="I139" s="1140"/>
      <c r="J139" s="1140"/>
      <c r="K139" s="1140"/>
      <c r="L139" s="1140"/>
      <c r="M139" s="1140"/>
      <c r="N139" s="1140"/>
      <c r="O139" s="246">
        <f t="shared" si="7"/>
        <v>0</v>
      </c>
      <c r="FF139" s="159"/>
      <c r="FH139" s="160"/>
      <c r="FI139" s="160"/>
      <c r="FJ139" s="160"/>
      <c r="FK139" s="160"/>
      <c r="FL139" s="160"/>
      <c r="FM139" s="160"/>
      <c r="FN139" s="160"/>
    </row>
    <row r="140" spans="1:170" ht="4.9000000000000004" customHeight="1" x14ac:dyDescent="0.4">
      <c r="A140" s="263"/>
      <c r="B140" s="264"/>
      <c r="C140" s="265"/>
      <c r="D140" s="265"/>
      <c r="E140" s="265"/>
      <c r="F140" s="265"/>
      <c r="G140" s="266"/>
      <c r="H140" s="266"/>
      <c r="I140" s="266"/>
      <c r="J140" s="265"/>
      <c r="K140" s="267"/>
      <c r="L140" s="265"/>
      <c r="M140" s="265"/>
      <c r="N140" s="265"/>
      <c r="O140" s="246">
        <f t="shared" si="7"/>
        <v>0</v>
      </c>
      <c r="FF140" s="159"/>
      <c r="FH140" s="160"/>
      <c r="FI140" s="160"/>
      <c r="FJ140" s="160"/>
      <c r="FK140" s="160"/>
      <c r="FL140" s="160"/>
      <c r="FM140" s="160"/>
      <c r="FN140" s="160"/>
    </row>
    <row r="141" spans="1:170" ht="39" customHeight="1" x14ac:dyDescent="0.4">
      <c r="A141" s="1104" t="s">
        <v>27</v>
      </c>
      <c r="B141" s="1105"/>
      <c r="C141" s="1104" t="s">
        <v>61</v>
      </c>
      <c r="D141" s="1143"/>
      <c r="E141" s="1143"/>
      <c r="F141" s="1143"/>
      <c r="G141" s="1143"/>
      <c r="H141" s="1143"/>
      <c r="I141" s="1105"/>
      <c r="J141" s="1107" t="s">
        <v>62</v>
      </c>
      <c r="K141" s="1107"/>
      <c r="L141" s="1107"/>
      <c r="M141" s="1107"/>
      <c r="N141" s="1107"/>
      <c r="O141" s="246">
        <f t="shared" si="7"/>
        <v>0</v>
      </c>
      <c r="FF141" s="159"/>
      <c r="FH141" s="160"/>
      <c r="FI141" s="160"/>
      <c r="FJ141" s="160"/>
      <c r="FK141" s="160"/>
      <c r="FL141" s="160"/>
      <c r="FM141" s="160"/>
      <c r="FN141" s="160"/>
    </row>
    <row r="142" spans="1:170" ht="39" customHeight="1" x14ac:dyDescent="0.4">
      <c r="A142" s="1102" t="s">
        <v>513</v>
      </c>
      <c r="B142" s="1103"/>
      <c r="C142" s="1104" t="s">
        <v>28</v>
      </c>
      <c r="D142" s="1105"/>
      <c r="E142" s="1106" t="s">
        <v>63</v>
      </c>
      <c r="F142" s="1106"/>
      <c r="G142" s="1107" t="s">
        <v>557</v>
      </c>
      <c r="H142" s="1107"/>
      <c r="I142" s="1107"/>
      <c r="J142" s="762" t="s">
        <v>793</v>
      </c>
      <c r="K142" s="765" t="s">
        <v>512</v>
      </c>
      <c r="L142" s="1141" t="s">
        <v>795</v>
      </c>
      <c r="M142" s="1142"/>
      <c r="N142" s="756" t="s">
        <v>69</v>
      </c>
      <c r="O142" s="246">
        <f t="shared" si="7"/>
        <v>0</v>
      </c>
      <c r="FF142" s="159"/>
      <c r="FH142" s="160"/>
      <c r="FI142" s="160"/>
      <c r="FJ142" s="160"/>
      <c r="FK142" s="160"/>
      <c r="FL142" s="160"/>
      <c r="FM142" s="160"/>
      <c r="FN142" s="160"/>
    </row>
    <row r="143" spans="1:170" ht="37.9" customHeight="1" x14ac:dyDescent="0.4">
      <c r="A143" s="1110" t="s">
        <v>514</v>
      </c>
      <c r="B143" s="1111"/>
      <c r="C143" s="1112" t="s">
        <v>702</v>
      </c>
      <c r="D143" s="1113"/>
      <c r="E143" s="1107" t="s">
        <v>515</v>
      </c>
      <c r="F143" s="1107"/>
      <c r="G143" s="1107" t="s">
        <v>152</v>
      </c>
      <c r="H143" s="1107"/>
      <c r="I143" s="1104"/>
      <c r="J143" s="763" t="s">
        <v>322</v>
      </c>
      <c r="K143" s="764" t="s">
        <v>794</v>
      </c>
      <c r="L143" s="1104" t="s">
        <v>796</v>
      </c>
      <c r="M143" s="1105"/>
      <c r="N143" s="268" t="s">
        <v>739</v>
      </c>
      <c r="O143" s="246">
        <f t="shared" si="7"/>
        <v>0</v>
      </c>
      <c r="FF143" s="159"/>
      <c r="FH143" s="160"/>
      <c r="FI143" s="160"/>
      <c r="FJ143" s="160"/>
      <c r="FK143" s="160"/>
      <c r="FL143" s="160"/>
      <c r="FM143" s="160"/>
      <c r="FN143" s="160"/>
    </row>
    <row r="144" spans="1:170" ht="50.1" customHeight="1" x14ac:dyDescent="0.4">
      <c r="A144" s="133" t="s">
        <v>511</v>
      </c>
      <c r="B144" s="134" t="s">
        <v>561</v>
      </c>
      <c r="C144" s="68" t="s">
        <v>74</v>
      </c>
      <c r="D144" s="68"/>
      <c r="E144" s="69"/>
      <c r="F144" s="70"/>
      <c r="G144" s="68" t="s">
        <v>64</v>
      </c>
      <c r="H144" s="71"/>
      <c r="I144" s="69"/>
      <c r="J144" s="69" t="s">
        <v>64</v>
      </c>
      <c r="K144" s="766" t="s">
        <v>64</v>
      </c>
      <c r="L144" s="135" t="s">
        <v>70</v>
      </c>
      <c r="M144" s="68"/>
      <c r="N144" s="68" t="s">
        <v>70</v>
      </c>
      <c r="O144" s="246">
        <f t="shared" si="7"/>
        <v>0</v>
      </c>
      <c r="FF144" s="159"/>
      <c r="FH144" s="160"/>
      <c r="FI144" s="160"/>
      <c r="FJ144" s="160"/>
      <c r="FK144" s="160"/>
      <c r="FL144" s="160"/>
      <c r="FM144" s="160"/>
      <c r="FN144" s="160"/>
    </row>
    <row r="145" spans="1:170" ht="19.149999999999999" customHeight="1" x14ac:dyDescent="0.4">
      <c r="A145" s="72"/>
      <c r="B145" s="72"/>
      <c r="C145" s="71"/>
      <c r="D145" s="71"/>
      <c r="E145" s="71"/>
      <c r="F145" s="71"/>
      <c r="G145" s="71"/>
      <c r="H145" s="71"/>
      <c r="I145" s="71"/>
      <c r="J145" s="1135"/>
      <c r="K145" s="1135"/>
      <c r="L145" s="71"/>
      <c r="M145" s="1136" t="s">
        <v>65</v>
      </c>
      <c r="N145" s="1136"/>
      <c r="O145" s="246">
        <f t="shared" si="7"/>
        <v>0</v>
      </c>
      <c r="FF145" s="159"/>
      <c r="FH145" s="160"/>
      <c r="FI145" s="160"/>
      <c r="FJ145" s="160"/>
      <c r="FK145" s="160"/>
      <c r="FL145" s="160"/>
      <c r="FM145" s="160"/>
      <c r="FN145" s="160"/>
    </row>
    <row r="146" spans="1:170" ht="30" customHeight="1" x14ac:dyDescent="0.4">
      <c r="A146" s="72"/>
      <c r="B146" s="72"/>
      <c r="C146" s="71"/>
      <c r="D146" s="1100" t="s">
        <v>558</v>
      </c>
      <c r="E146" s="1100"/>
      <c r="F146" s="1100"/>
      <c r="G146" s="1100"/>
      <c r="H146" s="71"/>
      <c r="I146" s="71"/>
      <c r="J146" s="1132" t="s">
        <v>560</v>
      </c>
      <c r="K146" s="1133"/>
      <c r="L146" s="1134"/>
      <c r="M146" s="1137" t="s">
        <v>67</v>
      </c>
      <c r="N146" s="1138"/>
      <c r="O146" s="246">
        <f t="shared" si="7"/>
        <v>0</v>
      </c>
      <c r="FF146" s="159"/>
      <c r="FH146" s="160"/>
      <c r="FI146" s="160"/>
      <c r="FJ146" s="160"/>
      <c r="FK146" s="160"/>
      <c r="FL146" s="160"/>
      <c r="FM146" s="160"/>
      <c r="FN146" s="160"/>
    </row>
    <row r="147" spans="1:170" ht="27" customHeight="1" x14ac:dyDescent="0.4">
      <c r="A147" s="68"/>
      <c r="B147" s="73"/>
      <c r="C147" s="74"/>
      <c r="D147" s="1100" t="s">
        <v>153</v>
      </c>
      <c r="E147" s="1100"/>
      <c r="F147" s="1100"/>
      <c r="G147" s="1100"/>
      <c r="H147" s="68"/>
      <c r="I147" s="71"/>
      <c r="J147" s="1132" t="s">
        <v>797</v>
      </c>
      <c r="K147" s="1133"/>
      <c r="L147" s="1134"/>
      <c r="M147" s="1108" t="s">
        <v>481</v>
      </c>
      <c r="N147" s="1109"/>
      <c r="O147" s="246">
        <f t="shared" ref="O147:O209" si="22">I147/54</f>
        <v>0</v>
      </c>
      <c r="FF147" s="159"/>
      <c r="FH147" s="160"/>
      <c r="FI147" s="160"/>
      <c r="FJ147" s="160"/>
      <c r="FK147" s="160"/>
      <c r="FL147" s="160"/>
      <c r="FM147" s="160"/>
      <c r="FN147" s="160"/>
    </row>
    <row r="148" spans="1:170" ht="39" customHeight="1" x14ac:dyDescent="0.4">
      <c r="A148" s="75"/>
      <c r="B148" s="76"/>
      <c r="C148" s="77"/>
      <c r="D148" s="68" t="s">
        <v>233</v>
      </c>
      <c r="E148" s="78"/>
      <c r="F148" s="79"/>
      <c r="G148" s="75"/>
      <c r="H148" s="79"/>
      <c r="I148" s="71"/>
      <c r="J148" s="68" t="s">
        <v>231</v>
      </c>
      <c r="K148" s="78"/>
      <c r="L148" s="79"/>
      <c r="M148" s="757" t="s">
        <v>232</v>
      </c>
      <c r="N148" s="81"/>
      <c r="O148" s="246">
        <f t="shared" si="22"/>
        <v>0</v>
      </c>
      <c r="FF148" s="159"/>
      <c r="FH148" s="160"/>
      <c r="FI148" s="160"/>
      <c r="FJ148" s="160"/>
      <c r="FK148" s="160"/>
      <c r="FL148" s="160"/>
      <c r="FM148" s="160"/>
      <c r="FN148" s="160"/>
    </row>
    <row r="149" spans="1:170" ht="50.1" customHeight="1" x14ac:dyDescent="0.4">
      <c r="A149" s="1101" t="s">
        <v>31</v>
      </c>
      <c r="B149" s="1101"/>
      <c r="C149" s="1101"/>
      <c r="D149" s="1101"/>
      <c r="E149" s="1101"/>
      <c r="F149" s="1101"/>
      <c r="G149" s="1101"/>
      <c r="H149" s="1101"/>
      <c r="I149" s="1101"/>
      <c r="J149" s="243">
        <f>J137</f>
        <v>400542280</v>
      </c>
      <c r="K149" s="244"/>
      <c r="L149" s="243">
        <f>L137</f>
        <v>2125060.4000000018</v>
      </c>
      <c r="M149" s="243">
        <f>M137</f>
        <v>398417219.59999996</v>
      </c>
      <c r="N149" s="245"/>
      <c r="O149" s="246">
        <f t="shared" si="22"/>
        <v>0</v>
      </c>
      <c r="FF149" s="159"/>
      <c r="FH149" s="160"/>
      <c r="FI149" s="160"/>
      <c r="FJ149" s="160"/>
      <c r="FK149" s="160"/>
      <c r="FL149" s="160"/>
      <c r="FM149" s="160"/>
      <c r="FN149" s="160"/>
    </row>
    <row r="150" spans="1:170" ht="39.950000000000003" customHeight="1" x14ac:dyDescent="0.4">
      <c r="A150" s="1145" t="s">
        <v>374</v>
      </c>
      <c r="B150" s="1145"/>
      <c r="C150" s="1145"/>
      <c r="D150" s="253"/>
      <c r="E150" s="250"/>
      <c r="F150" s="250"/>
      <c r="G150" s="252"/>
      <c r="H150" s="252"/>
      <c r="I150" s="252"/>
      <c r="J150" s="252"/>
      <c r="K150" s="235"/>
      <c r="L150" s="252"/>
      <c r="M150" s="252"/>
      <c r="N150" s="237"/>
      <c r="O150" s="246">
        <f t="shared" si="22"/>
        <v>0</v>
      </c>
      <c r="FF150" s="159"/>
      <c r="FH150" s="160"/>
      <c r="FI150" s="160"/>
      <c r="FJ150" s="160"/>
      <c r="FK150" s="160"/>
      <c r="FL150" s="160"/>
      <c r="FM150" s="160"/>
      <c r="FN150" s="160"/>
    </row>
    <row r="151" spans="1:170" ht="50.1" customHeight="1" x14ac:dyDescent="0.4">
      <c r="A151" s="238" t="s">
        <v>546</v>
      </c>
      <c r="B151" s="248" t="s">
        <v>365</v>
      </c>
      <c r="C151" s="240" t="s">
        <v>32</v>
      </c>
      <c r="D151" s="241">
        <v>2500</v>
      </c>
      <c r="E151" s="241">
        <f>D151*54</f>
        <v>135000</v>
      </c>
      <c r="F151" s="241">
        <v>35</v>
      </c>
      <c r="G151" s="241">
        <v>143100</v>
      </c>
      <c r="H151" s="241">
        <f>I151-G151</f>
        <v>0</v>
      </c>
      <c r="I151" s="242">
        <f>2650*54</f>
        <v>143100</v>
      </c>
      <c r="J151" s="243">
        <f>F151*I151</f>
        <v>5008500</v>
      </c>
      <c r="K151" s="244">
        <v>0.99</v>
      </c>
      <c r="L151" s="243">
        <f>J151*(1-K151)</f>
        <v>50085.000000000044</v>
      </c>
      <c r="M151" s="243">
        <f>J151-L151</f>
        <v>4958415</v>
      </c>
      <c r="N151" s="323"/>
      <c r="O151" s="246">
        <f t="shared" si="22"/>
        <v>2650</v>
      </c>
      <c r="FF151" s="159"/>
      <c r="FH151" s="160"/>
      <c r="FI151" s="160"/>
      <c r="FJ151" s="160"/>
      <c r="FK151" s="160"/>
      <c r="FL151" s="160"/>
      <c r="FM151" s="160"/>
      <c r="FN151" s="160"/>
    </row>
    <row r="152" spans="1:170" ht="50.1" customHeight="1" x14ac:dyDescent="0.4">
      <c r="A152" s="238" t="s">
        <v>568</v>
      </c>
      <c r="B152" s="248" t="s">
        <v>569</v>
      </c>
      <c r="C152" s="240" t="s">
        <v>32</v>
      </c>
      <c r="D152" s="241">
        <v>1500</v>
      </c>
      <c r="E152" s="241">
        <f>D152*54</f>
        <v>81000</v>
      </c>
      <c r="F152" s="241">
        <v>40</v>
      </c>
      <c r="G152" s="241">
        <v>81000</v>
      </c>
      <c r="H152" s="241">
        <f>I152-G152</f>
        <v>0</v>
      </c>
      <c r="I152" s="242">
        <f>IF('بيان الاعمال'!BH210&lt;مستخلص!E152,'بيان الاعمال'!BH210,مستخلص!E152)</f>
        <v>81000</v>
      </c>
      <c r="J152" s="243">
        <f>F152*I152</f>
        <v>3240000</v>
      </c>
      <c r="K152" s="244">
        <v>0.99</v>
      </c>
      <c r="L152" s="243">
        <f>J152*(1-K152)</f>
        <v>32400.000000000029</v>
      </c>
      <c r="M152" s="243">
        <f>J152-L152</f>
        <v>3207600</v>
      </c>
      <c r="N152" s="245"/>
      <c r="O152" s="246">
        <f t="shared" si="22"/>
        <v>1500</v>
      </c>
      <c r="FF152" s="159"/>
      <c r="FH152" s="160"/>
      <c r="FI152" s="160"/>
      <c r="FJ152" s="160"/>
      <c r="FK152" s="160"/>
      <c r="FL152" s="160"/>
      <c r="FM152" s="160"/>
      <c r="FN152" s="160"/>
    </row>
    <row r="153" spans="1:170" ht="50.1" customHeight="1" x14ac:dyDescent="0.4">
      <c r="A153" s="238" t="s">
        <v>547</v>
      </c>
      <c r="B153" s="248" t="s">
        <v>545</v>
      </c>
      <c r="C153" s="240" t="s">
        <v>32</v>
      </c>
      <c r="D153" s="241">
        <v>120</v>
      </c>
      <c r="E153" s="241">
        <f>D153*54</f>
        <v>6480</v>
      </c>
      <c r="F153" s="241">
        <v>40</v>
      </c>
      <c r="G153" s="241">
        <v>6480</v>
      </c>
      <c r="H153" s="241">
        <f>I153-G153</f>
        <v>0</v>
      </c>
      <c r="I153" s="242">
        <f>IF('بيان الاعمال'!BH212&lt;مستخلص!E153,'بيان الاعمال'!BH212,مستخلص!E153)</f>
        <v>6480</v>
      </c>
      <c r="J153" s="243">
        <f>F153*I153</f>
        <v>259200</v>
      </c>
      <c r="K153" s="244">
        <v>0.99</v>
      </c>
      <c r="L153" s="243">
        <f>J153*(1-K153)</f>
        <v>2592.0000000000023</v>
      </c>
      <c r="M153" s="243">
        <f>J153-L153</f>
        <v>256608</v>
      </c>
      <c r="N153" s="245"/>
      <c r="O153" s="246">
        <f t="shared" si="22"/>
        <v>120</v>
      </c>
      <c r="FF153" s="159"/>
      <c r="FH153" s="160"/>
      <c r="FI153" s="160"/>
      <c r="FJ153" s="160"/>
      <c r="FK153" s="160"/>
      <c r="FL153" s="160"/>
      <c r="FM153" s="160"/>
      <c r="FN153" s="160"/>
    </row>
    <row r="154" spans="1:170" ht="39.950000000000003" customHeight="1" x14ac:dyDescent="0.4">
      <c r="A154" s="1145" t="s">
        <v>434</v>
      </c>
      <c r="B154" s="1145"/>
      <c r="C154" s="1145"/>
      <c r="D154" s="253"/>
      <c r="E154" s="250"/>
      <c r="F154" s="250"/>
      <c r="G154" s="251"/>
      <c r="H154" s="251"/>
      <c r="I154" s="251"/>
      <c r="J154" s="252"/>
      <c r="K154" s="235"/>
      <c r="L154" s="252"/>
      <c r="M154" s="252"/>
      <c r="N154" s="237"/>
      <c r="O154" s="246">
        <f t="shared" si="22"/>
        <v>0</v>
      </c>
      <c r="FF154" s="159"/>
      <c r="FH154" s="160"/>
      <c r="FI154" s="160"/>
      <c r="FJ154" s="160"/>
      <c r="FK154" s="160"/>
      <c r="FL154" s="160"/>
      <c r="FM154" s="160"/>
      <c r="FN154" s="160"/>
    </row>
    <row r="155" spans="1:170" ht="50.1" customHeight="1" x14ac:dyDescent="0.4">
      <c r="A155" s="238" t="s">
        <v>445</v>
      </c>
      <c r="B155" s="248" t="s">
        <v>435</v>
      </c>
      <c r="C155" s="240" t="s">
        <v>22</v>
      </c>
      <c r="D155" s="241">
        <v>70</v>
      </c>
      <c r="E155" s="241">
        <f>54*D155</f>
        <v>3780</v>
      </c>
      <c r="F155" s="241">
        <v>365</v>
      </c>
      <c r="G155" s="241">
        <v>3672</v>
      </c>
      <c r="H155" s="241">
        <f>I155-G155</f>
        <v>0</v>
      </c>
      <c r="I155" s="242">
        <f>FLOOR(IF('بيان الاعمال'!BH214&lt;مستخلص!E155,'بيان الاعمال'!BH214,مستخلص!E155),1)</f>
        <v>3672</v>
      </c>
      <c r="J155" s="243">
        <f>F155*I155</f>
        <v>1340280</v>
      </c>
      <c r="K155" s="244">
        <v>0.99</v>
      </c>
      <c r="L155" s="243">
        <f>J155*(1-K155)</f>
        <v>13402.800000000012</v>
      </c>
      <c r="M155" s="243">
        <f>J155-L155</f>
        <v>1326877.2</v>
      </c>
      <c r="N155" s="245"/>
      <c r="O155" s="246">
        <f t="shared" si="22"/>
        <v>68</v>
      </c>
      <c r="FF155" s="159"/>
      <c r="FH155" s="160"/>
      <c r="FI155" s="160"/>
      <c r="FJ155" s="160"/>
      <c r="FK155" s="160"/>
      <c r="FL155" s="160"/>
      <c r="FM155" s="160"/>
      <c r="FN155" s="160"/>
    </row>
    <row r="156" spans="1:170" ht="50.1" customHeight="1" x14ac:dyDescent="0.4">
      <c r="A156" s="314" t="s">
        <v>630</v>
      </c>
      <c r="B156" s="248" t="s">
        <v>71</v>
      </c>
      <c r="C156" s="240" t="s">
        <v>22</v>
      </c>
      <c r="D156" s="241">
        <v>5</v>
      </c>
      <c r="E156" s="241">
        <f>54*D156</f>
        <v>270</v>
      </c>
      <c r="F156" s="241">
        <v>550</v>
      </c>
      <c r="G156" s="241">
        <v>237</v>
      </c>
      <c r="H156" s="241">
        <f>I156-G156</f>
        <v>0</v>
      </c>
      <c r="I156" s="242">
        <f>FLOOR('بيان الاعمال'!BG217,1)</f>
        <v>237</v>
      </c>
      <c r="J156" s="243">
        <f>F156*I156</f>
        <v>130350</v>
      </c>
      <c r="K156" s="244">
        <v>0.99</v>
      </c>
      <c r="L156" s="243">
        <f>J156*(1-K156)</f>
        <v>1303.5000000000011</v>
      </c>
      <c r="M156" s="243">
        <f>J156-L156</f>
        <v>129046.5</v>
      </c>
      <c r="N156" s="245"/>
      <c r="O156" s="246">
        <f>I156/54</f>
        <v>4.3888888888888893</v>
      </c>
      <c r="FF156" s="159"/>
      <c r="FH156" s="317"/>
      <c r="FI156" s="317"/>
      <c r="FJ156" s="317"/>
      <c r="FK156" s="317"/>
      <c r="FL156" s="317"/>
      <c r="FM156" s="317"/>
      <c r="FN156" s="317"/>
    </row>
    <row r="157" spans="1:170" ht="50.1" customHeight="1" x14ac:dyDescent="0.4">
      <c r="A157" s="566" t="s">
        <v>716</v>
      </c>
      <c r="B157" s="248" t="s">
        <v>717</v>
      </c>
      <c r="C157" s="240" t="s">
        <v>40</v>
      </c>
      <c r="D157" s="241">
        <v>90</v>
      </c>
      <c r="E157" s="241">
        <f>54*D157</f>
        <v>4860</v>
      </c>
      <c r="F157" s="241">
        <v>105</v>
      </c>
      <c r="G157" s="241">
        <v>4860</v>
      </c>
      <c r="H157" s="241">
        <f>I157-G157</f>
        <v>0</v>
      </c>
      <c r="I157" s="242">
        <f>'بيان الاعمال'!BG219</f>
        <v>4860</v>
      </c>
      <c r="J157" s="243">
        <f>I157*F157</f>
        <v>510300</v>
      </c>
      <c r="K157" s="244">
        <v>0.85</v>
      </c>
      <c r="L157" s="243">
        <f>J157*(1-K157)</f>
        <v>76545.000000000015</v>
      </c>
      <c r="M157" s="243">
        <f>J157-L157</f>
        <v>433755</v>
      </c>
      <c r="N157" s="245"/>
      <c r="O157" s="246"/>
      <c r="FF157" s="159"/>
      <c r="FH157" s="568"/>
      <c r="FI157" s="568"/>
      <c r="FJ157" s="568"/>
      <c r="FK157" s="568"/>
      <c r="FL157" s="568"/>
      <c r="FM157" s="568"/>
      <c r="FN157" s="568"/>
    </row>
    <row r="158" spans="1:170" ht="45" customHeight="1" x14ac:dyDescent="0.4">
      <c r="A158" s="1144" t="s">
        <v>23</v>
      </c>
      <c r="B158" s="1144"/>
      <c r="C158" s="1144"/>
      <c r="D158" s="1144"/>
      <c r="E158" s="1144"/>
      <c r="F158" s="1144"/>
      <c r="G158" s="1144"/>
      <c r="H158" s="1144"/>
      <c r="I158" s="1144"/>
      <c r="J158" s="236">
        <f>SUM(J149:J157)</f>
        <v>411030910</v>
      </c>
      <c r="K158" s="236"/>
      <c r="L158" s="236">
        <f>SUM(L149:L157)</f>
        <v>2301388.7000000016</v>
      </c>
      <c r="M158" s="236">
        <f>SUM(M149:M157)</f>
        <v>408729521.29999995</v>
      </c>
      <c r="N158" s="236"/>
      <c r="O158" s="246">
        <f t="shared" si="22"/>
        <v>0</v>
      </c>
      <c r="FF158" s="159"/>
      <c r="FH158" s="160"/>
      <c r="FI158" s="160"/>
      <c r="FJ158" s="160"/>
      <c r="FK158" s="160"/>
      <c r="FL158" s="160"/>
      <c r="FM158" s="160"/>
      <c r="FN158" s="160"/>
    </row>
    <row r="159" spans="1:170" ht="35.1" customHeight="1" x14ac:dyDescent="0.4">
      <c r="A159" s="1139" t="s">
        <v>24</v>
      </c>
      <c r="B159" s="1139"/>
      <c r="C159" s="1139"/>
      <c r="D159" s="1139"/>
      <c r="E159" s="1139"/>
      <c r="F159" s="1139"/>
      <c r="G159" s="1139"/>
      <c r="H159" s="260"/>
      <c r="I159" s="260"/>
      <c r="J159" s="78"/>
      <c r="K159" s="78"/>
      <c r="L159" s="78"/>
      <c r="M159" s="162"/>
      <c r="N159" s="162"/>
      <c r="O159" s="246">
        <f t="shared" si="22"/>
        <v>0</v>
      </c>
      <c r="FF159" s="159"/>
      <c r="FH159" s="160"/>
      <c r="FI159" s="160"/>
      <c r="FJ159" s="160"/>
      <c r="FK159" s="160"/>
      <c r="FL159" s="160"/>
      <c r="FM159" s="160"/>
      <c r="FN159" s="160"/>
    </row>
    <row r="160" spans="1:170" ht="35.1" customHeight="1" x14ac:dyDescent="0.4">
      <c r="A160" s="261"/>
      <c r="B160" s="262" t="s">
        <v>25</v>
      </c>
      <c r="C160" s="1140" t="s">
        <v>26</v>
      </c>
      <c r="D160" s="1140"/>
      <c r="E160" s="1140"/>
      <c r="F160" s="1140"/>
      <c r="G160" s="1140"/>
      <c r="H160" s="1140"/>
      <c r="I160" s="1140"/>
      <c r="J160" s="1140"/>
      <c r="K160" s="1140"/>
      <c r="L160" s="1140"/>
      <c r="M160" s="1140"/>
      <c r="N160" s="1140"/>
      <c r="O160" s="246">
        <f t="shared" si="22"/>
        <v>0</v>
      </c>
      <c r="FF160" s="159"/>
      <c r="FH160" s="160"/>
      <c r="FI160" s="160"/>
      <c r="FJ160" s="160"/>
      <c r="FK160" s="160"/>
      <c r="FL160" s="160"/>
      <c r="FM160" s="160"/>
      <c r="FN160" s="160"/>
    </row>
    <row r="161" spans="1:170" ht="35.1" customHeight="1" x14ac:dyDescent="0.4">
      <c r="A161" s="263"/>
      <c r="B161" s="264"/>
      <c r="C161" s="265"/>
      <c r="D161" s="265"/>
      <c r="E161" s="265"/>
      <c r="F161" s="265"/>
      <c r="G161" s="266"/>
      <c r="H161" s="266"/>
      <c r="I161" s="266"/>
      <c r="J161" s="265"/>
      <c r="K161" s="267"/>
      <c r="L161" s="265"/>
      <c r="M161" s="265"/>
      <c r="N161" s="265"/>
      <c r="O161" s="246">
        <f t="shared" si="22"/>
        <v>0</v>
      </c>
      <c r="FF161" s="159"/>
      <c r="FH161" s="160"/>
      <c r="FI161" s="160"/>
      <c r="FJ161" s="160"/>
      <c r="FK161" s="160"/>
      <c r="FL161" s="160"/>
      <c r="FM161" s="160"/>
      <c r="FN161" s="160"/>
    </row>
    <row r="162" spans="1:170" ht="35.1" customHeight="1" x14ac:dyDescent="0.4">
      <c r="A162" s="1104" t="s">
        <v>27</v>
      </c>
      <c r="B162" s="1105"/>
      <c r="C162" s="1104" t="s">
        <v>61</v>
      </c>
      <c r="D162" s="1143"/>
      <c r="E162" s="1143"/>
      <c r="F162" s="1143"/>
      <c r="G162" s="1143"/>
      <c r="H162" s="1143"/>
      <c r="I162" s="1105"/>
      <c r="J162" s="1107" t="s">
        <v>62</v>
      </c>
      <c r="K162" s="1107"/>
      <c r="L162" s="1107"/>
      <c r="M162" s="1107"/>
      <c r="N162" s="1107"/>
      <c r="O162" s="246">
        <f t="shared" si="22"/>
        <v>0</v>
      </c>
      <c r="FF162" s="159"/>
      <c r="FH162" s="160"/>
      <c r="FI162" s="160"/>
      <c r="FJ162" s="160"/>
      <c r="FK162" s="160"/>
      <c r="FL162" s="160"/>
      <c r="FM162" s="160"/>
      <c r="FN162" s="160"/>
    </row>
    <row r="163" spans="1:170" ht="30" customHeight="1" x14ac:dyDescent="0.4">
      <c r="A163" s="1102" t="s">
        <v>513</v>
      </c>
      <c r="B163" s="1103"/>
      <c r="C163" s="1104" t="s">
        <v>28</v>
      </c>
      <c r="D163" s="1105"/>
      <c r="E163" s="1106" t="s">
        <v>63</v>
      </c>
      <c r="F163" s="1106"/>
      <c r="G163" s="1107" t="s">
        <v>557</v>
      </c>
      <c r="H163" s="1107"/>
      <c r="I163" s="1107"/>
      <c r="J163" s="762" t="s">
        <v>793</v>
      </c>
      <c r="K163" s="765" t="s">
        <v>512</v>
      </c>
      <c r="L163" s="1141" t="s">
        <v>795</v>
      </c>
      <c r="M163" s="1142"/>
      <c r="N163" s="756" t="s">
        <v>69</v>
      </c>
      <c r="O163" s="246">
        <f t="shared" si="22"/>
        <v>0</v>
      </c>
      <c r="FF163" s="159"/>
      <c r="FH163" s="160"/>
      <c r="FI163" s="160"/>
      <c r="FJ163" s="160"/>
      <c r="FK163" s="160"/>
      <c r="FL163" s="160"/>
      <c r="FM163" s="160"/>
      <c r="FN163" s="160"/>
    </row>
    <row r="164" spans="1:170" ht="35.1" customHeight="1" x14ac:dyDescent="0.4">
      <c r="A164" s="1110" t="s">
        <v>514</v>
      </c>
      <c r="B164" s="1111"/>
      <c r="C164" s="1112" t="s">
        <v>703</v>
      </c>
      <c r="D164" s="1113"/>
      <c r="E164" s="1107" t="s">
        <v>515</v>
      </c>
      <c r="F164" s="1107"/>
      <c r="G164" s="1107" t="s">
        <v>152</v>
      </c>
      <c r="H164" s="1107"/>
      <c r="I164" s="1104"/>
      <c r="J164" s="763" t="s">
        <v>322</v>
      </c>
      <c r="K164" s="764" t="s">
        <v>794</v>
      </c>
      <c r="L164" s="1104" t="s">
        <v>796</v>
      </c>
      <c r="M164" s="1105"/>
      <c r="N164" s="268" t="s">
        <v>739</v>
      </c>
      <c r="O164" s="246">
        <f t="shared" si="22"/>
        <v>0</v>
      </c>
      <c r="FF164" s="159"/>
      <c r="FH164" s="160"/>
      <c r="FI164" s="160"/>
      <c r="FJ164" s="160"/>
      <c r="FK164" s="160"/>
      <c r="FL164" s="160"/>
      <c r="FM164" s="160"/>
      <c r="FN164" s="160"/>
    </row>
    <row r="165" spans="1:170" ht="35.1" customHeight="1" x14ac:dyDescent="0.4">
      <c r="A165" s="133" t="s">
        <v>511</v>
      </c>
      <c r="B165" s="134" t="s">
        <v>561</v>
      </c>
      <c r="C165" s="68" t="s">
        <v>74</v>
      </c>
      <c r="D165" s="68"/>
      <c r="E165" s="69"/>
      <c r="F165" s="70"/>
      <c r="G165" s="68" t="s">
        <v>64</v>
      </c>
      <c r="H165" s="71"/>
      <c r="I165" s="69"/>
      <c r="J165" s="69" t="s">
        <v>64</v>
      </c>
      <c r="K165" s="766" t="s">
        <v>64</v>
      </c>
      <c r="L165" s="135" t="s">
        <v>70</v>
      </c>
      <c r="M165" s="68"/>
      <c r="N165" s="68" t="s">
        <v>70</v>
      </c>
      <c r="O165" s="246">
        <f t="shared" si="22"/>
        <v>0</v>
      </c>
      <c r="FF165" s="159"/>
      <c r="FH165" s="160"/>
      <c r="FI165" s="160"/>
      <c r="FJ165" s="160"/>
      <c r="FK165" s="160"/>
      <c r="FL165" s="160"/>
      <c r="FM165" s="160"/>
      <c r="FN165" s="160"/>
    </row>
    <row r="166" spans="1:170" ht="30" customHeight="1" x14ac:dyDescent="0.4">
      <c r="A166" s="72"/>
      <c r="B166" s="72"/>
      <c r="C166" s="71"/>
      <c r="D166" s="71"/>
      <c r="E166" s="71"/>
      <c r="F166" s="71"/>
      <c r="G166" s="71"/>
      <c r="H166" s="71"/>
      <c r="I166" s="71"/>
      <c r="J166" s="1135"/>
      <c r="K166" s="1135"/>
      <c r="L166" s="71"/>
      <c r="M166" s="1136" t="s">
        <v>65</v>
      </c>
      <c r="N166" s="1136"/>
      <c r="O166" s="246">
        <f t="shared" si="22"/>
        <v>0</v>
      </c>
      <c r="FF166" s="159"/>
      <c r="FH166" s="160"/>
      <c r="FI166" s="160"/>
      <c r="FJ166" s="160"/>
      <c r="FK166" s="160"/>
      <c r="FL166" s="160"/>
      <c r="FM166" s="160"/>
      <c r="FN166" s="160"/>
    </row>
    <row r="167" spans="1:170" ht="35.1" customHeight="1" x14ac:dyDescent="0.4">
      <c r="A167" s="72"/>
      <c r="B167" s="72"/>
      <c r="C167" s="71"/>
      <c r="D167" s="1100" t="s">
        <v>558</v>
      </c>
      <c r="E167" s="1100"/>
      <c r="F167" s="1100"/>
      <c r="G167" s="1100"/>
      <c r="H167" s="71"/>
      <c r="I167" s="71"/>
      <c r="J167" s="1132" t="s">
        <v>560</v>
      </c>
      <c r="K167" s="1133"/>
      <c r="L167" s="1134"/>
      <c r="M167" s="1137" t="s">
        <v>67</v>
      </c>
      <c r="N167" s="1138"/>
      <c r="O167" s="246">
        <f t="shared" si="22"/>
        <v>0</v>
      </c>
      <c r="FF167" s="159"/>
      <c r="FH167" s="160"/>
      <c r="FI167" s="160"/>
      <c r="FJ167" s="160"/>
      <c r="FK167" s="160"/>
      <c r="FL167" s="160"/>
      <c r="FM167" s="160"/>
      <c r="FN167" s="160"/>
    </row>
    <row r="168" spans="1:170" ht="35.1" customHeight="1" x14ac:dyDescent="0.4">
      <c r="A168" s="68"/>
      <c r="B168" s="73"/>
      <c r="C168" s="74"/>
      <c r="D168" s="1100" t="s">
        <v>153</v>
      </c>
      <c r="E168" s="1100"/>
      <c r="F168" s="1100"/>
      <c r="G168" s="1100"/>
      <c r="H168" s="68"/>
      <c r="I168" s="71"/>
      <c r="J168" s="1132" t="s">
        <v>797</v>
      </c>
      <c r="K168" s="1133"/>
      <c r="L168" s="1134"/>
      <c r="M168" s="1108" t="s">
        <v>481</v>
      </c>
      <c r="N168" s="1109"/>
      <c r="O168" s="246">
        <f t="shared" si="22"/>
        <v>0</v>
      </c>
      <c r="FF168" s="159"/>
      <c r="FH168" s="160"/>
      <c r="FI168" s="160"/>
      <c r="FJ168" s="160"/>
      <c r="FK168" s="160"/>
      <c r="FL168" s="160"/>
      <c r="FM168" s="160"/>
      <c r="FN168" s="160"/>
    </row>
    <row r="169" spans="1:170" ht="35.1" customHeight="1" x14ac:dyDescent="0.4">
      <c r="A169" s="75"/>
      <c r="B169" s="76"/>
      <c r="C169" s="77"/>
      <c r="D169" s="68" t="s">
        <v>233</v>
      </c>
      <c r="E169" s="78"/>
      <c r="F169" s="79"/>
      <c r="G169" s="75"/>
      <c r="H169" s="79"/>
      <c r="I169" s="71"/>
      <c r="J169" s="68" t="s">
        <v>231</v>
      </c>
      <c r="K169" s="78"/>
      <c r="L169" s="79"/>
      <c r="M169" s="757" t="s">
        <v>232</v>
      </c>
      <c r="N169" s="81"/>
      <c r="O169" s="246">
        <f t="shared" si="22"/>
        <v>0</v>
      </c>
      <c r="FF169" s="159"/>
      <c r="FH169" s="160"/>
      <c r="FI169" s="160"/>
      <c r="FJ169" s="160"/>
      <c r="FK169" s="160"/>
      <c r="FL169" s="160"/>
      <c r="FM169" s="160"/>
      <c r="FN169" s="160"/>
    </row>
    <row r="170" spans="1:170" ht="35.1" customHeight="1" x14ac:dyDescent="0.4">
      <c r="A170" s="75"/>
      <c r="B170" s="76"/>
      <c r="C170" s="77"/>
      <c r="D170" s="68"/>
      <c r="E170" s="78"/>
      <c r="F170" s="79"/>
      <c r="G170" s="75"/>
      <c r="H170" s="79"/>
      <c r="I170" s="71"/>
      <c r="J170" s="68"/>
      <c r="K170" s="78"/>
      <c r="L170" s="79"/>
      <c r="M170" s="80"/>
      <c r="N170" s="81"/>
      <c r="O170" s="246">
        <f t="shared" si="22"/>
        <v>0</v>
      </c>
      <c r="FF170" s="159"/>
      <c r="FH170" s="160"/>
      <c r="FI170" s="160"/>
      <c r="FJ170" s="160"/>
      <c r="FK170" s="160"/>
      <c r="FL170" s="160"/>
      <c r="FM170" s="160"/>
      <c r="FN170" s="160"/>
    </row>
    <row r="171" spans="1:170" ht="35.1" customHeight="1" x14ac:dyDescent="0.4">
      <c r="A171" s="1101" t="s">
        <v>31</v>
      </c>
      <c r="B171" s="1101"/>
      <c r="C171" s="1101"/>
      <c r="D171" s="1101"/>
      <c r="E171" s="1101"/>
      <c r="F171" s="1101"/>
      <c r="G171" s="1101"/>
      <c r="H171" s="1101"/>
      <c r="I171" s="1101"/>
      <c r="J171" s="243">
        <f>J158</f>
        <v>411030910</v>
      </c>
      <c r="K171" s="244"/>
      <c r="L171" s="243">
        <f>L158</f>
        <v>2301388.7000000016</v>
      </c>
      <c r="M171" s="243">
        <f>M158</f>
        <v>408729521.29999995</v>
      </c>
      <c r="N171" s="245"/>
      <c r="O171" s="246">
        <f t="shared" si="22"/>
        <v>0</v>
      </c>
      <c r="FF171" s="159"/>
      <c r="FH171" s="160"/>
      <c r="FI171" s="160"/>
      <c r="FJ171" s="160"/>
      <c r="FK171" s="160"/>
      <c r="FL171" s="160"/>
      <c r="FM171" s="160"/>
      <c r="FN171" s="160"/>
    </row>
    <row r="172" spans="1:170" ht="35.1" customHeight="1" x14ac:dyDescent="0.4">
      <c r="A172" s="1145" t="s">
        <v>357</v>
      </c>
      <c r="B172" s="1145"/>
      <c r="C172" s="1145"/>
      <c r="D172" s="253"/>
      <c r="E172" s="250"/>
      <c r="F172" s="250"/>
      <c r="G172" s="252"/>
      <c r="H172" s="252"/>
      <c r="I172" s="252"/>
      <c r="J172" s="252"/>
      <c r="K172" s="235"/>
      <c r="L172" s="252"/>
      <c r="M172" s="252"/>
      <c r="N172" s="237"/>
      <c r="O172" s="246">
        <f t="shared" si="22"/>
        <v>0</v>
      </c>
      <c r="FF172" s="159"/>
      <c r="FH172" s="160"/>
      <c r="FI172" s="160"/>
      <c r="FJ172" s="160"/>
      <c r="FK172" s="160"/>
      <c r="FL172" s="160"/>
      <c r="FM172" s="160"/>
      <c r="FN172" s="160"/>
    </row>
    <row r="173" spans="1:170" ht="48" hidden="1" customHeight="1" x14ac:dyDescent="0.4">
      <c r="A173" s="1123" t="s">
        <v>48</v>
      </c>
      <c r="B173" s="248" t="s">
        <v>361</v>
      </c>
      <c r="C173" s="1117" t="s">
        <v>33</v>
      </c>
      <c r="D173" s="1120">
        <v>24</v>
      </c>
      <c r="E173" s="1120">
        <f>D173*54</f>
        <v>1296</v>
      </c>
      <c r="F173" s="1120">
        <v>2000</v>
      </c>
      <c r="G173" s="241">
        <v>0</v>
      </c>
      <c r="H173" s="242">
        <f t="shared" ref="H173:H185" si="23">I173-G173</f>
        <v>0</v>
      </c>
      <c r="I173" s="242">
        <v>0</v>
      </c>
      <c r="J173" s="243">
        <f>F173*I173</f>
        <v>0</v>
      </c>
      <c r="K173" s="244">
        <v>0.15</v>
      </c>
      <c r="L173" s="243">
        <f t="shared" ref="L173:L185" si="24">J173*(1-K173)</f>
        <v>0</v>
      </c>
      <c r="M173" s="243">
        <f t="shared" ref="M173:M185" si="25">J173-L173</f>
        <v>0</v>
      </c>
      <c r="N173" s="245"/>
      <c r="O173" s="246">
        <f t="shared" si="22"/>
        <v>0</v>
      </c>
      <c r="FF173" s="159"/>
      <c r="FH173" s="160"/>
      <c r="FI173" s="160"/>
      <c r="FJ173" s="160"/>
      <c r="FK173" s="160"/>
      <c r="FL173" s="160"/>
      <c r="FM173" s="160"/>
      <c r="FN173" s="160"/>
    </row>
    <row r="174" spans="1:170" s="709" customFormat="1" ht="51.6" customHeight="1" x14ac:dyDescent="0.4">
      <c r="A174" s="1124"/>
      <c r="B174" s="702" t="s">
        <v>469</v>
      </c>
      <c r="C174" s="1118"/>
      <c r="D174" s="1121"/>
      <c r="E174" s="1121"/>
      <c r="F174" s="1121"/>
      <c r="G174" s="707">
        <v>0</v>
      </c>
      <c r="H174" s="703">
        <f>I174-G174</f>
        <v>0</v>
      </c>
      <c r="I174" s="703">
        <v>0</v>
      </c>
      <c r="J174" s="704">
        <f>I174*F173</f>
        <v>0</v>
      </c>
      <c r="K174" s="705">
        <v>0.35</v>
      </c>
      <c r="L174" s="704">
        <f>J174*(1-K174)</f>
        <v>0</v>
      </c>
      <c r="M174" s="704">
        <f>J174-L174</f>
        <v>0</v>
      </c>
      <c r="N174" s="706"/>
      <c r="O174" s="708">
        <f t="shared" si="22"/>
        <v>0</v>
      </c>
      <c r="FF174" s="710"/>
      <c r="FH174" s="711"/>
      <c r="FI174" s="711"/>
      <c r="FJ174" s="711"/>
      <c r="FK174" s="711"/>
      <c r="FL174" s="711"/>
      <c r="FM174" s="711"/>
      <c r="FN174" s="711"/>
    </row>
    <row r="175" spans="1:170" s="709" customFormat="1" ht="49.9" customHeight="1" x14ac:dyDescent="0.4">
      <c r="A175" s="1124"/>
      <c r="B175" s="702" t="s">
        <v>708</v>
      </c>
      <c r="C175" s="1118"/>
      <c r="D175" s="1121"/>
      <c r="E175" s="1121"/>
      <c r="F175" s="1121"/>
      <c r="G175" s="707">
        <v>48</v>
      </c>
      <c r="H175" s="703">
        <f>I175-G175</f>
        <v>0</v>
      </c>
      <c r="I175" s="703">
        <f>IF('بيان الاعمال'!BH229&lt;مستخلص!E173,'بيان الاعمال'!BH229,E173)</f>
        <v>48</v>
      </c>
      <c r="J175" s="704">
        <f>I175*F173</f>
        <v>96000</v>
      </c>
      <c r="K175" s="705">
        <v>0.75</v>
      </c>
      <c r="L175" s="704">
        <f>J175*(1-K175)</f>
        <v>24000</v>
      </c>
      <c r="M175" s="704">
        <f>J175-L175</f>
        <v>72000</v>
      </c>
      <c r="N175" s="706"/>
      <c r="O175" s="708"/>
      <c r="FF175" s="710"/>
      <c r="FH175" s="711"/>
      <c r="FI175" s="711"/>
      <c r="FJ175" s="711"/>
      <c r="FK175" s="711"/>
      <c r="FL175" s="711"/>
      <c r="FM175" s="711"/>
      <c r="FN175" s="711"/>
    </row>
    <row r="176" spans="1:170" s="709" customFormat="1" ht="49.9" customHeight="1" x14ac:dyDescent="0.4">
      <c r="A176" s="1125"/>
      <c r="B176" s="702" t="s">
        <v>773</v>
      </c>
      <c r="C176" s="1119"/>
      <c r="D176" s="1122"/>
      <c r="E176" s="1122"/>
      <c r="F176" s="1122"/>
      <c r="G176" s="707">
        <v>1248</v>
      </c>
      <c r="H176" s="703">
        <f>I176-G176</f>
        <v>0</v>
      </c>
      <c r="I176" s="703">
        <f>'بيان الاعمال'!BH235</f>
        <v>1248</v>
      </c>
      <c r="J176" s="704">
        <f>I176*F173</f>
        <v>2496000</v>
      </c>
      <c r="K176" s="705">
        <v>0.95</v>
      </c>
      <c r="L176" s="704">
        <f>J176*(1-K176)</f>
        <v>124800.00000000012</v>
      </c>
      <c r="M176" s="704">
        <f>J176-L176</f>
        <v>2371200</v>
      </c>
      <c r="N176" s="706"/>
      <c r="O176" s="708"/>
      <c r="FF176" s="710"/>
      <c r="FH176" s="711"/>
      <c r="FI176" s="711"/>
      <c r="FJ176" s="711"/>
      <c r="FK176" s="711"/>
      <c r="FL176" s="711"/>
      <c r="FM176" s="711"/>
      <c r="FN176" s="711"/>
    </row>
    <row r="177" spans="1:170" ht="36" hidden="1" customHeight="1" x14ac:dyDescent="0.4">
      <c r="A177" s="1123" t="s">
        <v>49</v>
      </c>
      <c r="B177" s="248" t="s">
        <v>362</v>
      </c>
      <c r="C177" s="1126" t="s">
        <v>33</v>
      </c>
      <c r="D177" s="1129">
        <v>24</v>
      </c>
      <c r="E177" s="1129">
        <f t="shared" ref="E177:E193" si="26">D177*54</f>
        <v>1296</v>
      </c>
      <c r="F177" s="1129">
        <v>1500</v>
      </c>
      <c r="G177" s="241">
        <v>0</v>
      </c>
      <c r="H177" s="242">
        <f t="shared" si="23"/>
        <v>0</v>
      </c>
      <c r="I177" s="242">
        <v>0</v>
      </c>
      <c r="J177" s="243">
        <f>F177*I177</f>
        <v>0</v>
      </c>
      <c r="K177" s="244">
        <v>0.15</v>
      </c>
      <c r="L177" s="243">
        <f t="shared" si="24"/>
        <v>0</v>
      </c>
      <c r="M177" s="243">
        <f t="shared" si="25"/>
        <v>0</v>
      </c>
      <c r="N177" s="245"/>
      <c r="O177" s="246">
        <f t="shared" si="22"/>
        <v>0</v>
      </c>
      <c r="FF177" s="159"/>
      <c r="FH177" s="160"/>
      <c r="FI177" s="160"/>
      <c r="FJ177" s="160"/>
      <c r="FK177" s="160"/>
      <c r="FL177" s="160"/>
      <c r="FM177" s="160"/>
      <c r="FN177" s="160"/>
    </row>
    <row r="178" spans="1:170" ht="50.1" customHeight="1" x14ac:dyDescent="0.4">
      <c r="A178" s="1124"/>
      <c r="B178" s="248" t="s">
        <v>470</v>
      </c>
      <c r="C178" s="1127"/>
      <c r="D178" s="1130"/>
      <c r="E178" s="1130"/>
      <c r="F178" s="1130"/>
      <c r="G178" s="241">
        <v>0</v>
      </c>
      <c r="H178" s="242">
        <f>I178-G178</f>
        <v>0</v>
      </c>
      <c r="I178" s="242">
        <f>IF('بيان الاعمال'!BH241&lt;مستخلص!E177,'بيان الاعمال'!BH241,مستخلص!E177)</f>
        <v>0</v>
      </c>
      <c r="J178" s="243">
        <f>F177*I178</f>
        <v>0</v>
      </c>
      <c r="K178" s="244">
        <v>0.35</v>
      </c>
      <c r="L178" s="243">
        <f>J178*(1-K178)</f>
        <v>0</v>
      </c>
      <c r="M178" s="243">
        <f>J178-L178</f>
        <v>0</v>
      </c>
      <c r="N178" s="245"/>
      <c r="O178" s="246">
        <f t="shared" si="22"/>
        <v>0</v>
      </c>
      <c r="FF178" s="159"/>
      <c r="FH178" s="160"/>
      <c r="FI178" s="160"/>
      <c r="FJ178" s="160"/>
      <c r="FK178" s="160"/>
      <c r="FL178" s="160"/>
      <c r="FM178" s="160"/>
      <c r="FN178" s="160"/>
    </row>
    <row r="179" spans="1:170" ht="50.1" customHeight="1" x14ac:dyDescent="0.4">
      <c r="A179" s="1124"/>
      <c r="B179" s="248" t="s">
        <v>709</v>
      </c>
      <c r="C179" s="1127"/>
      <c r="D179" s="1130"/>
      <c r="E179" s="1130"/>
      <c r="F179" s="1130"/>
      <c r="G179" s="241">
        <v>48</v>
      </c>
      <c r="H179" s="242">
        <f>I179-G179</f>
        <v>0</v>
      </c>
      <c r="I179" s="242">
        <f>IF('بيان الاعمال'!BH248&lt;مستخلص!E177,'بيان الاعمال'!BH248,مستخلص!E177)</f>
        <v>48</v>
      </c>
      <c r="J179" s="243">
        <f>I179*F177</f>
        <v>72000</v>
      </c>
      <c r="K179" s="244">
        <v>0.75</v>
      </c>
      <c r="L179" s="243">
        <f>J179*(1-K179)</f>
        <v>18000</v>
      </c>
      <c r="M179" s="243">
        <f>J179-L179</f>
        <v>54000</v>
      </c>
      <c r="N179" s="245"/>
      <c r="O179" s="246">
        <f t="shared" ref="O179" si="27">I179/54</f>
        <v>0.88888888888888884</v>
      </c>
      <c r="FF179" s="159"/>
      <c r="FH179" s="558"/>
      <c r="FI179" s="558"/>
      <c r="FJ179" s="558"/>
      <c r="FK179" s="558"/>
      <c r="FL179" s="558"/>
      <c r="FM179" s="558"/>
      <c r="FN179" s="558"/>
    </row>
    <row r="180" spans="1:170" ht="50.1" customHeight="1" x14ac:dyDescent="0.4">
      <c r="A180" s="1125"/>
      <c r="B180" s="248" t="s">
        <v>774</v>
      </c>
      <c r="C180" s="1128"/>
      <c r="D180" s="1131"/>
      <c r="E180" s="1131"/>
      <c r="F180" s="1131"/>
      <c r="G180" s="241">
        <v>1248</v>
      </c>
      <c r="H180" s="242">
        <f>I180-G180</f>
        <v>0</v>
      </c>
      <c r="I180" s="242">
        <f>'بيان الاعمال'!BH254</f>
        <v>1248</v>
      </c>
      <c r="J180" s="243">
        <f>I180*F177</f>
        <v>1872000</v>
      </c>
      <c r="K180" s="244">
        <v>0.95</v>
      </c>
      <c r="L180" s="243">
        <f>J180*(1-K180)</f>
        <v>93600.000000000087</v>
      </c>
      <c r="M180" s="243">
        <f>J180-L180</f>
        <v>1778400</v>
      </c>
      <c r="N180" s="245"/>
      <c r="O180" s="246">
        <f t="shared" ref="O180" si="28">I180/54</f>
        <v>23.111111111111111</v>
      </c>
      <c r="FF180" s="159"/>
      <c r="FH180" s="700"/>
      <c r="FI180" s="700"/>
      <c r="FJ180" s="700"/>
      <c r="FK180" s="700"/>
      <c r="FL180" s="700"/>
      <c r="FM180" s="700"/>
      <c r="FN180" s="700"/>
    </row>
    <row r="181" spans="1:170" ht="42" hidden="1" customHeight="1" x14ac:dyDescent="0.4">
      <c r="A181" s="1123" t="s">
        <v>50</v>
      </c>
      <c r="B181" s="248" t="s">
        <v>363</v>
      </c>
      <c r="C181" s="1126" t="s">
        <v>33</v>
      </c>
      <c r="D181" s="1129">
        <v>24</v>
      </c>
      <c r="E181" s="1129">
        <f t="shared" si="26"/>
        <v>1296</v>
      </c>
      <c r="F181" s="1129">
        <v>1700</v>
      </c>
      <c r="G181" s="241">
        <v>0</v>
      </c>
      <c r="H181" s="242">
        <f t="shared" si="23"/>
        <v>0</v>
      </c>
      <c r="I181" s="242">
        <f>IF('بيان الاعمال'!BH262&lt;مستخلص!E181,'بيان الاعمال'!BH262,مستخلص!E181)</f>
        <v>0</v>
      </c>
      <c r="J181" s="243">
        <f>F181*I181</f>
        <v>0</v>
      </c>
      <c r="K181" s="244">
        <v>0.15</v>
      </c>
      <c r="L181" s="243">
        <f t="shared" si="24"/>
        <v>0</v>
      </c>
      <c r="M181" s="243">
        <f t="shared" si="25"/>
        <v>0</v>
      </c>
      <c r="N181" s="245"/>
      <c r="O181" s="246">
        <f t="shared" si="22"/>
        <v>0</v>
      </c>
      <c r="FF181" s="159"/>
      <c r="FH181" s="160"/>
      <c r="FI181" s="160"/>
      <c r="FJ181" s="160"/>
      <c r="FK181" s="160"/>
      <c r="FL181" s="160"/>
      <c r="FM181" s="160"/>
      <c r="FN181" s="160"/>
    </row>
    <row r="182" spans="1:170" s="709" customFormat="1" ht="50.1" customHeight="1" x14ac:dyDescent="0.4">
      <c r="A182" s="1124"/>
      <c r="B182" s="702" t="s">
        <v>471</v>
      </c>
      <c r="C182" s="1127"/>
      <c r="D182" s="1130"/>
      <c r="E182" s="1130"/>
      <c r="F182" s="1130"/>
      <c r="G182" s="707">
        <v>0</v>
      </c>
      <c r="H182" s="703">
        <f>I182-G182</f>
        <v>0</v>
      </c>
      <c r="I182" s="703">
        <f>FLOOR(IF('بيان الاعمال'!BH269&lt;مستخلص!E181,'بيان الاعمال'!BH269,مستخلص!E181),1)</f>
        <v>0</v>
      </c>
      <c r="J182" s="704">
        <f>F181*I182</f>
        <v>0</v>
      </c>
      <c r="K182" s="705">
        <v>0.35</v>
      </c>
      <c r="L182" s="704">
        <f>J182*(1-K182)</f>
        <v>0</v>
      </c>
      <c r="M182" s="704">
        <f>J182-L182</f>
        <v>0</v>
      </c>
      <c r="N182" s="706"/>
      <c r="O182" s="708">
        <f t="shared" si="22"/>
        <v>0</v>
      </c>
      <c r="FF182" s="710"/>
      <c r="FH182" s="711"/>
      <c r="FI182" s="711"/>
      <c r="FJ182" s="711"/>
      <c r="FK182" s="711"/>
      <c r="FL182" s="711"/>
      <c r="FM182" s="711"/>
      <c r="FN182" s="711"/>
    </row>
    <row r="183" spans="1:170" s="709" customFormat="1" ht="50.1" customHeight="1" x14ac:dyDescent="0.4">
      <c r="A183" s="1124"/>
      <c r="B183" s="702" t="s">
        <v>532</v>
      </c>
      <c r="C183" s="1127"/>
      <c r="D183" s="1130"/>
      <c r="E183" s="1130"/>
      <c r="F183" s="1130"/>
      <c r="G183" s="707">
        <v>48</v>
      </c>
      <c r="H183" s="703">
        <f>I183-G183</f>
        <v>0</v>
      </c>
      <c r="I183" s="703">
        <f>FLOOR(IF('بيان الاعمال'!BH275&lt;مستخلص!E181,'بيان الاعمال'!BH275,مستخلص!E181),1)</f>
        <v>48</v>
      </c>
      <c r="J183" s="704">
        <f>F181*I183</f>
        <v>81600</v>
      </c>
      <c r="K183" s="705">
        <v>0.75</v>
      </c>
      <c r="L183" s="704">
        <f>J183*(1-K183)</f>
        <v>20400</v>
      </c>
      <c r="M183" s="704">
        <f>J183-L183</f>
        <v>61200</v>
      </c>
      <c r="N183" s="706"/>
      <c r="O183" s="708">
        <f t="shared" si="22"/>
        <v>0.88888888888888884</v>
      </c>
      <c r="FF183" s="710"/>
      <c r="FH183" s="711"/>
      <c r="FI183" s="711"/>
      <c r="FJ183" s="711"/>
      <c r="FK183" s="711"/>
      <c r="FL183" s="711"/>
      <c r="FM183" s="711"/>
      <c r="FN183" s="711"/>
    </row>
    <row r="184" spans="1:170" s="709" customFormat="1" ht="50.1" customHeight="1" x14ac:dyDescent="0.4">
      <c r="A184" s="1125"/>
      <c r="B184" s="702" t="s">
        <v>775</v>
      </c>
      <c r="C184" s="1128"/>
      <c r="D184" s="1131"/>
      <c r="E184" s="1131"/>
      <c r="F184" s="1131"/>
      <c r="G184" s="707">
        <v>1248</v>
      </c>
      <c r="H184" s="703">
        <f>I184-G184</f>
        <v>0</v>
      </c>
      <c r="I184" s="703">
        <f>'بيان الاعمال'!BH281</f>
        <v>1248</v>
      </c>
      <c r="J184" s="704">
        <f>I184*F181</f>
        <v>2121600</v>
      </c>
      <c r="K184" s="705">
        <v>0.95</v>
      </c>
      <c r="L184" s="704">
        <f>J184*(1-K184)</f>
        <v>106080.00000000009</v>
      </c>
      <c r="M184" s="704">
        <f>J184-L184</f>
        <v>2015520</v>
      </c>
      <c r="N184" s="706"/>
      <c r="O184" s="708">
        <f t="shared" ref="O184" si="29">I184/54</f>
        <v>23.111111111111111</v>
      </c>
      <c r="FF184" s="710"/>
      <c r="FH184" s="711"/>
      <c r="FI184" s="711"/>
      <c r="FJ184" s="711"/>
      <c r="FK184" s="711"/>
      <c r="FL184" s="711"/>
      <c r="FM184" s="711"/>
      <c r="FN184" s="711"/>
    </row>
    <row r="185" spans="1:170" ht="25.9" hidden="1" customHeight="1" x14ac:dyDescent="0.4">
      <c r="A185" s="1123" t="s">
        <v>51</v>
      </c>
      <c r="B185" s="248" t="s">
        <v>364</v>
      </c>
      <c r="C185" s="1126" t="s">
        <v>33</v>
      </c>
      <c r="D185" s="1129">
        <v>24</v>
      </c>
      <c r="E185" s="1129">
        <f t="shared" si="26"/>
        <v>1296</v>
      </c>
      <c r="F185" s="1129">
        <v>1400</v>
      </c>
      <c r="G185" s="241">
        <v>0</v>
      </c>
      <c r="H185" s="242">
        <f t="shared" si="23"/>
        <v>0</v>
      </c>
      <c r="I185" s="242">
        <v>0</v>
      </c>
      <c r="J185" s="243">
        <f>F185*I185</f>
        <v>0</v>
      </c>
      <c r="K185" s="244">
        <v>0.15</v>
      </c>
      <c r="L185" s="243">
        <f t="shared" si="24"/>
        <v>0</v>
      </c>
      <c r="M185" s="243">
        <f t="shared" si="25"/>
        <v>0</v>
      </c>
      <c r="N185" s="245"/>
      <c r="O185" s="246">
        <f t="shared" si="22"/>
        <v>0</v>
      </c>
      <c r="FF185" s="159"/>
      <c r="FH185" s="160"/>
      <c r="FI185" s="160"/>
      <c r="FJ185" s="160"/>
      <c r="FK185" s="160"/>
      <c r="FL185" s="160"/>
      <c r="FM185" s="160"/>
      <c r="FN185" s="160"/>
    </row>
    <row r="186" spans="1:170" ht="50.1" customHeight="1" x14ac:dyDescent="0.4">
      <c r="A186" s="1124"/>
      <c r="B186" s="248" t="s">
        <v>472</v>
      </c>
      <c r="C186" s="1127"/>
      <c r="D186" s="1130"/>
      <c r="E186" s="1130"/>
      <c r="F186" s="1130"/>
      <c r="G186" s="241">
        <v>0</v>
      </c>
      <c r="H186" s="242">
        <f t="shared" ref="H186:H199" si="30">I186-G186</f>
        <v>0</v>
      </c>
      <c r="I186" s="242">
        <v>0</v>
      </c>
      <c r="J186" s="243">
        <f>F185*I186</f>
        <v>0</v>
      </c>
      <c r="K186" s="244">
        <v>0.35</v>
      </c>
      <c r="L186" s="243">
        <f t="shared" ref="L186:L199" si="31">J186*(1-K186)</f>
        <v>0</v>
      </c>
      <c r="M186" s="243">
        <f t="shared" ref="M186:M199" si="32">J186-L186</f>
        <v>0</v>
      </c>
      <c r="N186" s="245"/>
      <c r="O186" s="246">
        <f t="shared" si="22"/>
        <v>0</v>
      </c>
      <c r="FF186" s="159"/>
      <c r="FH186" s="160"/>
      <c r="FI186" s="160"/>
      <c r="FJ186" s="160"/>
      <c r="FK186" s="160"/>
      <c r="FL186" s="160"/>
      <c r="FM186" s="160"/>
      <c r="FN186" s="160"/>
    </row>
    <row r="187" spans="1:170" ht="50.1" customHeight="1" x14ac:dyDescent="0.4">
      <c r="A187" s="1124"/>
      <c r="B187" s="248" t="s">
        <v>710</v>
      </c>
      <c r="C187" s="1127"/>
      <c r="D187" s="1130"/>
      <c r="E187" s="1130"/>
      <c r="F187" s="1130"/>
      <c r="G187" s="241">
        <v>48</v>
      </c>
      <c r="H187" s="242">
        <f t="shared" si="30"/>
        <v>0</v>
      </c>
      <c r="I187" s="242">
        <f>IF('بيان الاعمال'!BH294&lt;مستخلص!E185,'بيان الاعمال'!BH294,مستخلص!E185)</f>
        <v>48</v>
      </c>
      <c r="J187" s="243">
        <f>I187*F185</f>
        <v>67200</v>
      </c>
      <c r="K187" s="244">
        <v>0.75</v>
      </c>
      <c r="L187" s="243">
        <f t="shared" si="31"/>
        <v>16800</v>
      </c>
      <c r="M187" s="243">
        <f t="shared" si="32"/>
        <v>50400</v>
      </c>
      <c r="N187" s="245"/>
      <c r="O187" s="246">
        <f>840+456</f>
        <v>1296</v>
      </c>
      <c r="FF187" s="159"/>
      <c r="FH187" s="558"/>
      <c r="FI187" s="558"/>
      <c r="FJ187" s="558"/>
      <c r="FK187" s="558"/>
      <c r="FL187" s="558"/>
      <c r="FM187" s="558"/>
      <c r="FN187" s="558"/>
    </row>
    <row r="188" spans="1:170" ht="50.1" customHeight="1" x14ac:dyDescent="0.4">
      <c r="A188" s="1125"/>
      <c r="B188" s="248" t="s">
        <v>776</v>
      </c>
      <c r="C188" s="1128"/>
      <c r="D188" s="1131"/>
      <c r="E188" s="1131"/>
      <c r="F188" s="1131"/>
      <c r="G188" s="241">
        <v>1248</v>
      </c>
      <c r="H188" s="242">
        <f t="shared" si="30"/>
        <v>0</v>
      </c>
      <c r="I188" s="242">
        <f>'بيان الاعمال'!BH300</f>
        <v>1248</v>
      </c>
      <c r="J188" s="243">
        <f>I188*F185</f>
        <v>1747200</v>
      </c>
      <c r="K188" s="244">
        <v>0.95</v>
      </c>
      <c r="L188" s="243">
        <f t="shared" si="31"/>
        <v>87360.000000000073</v>
      </c>
      <c r="M188" s="243">
        <f t="shared" si="32"/>
        <v>1659840</v>
      </c>
      <c r="N188" s="245"/>
      <c r="O188" s="246"/>
      <c r="FF188" s="159"/>
      <c r="FH188" s="700"/>
      <c r="FI188" s="700"/>
      <c r="FJ188" s="700"/>
      <c r="FK188" s="700"/>
      <c r="FL188" s="700"/>
      <c r="FM188" s="700"/>
      <c r="FN188" s="700"/>
    </row>
    <row r="189" spans="1:170" ht="50.1" customHeight="1" x14ac:dyDescent="0.4">
      <c r="A189" s="712" t="s">
        <v>632</v>
      </c>
      <c r="B189" s="702" t="s">
        <v>544</v>
      </c>
      <c r="C189" s="713" t="s">
        <v>33</v>
      </c>
      <c r="D189" s="714">
        <v>24</v>
      </c>
      <c r="E189" s="707">
        <f t="shared" si="26"/>
        <v>1296</v>
      </c>
      <c r="F189" s="714">
        <v>325</v>
      </c>
      <c r="G189" s="707">
        <v>1248</v>
      </c>
      <c r="H189" s="703">
        <f t="shared" si="30"/>
        <v>0</v>
      </c>
      <c r="I189" s="703">
        <f>FLOOR(IF('بيان الاعمال'!BH308&lt;مستخلص!E189,'بيان الاعمال'!BH308,مستخلص!E189),1)</f>
        <v>1248</v>
      </c>
      <c r="J189" s="704">
        <f t="shared" ref="J189:J197" si="33">F189*I189</f>
        <v>405600</v>
      </c>
      <c r="K189" s="705">
        <v>0.95</v>
      </c>
      <c r="L189" s="704">
        <f t="shared" si="31"/>
        <v>20280.000000000018</v>
      </c>
      <c r="M189" s="704">
        <f t="shared" si="32"/>
        <v>385320</v>
      </c>
      <c r="N189" s="706"/>
      <c r="O189" s="246">
        <f t="shared" si="22"/>
        <v>23.111111111111111</v>
      </c>
      <c r="FF189" s="159"/>
      <c r="FH189" s="160"/>
      <c r="FI189" s="160"/>
      <c r="FJ189" s="160"/>
      <c r="FK189" s="160"/>
      <c r="FL189" s="160"/>
      <c r="FM189" s="160"/>
      <c r="FN189" s="160"/>
    </row>
    <row r="190" spans="1:170" ht="50.1" customHeight="1" x14ac:dyDescent="0.4">
      <c r="A190" s="316" t="s">
        <v>633</v>
      </c>
      <c r="B190" s="248" t="s">
        <v>631</v>
      </c>
      <c r="C190" s="322" t="s">
        <v>40</v>
      </c>
      <c r="D190" s="315">
        <v>45</v>
      </c>
      <c r="E190" s="241">
        <f>D190*54</f>
        <v>2430</v>
      </c>
      <c r="F190" s="315">
        <v>260</v>
      </c>
      <c r="G190" s="241">
        <v>3000</v>
      </c>
      <c r="H190" s="242">
        <f t="shared" si="30"/>
        <v>0</v>
      </c>
      <c r="I190" s="242">
        <v>3000</v>
      </c>
      <c r="J190" s="243">
        <f t="shared" si="33"/>
        <v>780000</v>
      </c>
      <c r="K190" s="244">
        <v>0.97</v>
      </c>
      <c r="L190" s="243">
        <f t="shared" si="31"/>
        <v>23400.000000000022</v>
      </c>
      <c r="M190" s="243">
        <f t="shared" si="32"/>
        <v>756600</v>
      </c>
      <c r="N190" s="245"/>
      <c r="O190" s="246">
        <f>I190/54</f>
        <v>55.555555555555557</v>
      </c>
      <c r="FF190" s="159"/>
      <c r="FH190" s="317"/>
      <c r="FI190" s="317"/>
      <c r="FJ190" s="317"/>
      <c r="FK190" s="317"/>
      <c r="FL190" s="317"/>
      <c r="FM190" s="317"/>
      <c r="FN190" s="317"/>
    </row>
    <row r="191" spans="1:170" ht="50.1" customHeight="1" x14ac:dyDescent="0.4">
      <c r="A191" s="316" t="s">
        <v>634</v>
      </c>
      <c r="B191" s="248" t="s">
        <v>425</v>
      </c>
      <c r="C191" s="240" t="s">
        <v>40</v>
      </c>
      <c r="D191" s="241">
        <v>85</v>
      </c>
      <c r="E191" s="241">
        <f t="shared" si="26"/>
        <v>4590</v>
      </c>
      <c r="F191" s="241">
        <v>260</v>
      </c>
      <c r="G191" s="241">
        <v>4606</v>
      </c>
      <c r="H191" s="241">
        <f t="shared" si="30"/>
        <v>0</v>
      </c>
      <c r="I191" s="242">
        <v>4606</v>
      </c>
      <c r="J191" s="243">
        <f t="shared" si="33"/>
        <v>1197560</v>
      </c>
      <c r="K191" s="244">
        <v>0.97</v>
      </c>
      <c r="L191" s="243">
        <f t="shared" si="31"/>
        <v>35926.800000000032</v>
      </c>
      <c r="M191" s="243">
        <f t="shared" si="32"/>
        <v>1161633.2</v>
      </c>
      <c r="N191" s="245"/>
      <c r="O191" s="246">
        <f>I191/54</f>
        <v>85.296296296296291</v>
      </c>
      <c r="FF191" s="159"/>
      <c r="FH191" s="160"/>
      <c r="FI191" s="160"/>
      <c r="FJ191" s="160"/>
      <c r="FK191" s="160"/>
      <c r="FL191" s="160"/>
      <c r="FM191" s="160"/>
      <c r="FN191" s="160"/>
    </row>
    <row r="192" spans="1:170" ht="50.1" customHeight="1" x14ac:dyDescent="0.4">
      <c r="A192" s="316" t="s">
        <v>634</v>
      </c>
      <c r="B192" s="248" t="s">
        <v>426</v>
      </c>
      <c r="C192" s="240" t="s">
        <v>40</v>
      </c>
      <c r="D192" s="241">
        <v>165</v>
      </c>
      <c r="E192" s="241">
        <f t="shared" si="26"/>
        <v>8910</v>
      </c>
      <c r="F192" s="241">
        <v>160</v>
      </c>
      <c r="G192" s="241">
        <v>9018</v>
      </c>
      <c r="H192" s="241">
        <f t="shared" si="30"/>
        <v>0</v>
      </c>
      <c r="I192" s="242">
        <v>9018</v>
      </c>
      <c r="J192" s="243">
        <f t="shared" si="33"/>
        <v>1442880</v>
      </c>
      <c r="K192" s="244">
        <v>0.97</v>
      </c>
      <c r="L192" s="243">
        <f t="shared" si="31"/>
        <v>43286.400000000038</v>
      </c>
      <c r="M192" s="243">
        <f t="shared" si="32"/>
        <v>1399593.5999999999</v>
      </c>
      <c r="N192" s="245"/>
      <c r="O192" s="246">
        <f>I192/54</f>
        <v>167</v>
      </c>
      <c r="FF192" s="159"/>
      <c r="FH192" s="160"/>
      <c r="FI192" s="160"/>
      <c r="FJ192" s="160"/>
      <c r="FK192" s="160"/>
      <c r="FL192" s="160"/>
      <c r="FM192" s="160"/>
      <c r="FN192" s="160"/>
    </row>
    <row r="193" spans="1:170" ht="50.1" customHeight="1" x14ac:dyDescent="0.4">
      <c r="A193" s="316" t="s">
        <v>634</v>
      </c>
      <c r="B193" s="248" t="s">
        <v>427</v>
      </c>
      <c r="C193" s="240" t="s">
        <v>40</v>
      </c>
      <c r="D193" s="241">
        <v>65</v>
      </c>
      <c r="E193" s="241">
        <f t="shared" si="26"/>
        <v>3510</v>
      </c>
      <c r="F193" s="241">
        <v>145</v>
      </c>
      <c r="G193" s="241">
        <v>3515</v>
      </c>
      <c r="H193" s="241">
        <f t="shared" si="30"/>
        <v>0</v>
      </c>
      <c r="I193" s="242">
        <v>3515</v>
      </c>
      <c r="J193" s="243">
        <f t="shared" si="33"/>
        <v>509675</v>
      </c>
      <c r="K193" s="244">
        <v>0.97</v>
      </c>
      <c r="L193" s="243">
        <f t="shared" si="31"/>
        <v>15290.250000000013</v>
      </c>
      <c r="M193" s="243">
        <f t="shared" si="32"/>
        <v>494384.75</v>
      </c>
      <c r="N193" s="245"/>
      <c r="O193" s="246">
        <f>I193/54</f>
        <v>65.092592592592595</v>
      </c>
      <c r="FF193" s="159"/>
      <c r="FH193" s="160"/>
      <c r="FI193" s="160"/>
      <c r="FJ193" s="160"/>
      <c r="FK193" s="160"/>
      <c r="FL193" s="160"/>
      <c r="FM193" s="160"/>
      <c r="FN193" s="160"/>
    </row>
    <row r="194" spans="1:170" ht="50.1" customHeight="1" x14ac:dyDescent="0.4">
      <c r="A194" s="316" t="s">
        <v>635</v>
      </c>
      <c r="B194" s="248" t="s">
        <v>542</v>
      </c>
      <c r="C194" s="240" t="s">
        <v>33</v>
      </c>
      <c r="D194" s="241">
        <v>4</v>
      </c>
      <c r="E194" s="241">
        <f t="shared" ref="E194:E199" si="34">D194*54</f>
        <v>216</v>
      </c>
      <c r="F194" s="241">
        <v>235</v>
      </c>
      <c r="G194" s="241">
        <v>216</v>
      </c>
      <c r="H194" s="241">
        <f t="shared" si="30"/>
        <v>0</v>
      </c>
      <c r="I194" s="242">
        <f>FLOOR(IF('بيان الاعمال'!BH323&lt;مستخلص!E194,'بيان الاعمال'!BH323,مستخلص!E194),1)</f>
        <v>216</v>
      </c>
      <c r="J194" s="243">
        <f t="shared" si="33"/>
        <v>50760</v>
      </c>
      <c r="K194" s="244">
        <v>0.97</v>
      </c>
      <c r="L194" s="243">
        <f t="shared" si="31"/>
        <v>1522.8000000000013</v>
      </c>
      <c r="M194" s="243">
        <f t="shared" si="32"/>
        <v>49237.2</v>
      </c>
      <c r="N194" s="274"/>
      <c r="O194" s="246">
        <f t="shared" si="22"/>
        <v>4</v>
      </c>
      <c r="FF194" s="159"/>
      <c r="FH194" s="160"/>
      <c r="FI194" s="160"/>
      <c r="FJ194" s="160"/>
      <c r="FK194" s="160"/>
      <c r="FL194" s="160"/>
      <c r="FM194" s="160"/>
      <c r="FN194" s="160"/>
    </row>
    <row r="195" spans="1:170" ht="50.1" customHeight="1" x14ac:dyDescent="0.4">
      <c r="A195" s="316" t="s">
        <v>636</v>
      </c>
      <c r="B195" s="248" t="s">
        <v>637</v>
      </c>
      <c r="C195" s="240" t="s">
        <v>33</v>
      </c>
      <c r="D195" s="241">
        <v>8</v>
      </c>
      <c r="E195" s="241">
        <f t="shared" si="34"/>
        <v>432</v>
      </c>
      <c r="F195" s="241">
        <v>910</v>
      </c>
      <c r="G195" s="241">
        <v>432</v>
      </c>
      <c r="H195" s="241">
        <f t="shared" si="30"/>
        <v>0</v>
      </c>
      <c r="I195" s="242">
        <f>'بيان الاعمال'!BG326</f>
        <v>432</v>
      </c>
      <c r="J195" s="243">
        <f t="shared" si="33"/>
        <v>393120</v>
      </c>
      <c r="K195" s="244">
        <v>0.9</v>
      </c>
      <c r="L195" s="243">
        <f t="shared" si="31"/>
        <v>39311.999999999993</v>
      </c>
      <c r="M195" s="243">
        <f t="shared" si="32"/>
        <v>353808</v>
      </c>
      <c r="N195" s="274"/>
      <c r="O195" s="246">
        <f t="shared" si="22"/>
        <v>8</v>
      </c>
      <c r="FF195" s="159"/>
      <c r="FH195" s="317"/>
      <c r="FI195" s="317"/>
      <c r="FJ195" s="317"/>
      <c r="FK195" s="317"/>
      <c r="FL195" s="317"/>
      <c r="FM195" s="317"/>
      <c r="FN195" s="317"/>
    </row>
    <row r="196" spans="1:170" ht="45" customHeight="1" x14ac:dyDescent="0.4">
      <c r="A196" s="1123" t="s">
        <v>638</v>
      </c>
      <c r="B196" s="248" t="s">
        <v>639</v>
      </c>
      <c r="C196" s="248" t="s">
        <v>543</v>
      </c>
      <c r="D196" s="241">
        <v>4</v>
      </c>
      <c r="E196" s="241">
        <f t="shared" si="34"/>
        <v>216</v>
      </c>
      <c r="F196" s="241">
        <v>2400</v>
      </c>
      <c r="G196" s="241">
        <v>250</v>
      </c>
      <c r="H196" s="241">
        <f t="shared" si="30"/>
        <v>0</v>
      </c>
      <c r="I196" s="242">
        <f>'بيان الاعمال'!BG328</f>
        <v>250</v>
      </c>
      <c r="J196" s="243">
        <f t="shared" si="33"/>
        <v>600000</v>
      </c>
      <c r="K196" s="244">
        <v>0.9</v>
      </c>
      <c r="L196" s="243">
        <f t="shared" si="31"/>
        <v>59999.999999999985</v>
      </c>
      <c r="M196" s="243">
        <f t="shared" si="32"/>
        <v>540000</v>
      </c>
      <c r="N196" s="274"/>
      <c r="O196" s="246">
        <f t="shared" si="22"/>
        <v>4.6296296296296298</v>
      </c>
      <c r="FF196" s="159"/>
      <c r="FH196" s="317"/>
      <c r="FI196" s="317"/>
      <c r="FJ196" s="317"/>
      <c r="FK196" s="317"/>
      <c r="FL196" s="317"/>
      <c r="FM196" s="317"/>
      <c r="FN196" s="317"/>
    </row>
    <row r="197" spans="1:170" ht="42" customHeight="1" x14ac:dyDescent="0.4">
      <c r="A197" s="1125"/>
      <c r="B197" s="248" t="s">
        <v>640</v>
      </c>
      <c r="C197" s="248" t="s">
        <v>543</v>
      </c>
      <c r="D197" s="241">
        <v>2</v>
      </c>
      <c r="E197" s="241">
        <f t="shared" si="34"/>
        <v>108</v>
      </c>
      <c r="F197" s="241">
        <v>3200</v>
      </c>
      <c r="G197" s="241">
        <v>104</v>
      </c>
      <c r="H197" s="241">
        <f t="shared" si="30"/>
        <v>0</v>
      </c>
      <c r="I197" s="242">
        <f>'بيان الاعمال'!BG330</f>
        <v>104</v>
      </c>
      <c r="J197" s="243">
        <f t="shared" si="33"/>
        <v>332800</v>
      </c>
      <c r="K197" s="244">
        <v>0.9</v>
      </c>
      <c r="L197" s="243">
        <f t="shared" si="31"/>
        <v>33279.999999999993</v>
      </c>
      <c r="M197" s="243">
        <f t="shared" si="32"/>
        <v>299520</v>
      </c>
      <c r="N197" s="274"/>
      <c r="O197" s="246">
        <f t="shared" si="22"/>
        <v>1.9259259259259258</v>
      </c>
      <c r="FF197" s="159"/>
      <c r="FH197" s="317"/>
      <c r="FI197" s="317"/>
      <c r="FJ197" s="317"/>
      <c r="FK197" s="317"/>
      <c r="FL197" s="317"/>
      <c r="FM197" s="317"/>
      <c r="FN197" s="317"/>
    </row>
    <row r="198" spans="1:170" ht="42" customHeight="1" x14ac:dyDescent="0.4">
      <c r="A198" s="567" t="s">
        <v>718</v>
      </c>
      <c r="B198" s="248" t="s">
        <v>719</v>
      </c>
      <c r="C198" s="248" t="s">
        <v>543</v>
      </c>
      <c r="D198" s="241">
        <v>1</v>
      </c>
      <c r="E198" s="241">
        <f t="shared" si="34"/>
        <v>54</v>
      </c>
      <c r="F198" s="241">
        <v>3800</v>
      </c>
      <c r="G198" s="241">
        <v>52</v>
      </c>
      <c r="H198" s="241">
        <f t="shared" si="30"/>
        <v>0</v>
      </c>
      <c r="I198" s="242">
        <f>'بيان الاعمال'!BG332</f>
        <v>52</v>
      </c>
      <c r="J198" s="243">
        <f>I198*F198</f>
        <v>197600</v>
      </c>
      <c r="K198" s="244">
        <v>0.9</v>
      </c>
      <c r="L198" s="243">
        <f t="shared" si="31"/>
        <v>19759.999999999996</v>
      </c>
      <c r="M198" s="243">
        <f t="shared" si="32"/>
        <v>177840</v>
      </c>
      <c r="N198" s="274"/>
      <c r="O198" s="246"/>
      <c r="FF198" s="159"/>
      <c r="FH198" s="568"/>
      <c r="FI198" s="568"/>
      <c r="FJ198" s="568"/>
      <c r="FK198" s="568"/>
      <c r="FL198" s="568"/>
      <c r="FM198" s="568"/>
      <c r="FN198" s="568"/>
    </row>
    <row r="199" spans="1:170" ht="43.15" customHeight="1" x14ac:dyDescent="0.4">
      <c r="A199" s="316" t="s">
        <v>641</v>
      </c>
      <c r="B199" s="248" t="s">
        <v>642</v>
      </c>
      <c r="C199" s="248" t="s">
        <v>543</v>
      </c>
      <c r="D199" s="241">
        <v>4</v>
      </c>
      <c r="E199" s="241">
        <f t="shared" si="34"/>
        <v>216</v>
      </c>
      <c r="F199" s="241">
        <v>8000</v>
      </c>
      <c r="G199" s="241">
        <v>208</v>
      </c>
      <c r="H199" s="241">
        <f t="shared" si="30"/>
        <v>0</v>
      </c>
      <c r="I199" s="242">
        <f>'بيان الاعمال'!BG334</f>
        <v>208</v>
      </c>
      <c r="J199" s="243">
        <f>I199*F199</f>
        <v>1664000</v>
      </c>
      <c r="K199" s="244">
        <v>0.9</v>
      </c>
      <c r="L199" s="243">
        <f t="shared" si="31"/>
        <v>166399.99999999997</v>
      </c>
      <c r="M199" s="243">
        <f t="shared" si="32"/>
        <v>1497600</v>
      </c>
      <c r="N199" s="274"/>
      <c r="O199" s="246">
        <f t="shared" si="22"/>
        <v>3.8518518518518516</v>
      </c>
      <c r="FF199" s="159"/>
      <c r="FH199" s="317"/>
      <c r="FI199" s="317"/>
      <c r="FJ199" s="317"/>
      <c r="FK199" s="317"/>
      <c r="FL199" s="317"/>
      <c r="FM199" s="317"/>
      <c r="FN199" s="317"/>
    </row>
    <row r="200" spans="1:170" ht="40.9" customHeight="1" x14ac:dyDescent="0.4">
      <c r="A200" s="1144" t="s">
        <v>23</v>
      </c>
      <c r="B200" s="1144"/>
      <c r="C200" s="1144"/>
      <c r="D200" s="1144"/>
      <c r="E200" s="1144"/>
      <c r="F200" s="1144"/>
      <c r="G200" s="1144"/>
      <c r="H200" s="1144"/>
      <c r="I200" s="1144"/>
      <c r="J200" s="236">
        <f>SUM(J171:J199)</f>
        <v>427158505</v>
      </c>
      <c r="K200" s="236"/>
      <c r="L200" s="236">
        <f>SUM(L171:L199)</f>
        <v>3250886.9500000011</v>
      </c>
      <c r="M200" s="236">
        <f>SUM(M171:M199)</f>
        <v>423907618.04999995</v>
      </c>
      <c r="N200" s="236"/>
      <c r="O200" s="246">
        <f t="shared" si="22"/>
        <v>0</v>
      </c>
      <c r="FF200" s="159"/>
      <c r="FH200" s="160"/>
      <c r="FI200" s="160"/>
      <c r="FJ200" s="160"/>
      <c r="FK200" s="160"/>
      <c r="FL200" s="160"/>
      <c r="FM200" s="160"/>
      <c r="FN200" s="160"/>
    </row>
    <row r="201" spans="1:170" ht="35.1" customHeight="1" x14ac:dyDescent="0.4">
      <c r="A201" s="1139" t="s">
        <v>24</v>
      </c>
      <c r="B201" s="1139"/>
      <c r="C201" s="1139"/>
      <c r="D201" s="1139"/>
      <c r="E201" s="1139"/>
      <c r="F201" s="1139"/>
      <c r="G201" s="1139"/>
      <c r="H201" s="260"/>
      <c r="I201" s="260"/>
      <c r="J201" s="78"/>
      <c r="K201" s="78"/>
      <c r="L201" s="78"/>
      <c r="M201" s="162"/>
      <c r="N201" s="162"/>
      <c r="O201" s="246">
        <f t="shared" si="22"/>
        <v>0</v>
      </c>
      <c r="FF201" s="159"/>
      <c r="FH201" s="160"/>
      <c r="FI201" s="160"/>
      <c r="FJ201" s="160"/>
      <c r="FK201" s="160"/>
      <c r="FL201" s="160"/>
      <c r="FM201" s="160"/>
      <c r="FN201" s="160"/>
    </row>
    <row r="202" spans="1:170" ht="28.9" customHeight="1" x14ac:dyDescent="0.4">
      <c r="A202" s="261"/>
      <c r="B202" s="262" t="s">
        <v>25</v>
      </c>
      <c r="C202" s="1140" t="s">
        <v>26</v>
      </c>
      <c r="D202" s="1140"/>
      <c r="E202" s="1140"/>
      <c r="F202" s="1140"/>
      <c r="G202" s="1140"/>
      <c r="H202" s="1140"/>
      <c r="I202" s="1140"/>
      <c r="J202" s="1140"/>
      <c r="K202" s="1140"/>
      <c r="L202" s="1140"/>
      <c r="M202" s="1140"/>
      <c r="N202" s="1140"/>
      <c r="O202" s="246">
        <f t="shared" si="22"/>
        <v>0</v>
      </c>
      <c r="FF202" s="159"/>
      <c r="FH202" s="160"/>
      <c r="FI202" s="160"/>
      <c r="FJ202" s="160"/>
      <c r="FK202" s="160"/>
      <c r="FL202" s="160"/>
      <c r="FM202" s="160"/>
      <c r="FN202" s="160"/>
    </row>
    <row r="203" spans="1:170" ht="35.1" customHeight="1" x14ac:dyDescent="0.4">
      <c r="A203" s="1104" t="s">
        <v>27</v>
      </c>
      <c r="B203" s="1105"/>
      <c r="C203" s="1104" t="s">
        <v>61</v>
      </c>
      <c r="D203" s="1143"/>
      <c r="E203" s="1143"/>
      <c r="F203" s="1143"/>
      <c r="G203" s="1143"/>
      <c r="H203" s="1143"/>
      <c r="I203" s="1105"/>
      <c r="J203" s="1107" t="s">
        <v>62</v>
      </c>
      <c r="K203" s="1107"/>
      <c r="L203" s="1107"/>
      <c r="M203" s="1107"/>
      <c r="N203" s="1107"/>
      <c r="O203" s="246">
        <f t="shared" si="22"/>
        <v>0</v>
      </c>
      <c r="FF203" s="159"/>
      <c r="FH203" s="160"/>
      <c r="FI203" s="160"/>
      <c r="FJ203" s="160"/>
      <c r="FK203" s="160"/>
      <c r="FL203" s="160"/>
      <c r="FM203" s="160"/>
      <c r="FN203" s="160"/>
    </row>
    <row r="204" spans="1:170" ht="36" customHeight="1" x14ac:dyDescent="0.4">
      <c r="A204" s="1102" t="s">
        <v>513</v>
      </c>
      <c r="B204" s="1103"/>
      <c r="C204" s="1104" t="s">
        <v>28</v>
      </c>
      <c r="D204" s="1105"/>
      <c r="E204" s="1106" t="s">
        <v>63</v>
      </c>
      <c r="F204" s="1106"/>
      <c r="G204" s="1107" t="s">
        <v>557</v>
      </c>
      <c r="H204" s="1107"/>
      <c r="I204" s="1107"/>
      <c r="J204" s="762" t="s">
        <v>793</v>
      </c>
      <c r="K204" s="765" t="s">
        <v>512</v>
      </c>
      <c r="L204" s="1141" t="s">
        <v>795</v>
      </c>
      <c r="M204" s="1142"/>
      <c r="N204" s="756" t="s">
        <v>69</v>
      </c>
      <c r="O204" s="246">
        <f t="shared" si="22"/>
        <v>0</v>
      </c>
      <c r="FF204" s="159"/>
      <c r="FH204" s="160"/>
      <c r="FI204" s="160"/>
      <c r="FJ204" s="160"/>
      <c r="FK204" s="160"/>
      <c r="FL204" s="160"/>
      <c r="FM204" s="160"/>
      <c r="FN204" s="160"/>
    </row>
    <row r="205" spans="1:170" ht="35.1" customHeight="1" x14ac:dyDescent="0.4">
      <c r="A205" s="1110" t="s">
        <v>514</v>
      </c>
      <c r="B205" s="1111"/>
      <c r="C205" s="1112" t="s">
        <v>704</v>
      </c>
      <c r="D205" s="1113"/>
      <c r="E205" s="1107" t="s">
        <v>515</v>
      </c>
      <c r="F205" s="1107"/>
      <c r="G205" s="1107" t="s">
        <v>152</v>
      </c>
      <c r="H205" s="1107"/>
      <c r="I205" s="1104"/>
      <c r="J205" s="763" t="s">
        <v>322</v>
      </c>
      <c r="K205" s="764" t="s">
        <v>794</v>
      </c>
      <c r="L205" s="1104" t="s">
        <v>796</v>
      </c>
      <c r="M205" s="1105"/>
      <c r="N205" s="268" t="s">
        <v>739</v>
      </c>
      <c r="O205" s="246">
        <f t="shared" si="22"/>
        <v>0</v>
      </c>
      <c r="FF205" s="159"/>
      <c r="FH205" s="160"/>
      <c r="FI205" s="160"/>
      <c r="FJ205" s="160"/>
      <c r="FK205" s="160"/>
      <c r="FL205" s="160"/>
      <c r="FM205" s="160"/>
      <c r="FN205" s="160"/>
    </row>
    <row r="206" spans="1:170" ht="35.1" customHeight="1" x14ac:dyDescent="0.4">
      <c r="A206" s="133" t="s">
        <v>511</v>
      </c>
      <c r="B206" s="134" t="s">
        <v>563</v>
      </c>
      <c r="C206" s="68" t="s">
        <v>74</v>
      </c>
      <c r="D206" s="68"/>
      <c r="E206" s="69"/>
      <c r="F206" s="70"/>
      <c r="G206" s="68" t="s">
        <v>64</v>
      </c>
      <c r="H206" s="71"/>
      <c r="I206" s="69"/>
      <c r="J206" s="69" t="s">
        <v>64</v>
      </c>
      <c r="K206" s="766" t="s">
        <v>64</v>
      </c>
      <c r="L206" s="135" t="s">
        <v>70</v>
      </c>
      <c r="M206" s="68"/>
      <c r="N206" s="68" t="s">
        <v>70</v>
      </c>
      <c r="O206" s="246">
        <f t="shared" si="22"/>
        <v>0</v>
      </c>
      <c r="FF206" s="159"/>
      <c r="FH206" s="160"/>
      <c r="FI206" s="160"/>
      <c r="FJ206" s="160"/>
      <c r="FK206" s="160"/>
      <c r="FL206" s="160"/>
      <c r="FM206" s="160"/>
      <c r="FN206" s="160"/>
    </row>
    <row r="207" spans="1:170" ht="27.75" x14ac:dyDescent="0.4">
      <c r="A207" s="72"/>
      <c r="B207" s="72"/>
      <c r="C207" s="71"/>
      <c r="D207" s="71"/>
      <c r="E207" s="71"/>
      <c r="F207" s="71"/>
      <c r="G207" s="71"/>
      <c r="H207" s="71"/>
      <c r="I207" s="71"/>
      <c r="J207" s="1135"/>
      <c r="K207" s="1135"/>
      <c r="L207" s="71"/>
      <c r="M207" s="1136" t="s">
        <v>65</v>
      </c>
      <c r="N207" s="1136"/>
      <c r="O207" s="246">
        <f t="shared" si="22"/>
        <v>0</v>
      </c>
      <c r="FF207" s="159"/>
      <c r="FH207" s="160"/>
      <c r="FI207" s="160"/>
      <c r="FJ207" s="160"/>
      <c r="FK207" s="160"/>
      <c r="FL207" s="160"/>
      <c r="FM207" s="160"/>
      <c r="FN207" s="160"/>
    </row>
    <row r="208" spans="1:170" ht="21" customHeight="1" x14ac:dyDescent="0.4">
      <c r="A208" s="72"/>
      <c r="B208" s="72"/>
      <c r="C208" s="71"/>
      <c r="D208" s="1100" t="s">
        <v>558</v>
      </c>
      <c r="E208" s="1100"/>
      <c r="F208" s="1100"/>
      <c r="G208" s="1100"/>
      <c r="H208" s="71"/>
      <c r="I208" s="71"/>
      <c r="J208" s="1132" t="s">
        <v>560</v>
      </c>
      <c r="K208" s="1133"/>
      <c r="L208" s="1134"/>
      <c r="M208" s="1137" t="s">
        <v>67</v>
      </c>
      <c r="N208" s="1138"/>
      <c r="O208" s="246">
        <f t="shared" si="22"/>
        <v>0</v>
      </c>
      <c r="FF208" s="159"/>
      <c r="FH208" s="160"/>
      <c r="FI208" s="160"/>
      <c r="FJ208" s="160"/>
      <c r="FK208" s="160"/>
      <c r="FL208" s="160"/>
      <c r="FM208" s="160"/>
      <c r="FN208" s="160"/>
    </row>
    <row r="209" spans="1:170" ht="35.1" customHeight="1" x14ac:dyDescent="0.4">
      <c r="A209" s="68"/>
      <c r="B209" s="73"/>
      <c r="C209" s="74"/>
      <c r="D209" s="1100" t="s">
        <v>153</v>
      </c>
      <c r="E209" s="1100"/>
      <c r="F209" s="1100"/>
      <c r="G209" s="1100"/>
      <c r="H209" s="68"/>
      <c r="I209" s="71"/>
      <c r="J209" s="1132" t="s">
        <v>797</v>
      </c>
      <c r="K209" s="1133"/>
      <c r="L209" s="1134"/>
      <c r="M209" s="1108" t="s">
        <v>481</v>
      </c>
      <c r="N209" s="1109"/>
      <c r="O209" s="246">
        <f t="shared" si="22"/>
        <v>0</v>
      </c>
      <c r="FF209" s="159"/>
      <c r="FH209" s="160"/>
      <c r="FI209" s="160"/>
      <c r="FJ209" s="160"/>
      <c r="FK209" s="160"/>
      <c r="FL209" s="160"/>
      <c r="FM209" s="160"/>
      <c r="FN209" s="160"/>
    </row>
    <row r="210" spans="1:170" ht="40.9" customHeight="1" x14ac:dyDescent="0.4">
      <c r="A210" s="75"/>
      <c r="B210" s="76"/>
      <c r="C210" s="77"/>
      <c r="D210" s="68" t="s">
        <v>233</v>
      </c>
      <c r="E210" s="78"/>
      <c r="F210" s="79"/>
      <c r="G210" s="75"/>
      <c r="H210" s="79"/>
      <c r="I210" s="71"/>
      <c r="J210" s="68" t="s">
        <v>231</v>
      </c>
      <c r="K210" s="78"/>
      <c r="L210" s="79"/>
      <c r="M210" s="757" t="s">
        <v>232</v>
      </c>
      <c r="N210" s="81"/>
      <c r="O210" s="81"/>
      <c r="FF210" s="159"/>
      <c r="FH210" s="160"/>
      <c r="FI210" s="160"/>
      <c r="FJ210" s="160"/>
      <c r="FK210" s="160"/>
      <c r="FL210" s="160"/>
      <c r="FM210" s="160"/>
      <c r="FN210" s="160"/>
    </row>
    <row r="211" spans="1:170" ht="50.1" customHeight="1" x14ac:dyDescent="0.4">
      <c r="A211" s="1101" t="s">
        <v>31</v>
      </c>
      <c r="B211" s="1101"/>
      <c r="C211" s="1101"/>
      <c r="D211" s="1101"/>
      <c r="E211" s="1101"/>
      <c r="F211" s="1101"/>
      <c r="G211" s="1101"/>
      <c r="H211" s="1101"/>
      <c r="I211" s="1101"/>
      <c r="J211" s="589">
        <f>J200</f>
        <v>427158505</v>
      </c>
      <c r="K211" s="590"/>
      <c r="L211" s="589">
        <f>L200</f>
        <v>3250886.9500000011</v>
      </c>
      <c r="M211" s="589">
        <f>M200</f>
        <v>423907618.04999995</v>
      </c>
      <c r="N211" s="245"/>
      <c r="O211" s="246">
        <f t="shared" ref="O211:O231" si="35">I211/54</f>
        <v>0</v>
      </c>
      <c r="FF211" s="159"/>
      <c r="FH211" s="575"/>
      <c r="FI211" s="575"/>
      <c r="FJ211" s="575"/>
      <c r="FK211" s="575"/>
      <c r="FL211" s="575"/>
      <c r="FM211" s="575"/>
      <c r="FN211" s="575"/>
    </row>
    <row r="212" spans="1:170" ht="50.1" customHeight="1" x14ac:dyDescent="0.4">
      <c r="A212" s="1145" t="s">
        <v>730</v>
      </c>
      <c r="B212" s="1145"/>
      <c r="C212" s="1145"/>
      <c r="D212" s="253"/>
      <c r="E212" s="250"/>
      <c r="F212" s="250"/>
      <c r="G212" s="252"/>
      <c r="H212" s="252"/>
      <c r="I212" s="252"/>
      <c r="J212" s="252"/>
      <c r="K212" s="235"/>
      <c r="L212" s="252"/>
      <c r="M212" s="252"/>
      <c r="N212" s="237"/>
      <c r="O212" s="246">
        <f t="shared" si="35"/>
        <v>0</v>
      </c>
      <c r="FF212" s="159"/>
      <c r="FH212" s="575"/>
      <c r="FI212" s="575"/>
      <c r="FJ212" s="575"/>
      <c r="FK212" s="575"/>
      <c r="FL212" s="575"/>
      <c r="FM212" s="575"/>
      <c r="FN212" s="575"/>
    </row>
    <row r="213" spans="1:170" ht="54.6" customHeight="1" x14ac:dyDescent="0.4">
      <c r="A213" s="574" t="s">
        <v>731</v>
      </c>
      <c r="B213" s="248" t="s">
        <v>733</v>
      </c>
      <c r="C213" s="241" t="s">
        <v>21</v>
      </c>
      <c r="D213" s="241">
        <v>100</v>
      </c>
      <c r="E213" s="241">
        <f t="shared" ref="E213:E219" si="36">54*D213</f>
        <v>5400</v>
      </c>
      <c r="F213" s="241">
        <v>20</v>
      </c>
      <c r="G213" s="241">
        <v>2500</v>
      </c>
      <c r="H213" s="242">
        <f t="shared" ref="H213:H219" si="37">I213-G213</f>
        <v>0</v>
      </c>
      <c r="I213" s="242">
        <f>'بيان الاعمال'!BG337</f>
        <v>2500</v>
      </c>
      <c r="J213" s="243">
        <f t="shared" ref="J213:J219" si="38">F213*I213</f>
        <v>50000</v>
      </c>
      <c r="K213" s="244">
        <v>0.9</v>
      </c>
      <c r="L213" s="243">
        <f t="shared" ref="L213:L219" si="39">J213*(1-K213)</f>
        <v>4999.9999999999991</v>
      </c>
      <c r="M213" s="243">
        <f t="shared" ref="M213:M219" si="40">J213-L213</f>
        <v>45000</v>
      </c>
      <c r="N213" s="245"/>
      <c r="O213" s="246">
        <f t="shared" si="35"/>
        <v>46.296296296296298</v>
      </c>
      <c r="FF213" s="159"/>
      <c r="FH213" s="575"/>
      <c r="FI213" s="575"/>
      <c r="FJ213" s="575"/>
      <c r="FK213" s="575"/>
      <c r="FL213" s="575"/>
      <c r="FM213" s="575"/>
      <c r="FN213" s="575"/>
    </row>
    <row r="214" spans="1:170" ht="54.6" customHeight="1" x14ac:dyDescent="0.4">
      <c r="A214" s="574" t="s">
        <v>732</v>
      </c>
      <c r="B214" s="248" t="s">
        <v>734</v>
      </c>
      <c r="C214" s="241" t="s">
        <v>21</v>
      </c>
      <c r="D214" s="241">
        <v>100</v>
      </c>
      <c r="E214" s="241">
        <f t="shared" si="36"/>
        <v>5400</v>
      </c>
      <c r="F214" s="241">
        <v>75</v>
      </c>
      <c r="G214" s="241">
        <v>2000</v>
      </c>
      <c r="H214" s="242">
        <f t="shared" si="37"/>
        <v>0</v>
      </c>
      <c r="I214" s="242">
        <f>'بيان الاعمال'!BG339</f>
        <v>2000</v>
      </c>
      <c r="J214" s="243">
        <f t="shared" si="38"/>
        <v>150000</v>
      </c>
      <c r="K214" s="244">
        <v>0.9</v>
      </c>
      <c r="L214" s="243">
        <f t="shared" si="39"/>
        <v>14999.999999999996</v>
      </c>
      <c r="M214" s="243">
        <f t="shared" si="40"/>
        <v>135000</v>
      </c>
      <c r="N214" s="245"/>
      <c r="O214" s="246">
        <f t="shared" si="35"/>
        <v>37.037037037037038</v>
      </c>
      <c r="FF214" s="159"/>
      <c r="FH214" s="575"/>
      <c r="FI214" s="575"/>
      <c r="FJ214" s="575"/>
      <c r="FK214" s="575"/>
      <c r="FL214" s="575"/>
      <c r="FM214" s="575"/>
      <c r="FN214" s="575"/>
    </row>
    <row r="215" spans="1:170" ht="54.6" customHeight="1" x14ac:dyDescent="0.4">
      <c r="A215" s="574" t="s">
        <v>423</v>
      </c>
      <c r="B215" s="248" t="s">
        <v>735</v>
      </c>
      <c r="C215" s="241" t="s">
        <v>40</v>
      </c>
      <c r="D215" s="241">
        <v>55</v>
      </c>
      <c r="E215" s="241">
        <f t="shared" si="36"/>
        <v>2970</v>
      </c>
      <c r="F215" s="241">
        <v>90</v>
      </c>
      <c r="G215" s="241">
        <v>2970</v>
      </c>
      <c r="H215" s="242">
        <f t="shared" si="37"/>
        <v>0</v>
      </c>
      <c r="I215" s="242">
        <f>'بيان الاعمال'!BG341</f>
        <v>2970</v>
      </c>
      <c r="J215" s="243">
        <f t="shared" si="38"/>
        <v>267300</v>
      </c>
      <c r="K215" s="244">
        <v>0.9</v>
      </c>
      <c r="L215" s="243">
        <f t="shared" si="39"/>
        <v>26729.999999999993</v>
      </c>
      <c r="M215" s="243">
        <f t="shared" si="40"/>
        <v>240570</v>
      </c>
      <c r="N215" s="245"/>
      <c r="O215" s="246">
        <f>I215/54</f>
        <v>55</v>
      </c>
      <c r="FF215" s="159"/>
      <c r="FH215" s="575"/>
      <c r="FI215" s="575"/>
      <c r="FJ215" s="575"/>
      <c r="FK215" s="575"/>
      <c r="FL215" s="575"/>
      <c r="FM215" s="575"/>
      <c r="FN215" s="575"/>
    </row>
    <row r="216" spans="1:170" ht="54.6" customHeight="1" x14ac:dyDescent="0.4">
      <c r="A216" s="574" t="s">
        <v>424</v>
      </c>
      <c r="B216" s="248" t="s">
        <v>736</v>
      </c>
      <c r="C216" s="241" t="s">
        <v>40</v>
      </c>
      <c r="D216" s="241">
        <v>12</v>
      </c>
      <c r="E216" s="241">
        <f t="shared" si="36"/>
        <v>648</v>
      </c>
      <c r="F216" s="241">
        <v>130</v>
      </c>
      <c r="G216" s="241">
        <v>600</v>
      </c>
      <c r="H216" s="242">
        <f t="shared" si="37"/>
        <v>0</v>
      </c>
      <c r="I216" s="242">
        <f>'بيان الاعمال'!BG343</f>
        <v>600</v>
      </c>
      <c r="J216" s="243">
        <f t="shared" si="38"/>
        <v>78000</v>
      </c>
      <c r="K216" s="244">
        <v>0.9</v>
      </c>
      <c r="L216" s="243">
        <f t="shared" si="39"/>
        <v>7799.9999999999982</v>
      </c>
      <c r="M216" s="243">
        <f t="shared" si="40"/>
        <v>70200</v>
      </c>
      <c r="N216" s="245"/>
      <c r="O216" s="246">
        <f>I216/54</f>
        <v>11.111111111111111</v>
      </c>
      <c r="FF216" s="159"/>
      <c r="FH216" s="575"/>
      <c r="FI216" s="575"/>
      <c r="FJ216" s="575"/>
      <c r="FK216" s="575"/>
      <c r="FL216" s="575"/>
      <c r="FM216" s="575"/>
      <c r="FN216" s="575"/>
    </row>
    <row r="217" spans="1:170" ht="54.6" customHeight="1" x14ac:dyDescent="0.4">
      <c r="A217" s="574" t="s">
        <v>724</v>
      </c>
      <c r="B217" s="248" t="s">
        <v>737</v>
      </c>
      <c r="C217" s="241" t="s">
        <v>40</v>
      </c>
      <c r="D217" s="241">
        <v>20</v>
      </c>
      <c r="E217" s="241">
        <f t="shared" si="36"/>
        <v>1080</v>
      </c>
      <c r="F217" s="241">
        <v>325</v>
      </c>
      <c r="G217" s="241">
        <v>599</v>
      </c>
      <c r="H217" s="242">
        <f t="shared" si="37"/>
        <v>0</v>
      </c>
      <c r="I217" s="242">
        <f>'بيان الاعمال'!BG345</f>
        <v>599</v>
      </c>
      <c r="J217" s="243">
        <f t="shared" si="38"/>
        <v>194675</v>
      </c>
      <c r="K217" s="244">
        <v>0.9</v>
      </c>
      <c r="L217" s="243">
        <f t="shared" si="39"/>
        <v>19467.499999999996</v>
      </c>
      <c r="M217" s="243">
        <f t="shared" si="40"/>
        <v>175207.5</v>
      </c>
      <c r="N217" s="245"/>
      <c r="O217" s="246">
        <f>I217/54</f>
        <v>11.092592592592593</v>
      </c>
      <c r="FF217" s="159"/>
      <c r="FH217" s="575"/>
      <c r="FI217" s="575"/>
      <c r="FJ217" s="575"/>
      <c r="FK217" s="575"/>
      <c r="FL217" s="575"/>
      <c r="FM217" s="575"/>
      <c r="FN217" s="575"/>
    </row>
    <row r="218" spans="1:170" ht="54.6" customHeight="1" x14ac:dyDescent="0.4">
      <c r="A218" s="574" t="s">
        <v>726</v>
      </c>
      <c r="B218" s="248" t="s">
        <v>738</v>
      </c>
      <c r="C218" s="241" t="s">
        <v>33</v>
      </c>
      <c r="D218" s="591">
        <v>0.5</v>
      </c>
      <c r="E218" s="241">
        <f t="shared" si="36"/>
        <v>27</v>
      </c>
      <c r="F218" s="241">
        <v>6650</v>
      </c>
      <c r="G218" s="241">
        <v>12</v>
      </c>
      <c r="H218" s="242">
        <f t="shared" si="37"/>
        <v>0</v>
      </c>
      <c r="I218" s="242">
        <f>'بيان الاعمال'!BG347</f>
        <v>12</v>
      </c>
      <c r="J218" s="243">
        <f t="shared" si="38"/>
        <v>79800</v>
      </c>
      <c r="K218" s="244">
        <v>0.9</v>
      </c>
      <c r="L218" s="243">
        <f t="shared" si="39"/>
        <v>7979.9999999999982</v>
      </c>
      <c r="M218" s="243">
        <f t="shared" si="40"/>
        <v>71820</v>
      </c>
      <c r="N218" s="245"/>
      <c r="O218" s="246">
        <f t="shared" si="35"/>
        <v>0.22222222222222221</v>
      </c>
      <c r="FF218" s="159"/>
      <c r="FH218" s="575"/>
      <c r="FI218" s="575"/>
      <c r="FJ218" s="575"/>
      <c r="FK218" s="575"/>
      <c r="FL218" s="575"/>
      <c r="FM218" s="575"/>
      <c r="FN218" s="575"/>
    </row>
    <row r="219" spans="1:170" ht="54.6" customHeight="1" x14ac:dyDescent="0.4">
      <c r="A219" s="574" t="s">
        <v>729</v>
      </c>
      <c r="B219" s="248" t="s">
        <v>728</v>
      </c>
      <c r="C219" s="241" t="s">
        <v>33</v>
      </c>
      <c r="D219" s="241">
        <v>1</v>
      </c>
      <c r="E219" s="241">
        <f t="shared" si="36"/>
        <v>54</v>
      </c>
      <c r="F219" s="241">
        <v>3030</v>
      </c>
      <c r="G219" s="241">
        <v>40</v>
      </c>
      <c r="H219" s="242">
        <f t="shared" si="37"/>
        <v>0</v>
      </c>
      <c r="I219" s="242">
        <f>'بيان الاعمال'!BG349</f>
        <v>40</v>
      </c>
      <c r="J219" s="243">
        <f t="shared" si="38"/>
        <v>121200</v>
      </c>
      <c r="K219" s="244">
        <v>0.9</v>
      </c>
      <c r="L219" s="243">
        <f t="shared" si="39"/>
        <v>12119.999999999998</v>
      </c>
      <c r="M219" s="243">
        <f t="shared" si="40"/>
        <v>109080</v>
      </c>
      <c r="N219" s="590"/>
      <c r="O219" s="246">
        <f t="shared" si="35"/>
        <v>0.7407407407407407</v>
      </c>
      <c r="FF219" s="159"/>
      <c r="FH219" s="575"/>
      <c r="FI219" s="575"/>
      <c r="FJ219" s="575"/>
      <c r="FK219" s="575"/>
      <c r="FL219" s="575"/>
      <c r="FM219" s="575"/>
      <c r="FN219" s="575"/>
    </row>
    <row r="220" spans="1:170" ht="50.1" customHeight="1" x14ac:dyDescent="0.4">
      <c r="A220" s="1144" t="s">
        <v>23</v>
      </c>
      <c r="B220" s="1144"/>
      <c r="C220" s="1144"/>
      <c r="D220" s="1144"/>
      <c r="E220" s="1144"/>
      <c r="F220" s="1144"/>
      <c r="G220" s="1144"/>
      <c r="H220" s="1144"/>
      <c r="I220" s="1144"/>
      <c r="J220" s="236">
        <f>SUM(J211:J219)</f>
        <v>428099480</v>
      </c>
      <c r="K220" s="236"/>
      <c r="L220" s="236">
        <f>SUM(L211:L219)</f>
        <v>3344984.4500000011</v>
      </c>
      <c r="M220" s="236">
        <f>SUM(M211:M219)</f>
        <v>424754495.54999995</v>
      </c>
      <c r="N220" s="236"/>
      <c r="O220" s="246">
        <f>M220*0.97</f>
        <v>412011860.68349993</v>
      </c>
      <c r="FF220" s="159"/>
      <c r="FH220" s="575"/>
      <c r="FI220" s="575"/>
      <c r="FJ220" s="575"/>
      <c r="FK220" s="575"/>
      <c r="FL220" s="575"/>
      <c r="FM220" s="575"/>
      <c r="FN220" s="575"/>
    </row>
    <row r="221" spans="1:170" ht="40.15" customHeight="1" x14ac:dyDescent="0.4">
      <c r="A221" s="1139" t="s">
        <v>24</v>
      </c>
      <c r="B221" s="1139"/>
      <c r="C221" s="1139"/>
      <c r="D221" s="1139"/>
      <c r="E221" s="1139"/>
      <c r="F221" s="1139"/>
      <c r="G221" s="1139"/>
      <c r="H221" s="260"/>
      <c r="I221" s="260"/>
      <c r="J221" s="78"/>
      <c r="K221" s="78"/>
      <c r="L221" s="78"/>
      <c r="M221" s="162"/>
      <c r="N221" s="162"/>
      <c r="O221" s="246">
        <f t="shared" si="35"/>
        <v>0</v>
      </c>
      <c r="P221" s="754">
        <f>J220-L220</f>
        <v>424754495.55000001</v>
      </c>
      <c r="FF221" s="159"/>
      <c r="FH221" s="575"/>
      <c r="FI221" s="575"/>
      <c r="FJ221" s="575"/>
      <c r="FK221" s="575"/>
      <c r="FL221" s="575"/>
      <c r="FM221" s="575"/>
      <c r="FN221" s="575"/>
    </row>
    <row r="222" spans="1:170" ht="40.15" customHeight="1" x14ac:dyDescent="0.4">
      <c r="A222" s="573"/>
      <c r="B222" s="262" t="s">
        <v>25</v>
      </c>
      <c r="C222" s="1140" t="s">
        <v>26</v>
      </c>
      <c r="D222" s="1140"/>
      <c r="E222" s="1140"/>
      <c r="F222" s="1140"/>
      <c r="G222" s="1140"/>
      <c r="H222" s="1140"/>
      <c r="I222" s="1140"/>
      <c r="J222" s="1140"/>
      <c r="K222" s="1140"/>
      <c r="L222" s="1140"/>
      <c r="M222" s="1140"/>
      <c r="N222" s="1140"/>
      <c r="O222" s="246">
        <f t="shared" si="35"/>
        <v>0</v>
      </c>
      <c r="FF222" s="159"/>
      <c r="FH222" s="575"/>
      <c r="FI222" s="575"/>
      <c r="FJ222" s="575"/>
      <c r="FK222" s="575"/>
      <c r="FL222" s="575"/>
      <c r="FM222" s="575"/>
      <c r="FN222" s="575"/>
    </row>
    <row r="223" spans="1:170" ht="19.899999999999999" customHeight="1" x14ac:dyDescent="0.4">
      <c r="A223" s="263"/>
      <c r="B223" s="264"/>
      <c r="C223" s="265"/>
      <c r="D223" s="265"/>
      <c r="E223" s="265"/>
      <c r="F223" s="265"/>
      <c r="G223" s="266"/>
      <c r="H223" s="266"/>
      <c r="I223" s="266"/>
      <c r="J223" s="265"/>
      <c r="K223" s="267"/>
      <c r="L223" s="265"/>
      <c r="M223" s="265"/>
      <c r="N223" s="265"/>
      <c r="O223" s="246">
        <f t="shared" si="35"/>
        <v>0</v>
      </c>
      <c r="FF223" s="159"/>
      <c r="FH223" s="575"/>
      <c r="FI223" s="575"/>
      <c r="FJ223" s="575"/>
      <c r="FK223" s="575"/>
      <c r="FL223" s="575"/>
      <c r="FM223" s="575"/>
      <c r="FN223" s="575"/>
    </row>
    <row r="224" spans="1:170" ht="39.950000000000003" customHeight="1" x14ac:dyDescent="0.4">
      <c r="A224" s="1104" t="s">
        <v>27</v>
      </c>
      <c r="B224" s="1105"/>
      <c r="C224" s="1104" t="s">
        <v>61</v>
      </c>
      <c r="D224" s="1143"/>
      <c r="E224" s="1143"/>
      <c r="F224" s="1143"/>
      <c r="G224" s="1143"/>
      <c r="H224" s="1143"/>
      <c r="I224" s="1105"/>
      <c r="J224" s="1107" t="s">
        <v>62</v>
      </c>
      <c r="K224" s="1107"/>
      <c r="L224" s="1107"/>
      <c r="M224" s="1107"/>
      <c r="N224" s="1107"/>
      <c r="O224" s="246">
        <f t="shared" si="35"/>
        <v>0</v>
      </c>
      <c r="FF224" s="159"/>
      <c r="FH224" s="575"/>
      <c r="FI224" s="575"/>
      <c r="FJ224" s="575"/>
      <c r="FK224" s="575"/>
      <c r="FL224" s="575"/>
      <c r="FM224" s="575"/>
      <c r="FN224" s="575"/>
    </row>
    <row r="225" spans="1:170" ht="39.950000000000003" customHeight="1" x14ac:dyDescent="0.4">
      <c r="A225" s="1102" t="s">
        <v>513</v>
      </c>
      <c r="B225" s="1103"/>
      <c r="C225" s="1104" t="s">
        <v>28</v>
      </c>
      <c r="D225" s="1105"/>
      <c r="E225" s="1106" t="s">
        <v>63</v>
      </c>
      <c r="F225" s="1106"/>
      <c r="G225" s="1107" t="s">
        <v>557</v>
      </c>
      <c r="H225" s="1107"/>
      <c r="I225" s="1107"/>
      <c r="J225" s="762" t="s">
        <v>793</v>
      </c>
      <c r="K225" s="765" t="s">
        <v>512</v>
      </c>
      <c r="L225" s="1141" t="s">
        <v>795</v>
      </c>
      <c r="M225" s="1142"/>
      <c r="N225" s="756" t="s">
        <v>69</v>
      </c>
      <c r="O225" s="246">
        <f t="shared" si="35"/>
        <v>0</v>
      </c>
      <c r="FF225" s="159"/>
      <c r="FH225" s="575"/>
      <c r="FI225" s="575"/>
      <c r="FJ225" s="575"/>
      <c r="FK225" s="575"/>
      <c r="FL225" s="575"/>
      <c r="FM225" s="575"/>
      <c r="FN225" s="575"/>
    </row>
    <row r="226" spans="1:170" ht="39.950000000000003" customHeight="1" x14ac:dyDescent="0.4">
      <c r="A226" s="1110" t="s">
        <v>514</v>
      </c>
      <c r="B226" s="1111"/>
      <c r="C226" s="1112" t="s">
        <v>701</v>
      </c>
      <c r="D226" s="1113"/>
      <c r="E226" s="1107" t="s">
        <v>515</v>
      </c>
      <c r="F226" s="1107"/>
      <c r="G226" s="1107" t="s">
        <v>152</v>
      </c>
      <c r="H226" s="1107"/>
      <c r="I226" s="1104"/>
      <c r="J226" s="763" t="s">
        <v>322</v>
      </c>
      <c r="K226" s="764" t="s">
        <v>794</v>
      </c>
      <c r="L226" s="1104" t="s">
        <v>796</v>
      </c>
      <c r="M226" s="1105"/>
      <c r="N226" s="268" t="s">
        <v>739</v>
      </c>
      <c r="O226" s="246">
        <f t="shared" si="35"/>
        <v>0</v>
      </c>
      <c r="FF226" s="159"/>
      <c r="FH226" s="575"/>
      <c r="FI226" s="575"/>
      <c r="FJ226" s="575"/>
      <c r="FK226" s="575"/>
      <c r="FL226" s="575"/>
      <c r="FM226" s="575"/>
      <c r="FN226" s="575"/>
    </row>
    <row r="227" spans="1:170" ht="39.950000000000003" customHeight="1" x14ac:dyDescent="0.4">
      <c r="A227" s="133" t="s">
        <v>511</v>
      </c>
      <c r="B227" s="134" t="s">
        <v>562</v>
      </c>
      <c r="C227" s="68" t="s">
        <v>74</v>
      </c>
      <c r="D227" s="68"/>
      <c r="E227" s="69"/>
      <c r="F227" s="70"/>
      <c r="G227" s="68" t="s">
        <v>64</v>
      </c>
      <c r="H227" s="71"/>
      <c r="I227" s="69"/>
      <c r="J227" s="69" t="s">
        <v>64</v>
      </c>
      <c r="K227" s="766" t="s">
        <v>64</v>
      </c>
      <c r="L227" s="135" t="s">
        <v>70</v>
      </c>
      <c r="M227" s="68"/>
      <c r="N227" s="68" t="s">
        <v>70</v>
      </c>
      <c r="O227" s="246">
        <f t="shared" si="35"/>
        <v>0</v>
      </c>
      <c r="FF227" s="159"/>
      <c r="FH227" s="575"/>
      <c r="FI227" s="575"/>
      <c r="FJ227" s="575"/>
      <c r="FK227" s="575"/>
      <c r="FL227" s="575"/>
      <c r="FM227" s="575"/>
      <c r="FN227" s="575"/>
    </row>
    <row r="228" spans="1:170" ht="39.950000000000003" customHeight="1" x14ac:dyDescent="0.4">
      <c r="A228" s="72"/>
      <c r="B228" s="72"/>
      <c r="C228" s="71"/>
      <c r="D228" s="71"/>
      <c r="E228" s="71"/>
      <c r="F228" s="71"/>
      <c r="G228" s="71"/>
      <c r="H228" s="71"/>
      <c r="I228" s="71"/>
      <c r="J228" s="1135"/>
      <c r="K228" s="1135"/>
      <c r="L228" s="71"/>
      <c r="M228" s="1136" t="s">
        <v>65</v>
      </c>
      <c r="N228" s="1136"/>
      <c r="O228" s="246">
        <f t="shared" si="35"/>
        <v>0</v>
      </c>
      <c r="FF228" s="159"/>
      <c r="FH228" s="575"/>
      <c r="FI228" s="575"/>
      <c r="FJ228" s="575"/>
      <c r="FK228" s="575"/>
      <c r="FL228" s="575"/>
      <c r="FM228" s="575"/>
      <c r="FN228" s="575"/>
    </row>
    <row r="229" spans="1:170" ht="39.950000000000003" customHeight="1" x14ac:dyDescent="0.4">
      <c r="A229" s="72"/>
      <c r="B229" s="72"/>
      <c r="C229" s="71"/>
      <c r="D229" s="1100" t="s">
        <v>558</v>
      </c>
      <c r="E229" s="1100"/>
      <c r="F229" s="1100"/>
      <c r="G229" s="1100"/>
      <c r="H229" s="71"/>
      <c r="I229" s="71"/>
      <c r="J229" s="1132" t="s">
        <v>560</v>
      </c>
      <c r="K229" s="1133"/>
      <c r="L229" s="1134"/>
      <c r="M229" s="1137" t="s">
        <v>67</v>
      </c>
      <c r="N229" s="1138"/>
      <c r="O229" s="246">
        <f t="shared" si="35"/>
        <v>0</v>
      </c>
      <c r="FF229" s="159"/>
      <c r="FH229" s="575"/>
      <c r="FI229" s="575"/>
      <c r="FJ229" s="575"/>
      <c r="FK229" s="575"/>
      <c r="FL229" s="575"/>
      <c r="FM229" s="575"/>
      <c r="FN229" s="575"/>
    </row>
    <row r="230" spans="1:170" ht="39.950000000000003" customHeight="1" x14ac:dyDescent="0.4">
      <c r="A230" s="68"/>
      <c r="B230" s="73"/>
      <c r="C230" s="74"/>
      <c r="D230" s="1100" t="s">
        <v>153</v>
      </c>
      <c r="E230" s="1100"/>
      <c r="F230" s="1100"/>
      <c r="G230" s="1100"/>
      <c r="H230" s="68"/>
      <c r="I230" s="71"/>
      <c r="J230" s="1132" t="s">
        <v>797</v>
      </c>
      <c r="K230" s="1133"/>
      <c r="L230" s="1134"/>
      <c r="M230" s="1108" t="s">
        <v>481</v>
      </c>
      <c r="N230" s="1109"/>
      <c r="O230" s="246">
        <f t="shared" si="35"/>
        <v>0</v>
      </c>
      <c r="FF230" s="159"/>
      <c r="FH230" s="575"/>
      <c r="FI230" s="575"/>
      <c r="FJ230" s="575"/>
      <c r="FK230" s="575"/>
      <c r="FL230" s="575"/>
      <c r="FM230" s="575"/>
      <c r="FN230" s="575"/>
    </row>
    <row r="231" spans="1:170" ht="39.950000000000003" customHeight="1" x14ac:dyDescent="0.4">
      <c r="A231" s="75"/>
      <c r="B231" s="76"/>
      <c r="C231" s="77"/>
      <c r="D231" s="68" t="s">
        <v>233</v>
      </c>
      <c r="E231" s="78"/>
      <c r="F231" s="79"/>
      <c r="G231" s="75"/>
      <c r="H231" s="79"/>
      <c r="I231" s="71"/>
      <c r="J231" s="68" t="s">
        <v>231</v>
      </c>
      <c r="K231" s="78"/>
      <c r="L231" s="79"/>
      <c r="M231" s="757" t="s">
        <v>232</v>
      </c>
      <c r="N231" s="81"/>
      <c r="O231" s="246">
        <f t="shared" si="35"/>
        <v>0</v>
      </c>
      <c r="FF231" s="159"/>
      <c r="FH231" s="575"/>
      <c r="FI231" s="575"/>
      <c r="FJ231" s="575"/>
      <c r="FK231" s="575"/>
      <c r="FL231" s="575"/>
      <c r="FM231" s="575"/>
      <c r="FN231" s="575"/>
    </row>
    <row r="232" spans="1:170" ht="35.1" customHeight="1" x14ac:dyDescent="0.4">
      <c r="A232" s="75"/>
      <c r="B232" s="76"/>
      <c r="C232" s="77"/>
      <c r="D232" s="68"/>
      <c r="E232" s="78"/>
      <c r="F232" s="79"/>
      <c r="G232" s="75"/>
      <c r="H232" s="79"/>
      <c r="I232" s="71"/>
      <c r="J232" s="68"/>
      <c r="K232" s="78"/>
      <c r="L232" s="79"/>
      <c r="M232" s="80"/>
      <c r="N232" s="81"/>
      <c r="O232" s="81"/>
      <c r="FF232" s="159"/>
      <c r="FH232" s="160"/>
      <c r="FI232" s="160"/>
      <c r="FJ232" s="160"/>
      <c r="FK232" s="160"/>
      <c r="FL232" s="160"/>
      <c r="FM232" s="160"/>
      <c r="FN232" s="160"/>
    </row>
    <row r="233" spans="1:170" ht="35.1" customHeight="1" x14ac:dyDescent="0.4">
      <c r="A233" s="75"/>
      <c r="B233" s="76"/>
      <c r="C233" s="77"/>
      <c r="D233" s="68"/>
      <c r="E233" s="78"/>
      <c r="F233" s="79"/>
      <c r="G233" s="75"/>
      <c r="H233" s="79"/>
      <c r="I233" s="71"/>
      <c r="J233" s="68"/>
      <c r="K233" s="78"/>
      <c r="L233" s="79"/>
      <c r="M233" s="80"/>
      <c r="N233" s="81"/>
      <c r="O233" s="81"/>
      <c r="FF233" s="159"/>
      <c r="FH233" s="160"/>
      <c r="FI233" s="160"/>
      <c r="FJ233" s="160"/>
      <c r="FK233" s="160"/>
      <c r="FL233" s="160"/>
      <c r="FM233" s="160"/>
      <c r="FN233" s="160"/>
    </row>
    <row r="234" spans="1:170" ht="35.1" customHeight="1" x14ac:dyDescent="0.4">
      <c r="A234" s="75"/>
      <c r="B234" s="76"/>
      <c r="C234" s="77"/>
      <c r="D234" s="68"/>
      <c r="E234" s="78"/>
      <c r="F234" s="79"/>
      <c r="G234" s="75"/>
      <c r="H234" s="79"/>
      <c r="I234" s="71"/>
      <c r="J234" s="68" t="s">
        <v>801</v>
      </c>
      <c r="K234" s="78"/>
      <c r="L234" s="79"/>
      <c r="M234" s="80"/>
      <c r="N234" s="81"/>
      <c r="O234" s="81"/>
      <c r="FF234" s="159"/>
      <c r="FH234" s="160"/>
      <c r="FI234" s="160"/>
      <c r="FJ234" s="160"/>
      <c r="FK234" s="160"/>
      <c r="FL234" s="160"/>
      <c r="FM234" s="160"/>
      <c r="FN234" s="160"/>
    </row>
    <row r="235" spans="1:170" ht="35.1" customHeight="1" x14ac:dyDescent="0.4">
      <c r="A235" s="75"/>
      <c r="B235" s="76"/>
      <c r="C235" s="77"/>
      <c r="D235" s="68"/>
      <c r="E235" s="78"/>
      <c r="F235" s="79"/>
      <c r="G235" s="75"/>
      <c r="H235" s="1177"/>
      <c r="I235" s="1177"/>
      <c r="J235" s="68"/>
      <c r="K235" s="78"/>
      <c r="L235" s="79"/>
      <c r="M235" s="80"/>
      <c r="N235" s="81"/>
      <c r="O235" s="81"/>
      <c r="FF235" s="159"/>
      <c r="FH235" s="160"/>
      <c r="FI235" s="160"/>
      <c r="FJ235" s="160"/>
      <c r="FK235" s="160"/>
      <c r="FL235" s="160"/>
      <c r="FM235" s="160"/>
      <c r="FN235" s="160"/>
    </row>
    <row r="236" spans="1:170" ht="35.1" customHeight="1" x14ac:dyDescent="0.4">
      <c r="A236" s="75"/>
      <c r="B236" s="76"/>
      <c r="C236" s="77"/>
      <c r="D236" s="68"/>
      <c r="E236" s="78"/>
      <c r="F236" s="79"/>
      <c r="G236" s="75"/>
      <c r="H236" s="1177"/>
      <c r="I236" s="1177"/>
      <c r="J236" s="68"/>
      <c r="K236" s="78"/>
      <c r="L236" s="79"/>
      <c r="M236" s="80"/>
      <c r="N236" s="81"/>
      <c r="O236" s="81"/>
      <c r="FF236" s="159"/>
      <c r="FH236" s="160"/>
      <c r="FI236" s="160"/>
      <c r="FJ236" s="160"/>
      <c r="FK236" s="160"/>
      <c r="FL236" s="160"/>
      <c r="FM236" s="160"/>
      <c r="FN236" s="160"/>
    </row>
    <row r="237" spans="1:170" ht="35.1" customHeight="1" x14ac:dyDescent="0.4">
      <c r="A237" s="75"/>
      <c r="B237" s="76"/>
      <c r="C237" s="77"/>
      <c r="D237" s="68"/>
      <c r="E237" s="78"/>
      <c r="F237" s="79"/>
      <c r="G237" s="75"/>
      <c r="H237" s="1178"/>
      <c r="I237" s="1178"/>
      <c r="J237" s="68"/>
      <c r="K237" s="78"/>
      <c r="L237" s="79"/>
      <c r="M237" s="80"/>
      <c r="N237" s="81"/>
      <c r="O237" s="81"/>
      <c r="FF237" s="159"/>
      <c r="FH237" s="160"/>
      <c r="FI237" s="160"/>
      <c r="FJ237" s="160"/>
      <c r="FK237" s="160"/>
      <c r="FL237" s="160"/>
      <c r="FM237" s="160"/>
      <c r="FN237" s="160"/>
    </row>
    <row r="252" spans="10:10" ht="35.1" customHeight="1" x14ac:dyDescent="0.4">
      <c r="J252" s="278" t="s">
        <v>783</v>
      </c>
    </row>
  </sheetData>
  <sheetProtection formatCells="0"/>
  <mergeCells count="302">
    <mergeCell ref="H235:I237"/>
    <mergeCell ref="A226:B226"/>
    <mergeCell ref="C226:D226"/>
    <mergeCell ref="E226:F226"/>
    <mergeCell ref="G226:I226"/>
    <mergeCell ref="L226:M226"/>
    <mergeCell ref="J228:K228"/>
    <mergeCell ref="M228:N228"/>
    <mergeCell ref="D229:G229"/>
    <mergeCell ref="J229:L229"/>
    <mergeCell ref="M229:N229"/>
    <mergeCell ref="C222:N222"/>
    <mergeCell ref="A224:B224"/>
    <mergeCell ref="C224:I224"/>
    <mergeCell ref="J224:N224"/>
    <mergeCell ref="A225:B225"/>
    <mergeCell ref="C225:D225"/>
    <mergeCell ref="E225:F225"/>
    <mergeCell ref="G225:I225"/>
    <mergeCell ref="D230:G230"/>
    <mergeCell ref="J230:L230"/>
    <mergeCell ref="M230:N230"/>
    <mergeCell ref="A171:I171"/>
    <mergeCell ref="A172:C172"/>
    <mergeCell ref="M168:N168"/>
    <mergeCell ref="F177:F180"/>
    <mergeCell ref="A211:I211"/>
    <mergeCell ref="L225:M225"/>
    <mergeCell ref="A212:C212"/>
    <mergeCell ref="A220:I220"/>
    <mergeCell ref="A177:A180"/>
    <mergeCell ref="A181:A184"/>
    <mergeCell ref="C181:C184"/>
    <mergeCell ref="D181:D184"/>
    <mergeCell ref="E181:E184"/>
    <mergeCell ref="F181:F184"/>
    <mergeCell ref="A185:A188"/>
    <mergeCell ref="C185:C188"/>
    <mergeCell ref="D185:D188"/>
    <mergeCell ref="E185:E188"/>
    <mergeCell ref="F185:F188"/>
    <mergeCell ref="C204:D204"/>
    <mergeCell ref="E204:F204"/>
    <mergeCell ref="G204:I204"/>
    <mergeCell ref="A204:B204"/>
    <mergeCell ref="A221:G221"/>
    <mergeCell ref="C177:C180"/>
    <mergeCell ref="D177:D180"/>
    <mergeCell ref="E177:E180"/>
    <mergeCell ref="J7:N7"/>
    <mergeCell ref="A154:C154"/>
    <mergeCell ref="M167:N167"/>
    <mergeCell ref="C203:I203"/>
    <mergeCell ref="J203:N203"/>
    <mergeCell ref="L164:M164"/>
    <mergeCell ref="J166:K166"/>
    <mergeCell ref="A164:B164"/>
    <mergeCell ref="C164:D164"/>
    <mergeCell ref="E164:F164"/>
    <mergeCell ref="G164:I164"/>
    <mergeCell ref="M166:N166"/>
    <mergeCell ref="J167:L167"/>
    <mergeCell ref="A200:I200"/>
    <mergeCell ref="A201:G201"/>
    <mergeCell ref="C202:N202"/>
    <mergeCell ref="A203:B203"/>
    <mergeCell ref="D168:G168"/>
    <mergeCell ref="A196:A197"/>
    <mergeCell ref="D167:G167"/>
    <mergeCell ref="J168:L168"/>
    <mergeCell ref="A162:B162"/>
    <mergeCell ref="C162:I162"/>
    <mergeCell ref="J162:N162"/>
    <mergeCell ref="A15:C15"/>
    <mergeCell ref="M147:N147"/>
    <mergeCell ref="M209:N209"/>
    <mergeCell ref="A205:B205"/>
    <mergeCell ref="C205:D205"/>
    <mergeCell ref="E205:F205"/>
    <mergeCell ref="G205:I205"/>
    <mergeCell ref="J207:K207"/>
    <mergeCell ref="M207:N207"/>
    <mergeCell ref="L204:M204"/>
    <mergeCell ref="L205:M205"/>
    <mergeCell ref="D208:G208"/>
    <mergeCell ref="J208:L208"/>
    <mergeCell ref="M208:N208"/>
    <mergeCell ref="D209:G209"/>
    <mergeCell ref="J209:L209"/>
    <mergeCell ref="A173:A176"/>
    <mergeCell ref="C173:C176"/>
    <mergeCell ref="D173:D176"/>
    <mergeCell ref="E173:E176"/>
    <mergeCell ref="F173:F176"/>
    <mergeCell ref="C5:I5"/>
    <mergeCell ref="A6:B7"/>
    <mergeCell ref="C6:I6"/>
    <mergeCell ref="C7:I7"/>
    <mergeCell ref="L163:M163"/>
    <mergeCell ref="J104:L104"/>
    <mergeCell ref="M104:N104"/>
    <mergeCell ref="E52:F52"/>
    <mergeCell ref="A150:C150"/>
    <mergeCell ref="A52:B52"/>
    <mergeCell ref="A60:I60"/>
    <mergeCell ref="A53:B53"/>
    <mergeCell ref="C53:D53"/>
    <mergeCell ref="E53:F53"/>
    <mergeCell ref="G53:I53"/>
    <mergeCell ref="M56:N56"/>
    <mergeCell ref="C109:C112"/>
    <mergeCell ref="D109:D112"/>
    <mergeCell ref="E109:E112"/>
    <mergeCell ref="F109:F112"/>
    <mergeCell ref="A109:A112"/>
    <mergeCell ref="A113:A116"/>
    <mergeCell ref="C113:C116"/>
    <mergeCell ref="D113:D116"/>
    <mergeCell ref="J27:N27"/>
    <mergeCell ref="A36:C36"/>
    <mergeCell ref="C27:I27"/>
    <mergeCell ref="M33:N33"/>
    <mergeCell ref="A2:B3"/>
    <mergeCell ref="C2:I2"/>
    <mergeCell ref="C25:N25"/>
    <mergeCell ref="A24:G24"/>
    <mergeCell ref="FH15:FN15"/>
    <mergeCell ref="FH16:FN16"/>
    <mergeCell ref="FH17:FN17"/>
    <mergeCell ref="K8:K9"/>
    <mergeCell ref="L8:L9"/>
    <mergeCell ref="N8:N9"/>
    <mergeCell ref="A10:C10"/>
    <mergeCell ref="A8:A9"/>
    <mergeCell ref="B8:B9"/>
    <mergeCell ref="C8:C9"/>
    <mergeCell ref="D8:D9"/>
    <mergeCell ref="E8:E9"/>
    <mergeCell ref="F8:F9"/>
    <mergeCell ref="G8:I8"/>
    <mergeCell ref="A4:B5"/>
    <mergeCell ref="C4:I4"/>
    <mergeCell ref="A95:I95"/>
    <mergeCell ref="L80:M80"/>
    <mergeCell ref="J82:K82"/>
    <mergeCell ref="L100:M100"/>
    <mergeCell ref="A27:B27"/>
    <mergeCell ref="J2:N4"/>
    <mergeCell ref="C3:I3"/>
    <mergeCell ref="J5:N6"/>
    <mergeCell ref="FH47:FN47"/>
    <mergeCell ref="A48:G48"/>
    <mergeCell ref="C49:N49"/>
    <mergeCell ref="A18:C18"/>
    <mergeCell ref="FH18:FN18"/>
    <mergeCell ref="FH22:FN22"/>
    <mergeCell ref="A47:I47"/>
    <mergeCell ref="A42:C42"/>
    <mergeCell ref="A23:I23"/>
    <mergeCell ref="A28:B28"/>
    <mergeCell ref="C28:D28"/>
    <mergeCell ref="E28:F28"/>
    <mergeCell ref="A29:B29"/>
    <mergeCell ref="C29:D29"/>
    <mergeCell ref="E29:F29"/>
    <mergeCell ref="J33:L33"/>
    <mergeCell ref="C80:D80"/>
    <mergeCell ref="E80:F80"/>
    <mergeCell ref="A74:I74"/>
    <mergeCell ref="A51:B51"/>
    <mergeCell ref="A158:I158"/>
    <mergeCell ref="A159:G159"/>
    <mergeCell ref="C160:N160"/>
    <mergeCell ref="C99:I99"/>
    <mergeCell ref="J99:N99"/>
    <mergeCell ref="A80:B80"/>
    <mergeCell ref="A75:G75"/>
    <mergeCell ref="C76:N76"/>
    <mergeCell ref="A78:B78"/>
    <mergeCell ref="C78:I78"/>
    <mergeCell ref="J78:N78"/>
    <mergeCell ref="A79:B79"/>
    <mergeCell ref="C79:D79"/>
    <mergeCell ref="E79:F79"/>
    <mergeCell ref="G79:I79"/>
    <mergeCell ref="L79:M79"/>
    <mergeCell ref="J147:L147"/>
    <mergeCell ref="F113:F116"/>
    <mergeCell ref="C97:N97"/>
    <mergeCell ref="D104:G104"/>
    <mergeCell ref="E70:E71"/>
    <mergeCell ref="F66:F67"/>
    <mergeCell ref="F68:F69"/>
    <mergeCell ref="C52:D52"/>
    <mergeCell ref="E72:E73"/>
    <mergeCell ref="M32:N32"/>
    <mergeCell ref="A35:I35"/>
    <mergeCell ref="D66:D67"/>
    <mergeCell ref="E66:E67"/>
    <mergeCell ref="D64:D65"/>
    <mergeCell ref="E64:E65"/>
    <mergeCell ref="F64:F65"/>
    <mergeCell ref="F70:F71"/>
    <mergeCell ref="J56:L56"/>
    <mergeCell ref="M57:N57"/>
    <mergeCell ref="L52:M52"/>
    <mergeCell ref="L53:M53"/>
    <mergeCell ref="F72:F73"/>
    <mergeCell ref="A86:I86"/>
    <mergeCell ref="M82:N82"/>
    <mergeCell ref="D83:G83"/>
    <mergeCell ref="J83:L83"/>
    <mergeCell ref="M83:N83"/>
    <mergeCell ref="J32:L32"/>
    <mergeCell ref="L29:M29"/>
    <mergeCell ref="G28:I28"/>
    <mergeCell ref="G29:I29"/>
    <mergeCell ref="D32:G32"/>
    <mergeCell ref="G52:I52"/>
    <mergeCell ref="J57:L57"/>
    <mergeCell ref="D57:G57"/>
    <mergeCell ref="J55:K55"/>
    <mergeCell ref="M55:N55"/>
    <mergeCell ref="D56:G56"/>
    <mergeCell ref="J31:K31"/>
    <mergeCell ref="D33:G33"/>
    <mergeCell ref="M31:N31"/>
    <mergeCell ref="J51:N51"/>
    <mergeCell ref="C51:I51"/>
    <mergeCell ref="L28:M28"/>
    <mergeCell ref="E68:E69"/>
    <mergeCell ref="D70:D71"/>
    <mergeCell ref="A96:G96"/>
    <mergeCell ref="A61:C61"/>
    <mergeCell ref="A117:C117"/>
    <mergeCell ref="J84:L84"/>
    <mergeCell ref="M84:N84"/>
    <mergeCell ref="G100:I100"/>
    <mergeCell ref="A108:C108"/>
    <mergeCell ref="D84:G84"/>
    <mergeCell ref="F127:F130"/>
    <mergeCell ref="E127:E130"/>
    <mergeCell ref="A99:B99"/>
    <mergeCell ref="A87:C87"/>
    <mergeCell ref="A107:I107"/>
    <mergeCell ref="A101:B101"/>
    <mergeCell ref="C101:D101"/>
    <mergeCell ref="E101:F101"/>
    <mergeCell ref="G101:I101"/>
    <mergeCell ref="J103:K103"/>
    <mergeCell ref="M103:N103"/>
    <mergeCell ref="L101:M101"/>
    <mergeCell ref="D105:G105"/>
    <mergeCell ref="D68:D69"/>
    <mergeCell ref="G80:I80"/>
    <mergeCell ref="D72:D73"/>
    <mergeCell ref="J105:L105"/>
    <mergeCell ref="E100:F100"/>
    <mergeCell ref="L143:M143"/>
    <mergeCell ref="J145:K145"/>
    <mergeCell ref="M145:N145"/>
    <mergeCell ref="D146:G146"/>
    <mergeCell ref="J146:L146"/>
    <mergeCell ref="M146:N146"/>
    <mergeCell ref="A138:G138"/>
    <mergeCell ref="C139:N139"/>
    <mergeCell ref="A142:B142"/>
    <mergeCell ref="C142:D142"/>
    <mergeCell ref="E142:F142"/>
    <mergeCell ref="G142:I142"/>
    <mergeCell ref="L142:M142"/>
    <mergeCell ref="A141:B141"/>
    <mergeCell ref="C141:I141"/>
    <mergeCell ref="J141:N141"/>
    <mergeCell ref="A137:I137"/>
    <mergeCell ref="A100:B100"/>
    <mergeCell ref="C100:D100"/>
    <mergeCell ref="E113:E116"/>
    <mergeCell ref="D147:G147"/>
    <mergeCell ref="A149:I149"/>
    <mergeCell ref="A163:B163"/>
    <mergeCell ref="C163:D163"/>
    <mergeCell ref="E163:F163"/>
    <mergeCell ref="G163:I163"/>
    <mergeCell ref="M105:N105"/>
    <mergeCell ref="A143:B143"/>
    <mergeCell ref="C143:D143"/>
    <mergeCell ref="E143:F143"/>
    <mergeCell ref="G143:I143"/>
    <mergeCell ref="A119:A122"/>
    <mergeCell ref="C119:C122"/>
    <mergeCell ref="D119:D122"/>
    <mergeCell ref="E119:E122"/>
    <mergeCell ref="F119:F122"/>
    <mergeCell ref="A123:A126"/>
    <mergeCell ref="C123:C126"/>
    <mergeCell ref="D123:D126"/>
    <mergeCell ref="E123:E126"/>
    <mergeCell ref="F123:F126"/>
    <mergeCell ref="A127:A130"/>
    <mergeCell ref="C127:C130"/>
    <mergeCell ref="D127:D130"/>
  </mergeCells>
  <phoneticPr fontId="55" type="noConversion"/>
  <printOptions horizontalCentered="1" verticalCentered="1"/>
  <pageMargins left="7.8740157480315001E-2" right="0.118110236220472" top="0.39370078740157499" bottom="7.8740157480315001E-2" header="7.8740157480315001E-2" footer="7.8740157480315001E-2"/>
  <pageSetup paperSize="8" scale="46" fitToHeight="0" orientation="landscape" r:id="rId1"/>
  <rowBreaks count="5" manualBreakCount="5">
    <brk id="34" max="13" man="1"/>
    <brk id="85" max="13" man="1"/>
    <brk id="106" max="13" man="1"/>
    <brk id="148" max="13" man="1"/>
    <brk id="210" max="13" man="1"/>
  </rowBreaks>
  <ignoredErrors>
    <ignoredError sqref="I39 E21:E22 E43:E46 E41 E62:E64 E151 E185 I22 E177 E181 D11:F11 D13:F14 E16:E19 E12 E155 I37 E213:E214 E68 E70 E72 I41" unlocked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>
    <tabColor theme="3" tint="-0.249977111117893"/>
    <pageSetUpPr fitToPage="1"/>
  </sheetPr>
  <dimension ref="A1:GJ45"/>
  <sheetViews>
    <sheetView rightToLeft="1" view="pageBreakPreview" zoomScale="10" zoomScaleNormal="10" zoomScaleSheetLayoutView="10" workbookViewId="0">
      <pane xSplit="2" ySplit="8" topLeftCell="C9" activePane="bottomRight" state="frozen"/>
      <selection pane="topRight" activeCell="C1" sqref="C1"/>
      <selection pane="bottomLeft" activeCell="A10" sqref="A10"/>
      <selection pane="bottomRight" activeCell="H8" sqref="H1:H1048576"/>
    </sheetView>
  </sheetViews>
  <sheetFormatPr defaultColWidth="9" defaultRowHeight="90.75" x14ac:dyDescent="1.2"/>
  <cols>
    <col min="1" max="1" width="77.140625" style="306" customWidth="1"/>
    <col min="2" max="2" width="225.85546875" style="305" customWidth="1"/>
    <col min="3" max="3" width="36.5703125" style="301" customWidth="1"/>
    <col min="4" max="4" width="50.28515625" style="302" customWidth="1"/>
    <col min="5" max="5" width="58.85546875" style="302" customWidth="1"/>
    <col min="6" max="6" width="41.85546875" style="302" customWidth="1"/>
    <col min="7" max="8" width="55.85546875" style="303" customWidth="1"/>
    <col min="9" max="9" width="72.7109375" style="303" customWidth="1"/>
    <col min="10" max="10" width="87.42578125" style="302" customWidth="1"/>
    <col min="11" max="11" width="68.28515625" style="300" customWidth="1"/>
    <col min="12" max="12" width="64.5703125" style="304" customWidth="1"/>
    <col min="13" max="13" width="89.42578125" style="304" customWidth="1"/>
    <col min="14" max="14" width="159.140625" style="304" customWidth="1"/>
    <col min="15" max="15" width="27.5703125" style="2" hidden="1" customWidth="1"/>
    <col min="16" max="16" width="55.42578125" style="2" hidden="1" customWidth="1"/>
    <col min="17" max="182" width="0" style="2" hidden="1" customWidth="1"/>
    <col min="183" max="183" width="123.7109375" style="108" customWidth="1"/>
    <col min="184" max="184" width="81.85546875" style="108" customWidth="1"/>
    <col min="185" max="185" width="62.28515625" style="2" customWidth="1"/>
    <col min="186" max="186" width="72.28515625" style="2" customWidth="1"/>
    <col min="187" max="187" width="45.140625" style="130" bestFit="1" customWidth="1"/>
    <col min="188" max="188" width="39.42578125" style="161" bestFit="1" customWidth="1"/>
    <col min="189" max="189" width="9" style="2"/>
    <col min="190" max="190" width="9" style="2" customWidth="1"/>
    <col min="191" max="257" width="9" style="2"/>
    <col min="258" max="258" width="11.42578125" style="2" customWidth="1"/>
    <col min="259" max="259" width="75.42578125" style="2" customWidth="1"/>
    <col min="260" max="260" width="7.5703125" style="2" customWidth="1"/>
    <col min="261" max="261" width="12.140625" style="2" customWidth="1"/>
    <col min="262" max="262" width="13.5703125" style="2" customWidth="1"/>
    <col min="263" max="263" width="14.140625" style="2" customWidth="1"/>
    <col min="264" max="264" width="18.5703125" style="2" customWidth="1"/>
    <col min="265" max="265" width="16.5703125" style="2" customWidth="1"/>
    <col min="266" max="266" width="17.5703125" style="2" customWidth="1"/>
    <col min="267" max="267" width="21.140625" style="2" bestFit="1" customWidth="1"/>
    <col min="268" max="268" width="9.140625" style="2" customWidth="1"/>
    <col min="269" max="269" width="25.140625" style="2" bestFit="1" customWidth="1"/>
    <col min="270" max="270" width="27.140625" style="2" customWidth="1"/>
    <col min="271" max="271" width="23.140625" style="2" customWidth="1"/>
    <col min="272" max="272" width="6" style="2" customWidth="1"/>
    <col min="273" max="273" width="22.7109375" style="2" bestFit="1" customWidth="1"/>
    <col min="274" max="513" width="9" style="2"/>
    <col min="514" max="514" width="11.42578125" style="2" customWidth="1"/>
    <col min="515" max="515" width="75.42578125" style="2" customWidth="1"/>
    <col min="516" max="516" width="7.5703125" style="2" customWidth="1"/>
    <col min="517" max="517" width="12.140625" style="2" customWidth="1"/>
    <col min="518" max="518" width="13.5703125" style="2" customWidth="1"/>
    <col min="519" max="519" width="14.140625" style="2" customWidth="1"/>
    <col min="520" max="520" width="18.5703125" style="2" customWidth="1"/>
    <col min="521" max="521" width="16.5703125" style="2" customWidth="1"/>
    <col min="522" max="522" width="17.5703125" style="2" customWidth="1"/>
    <col min="523" max="523" width="21.140625" style="2" bestFit="1" customWidth="1"/>
    <col min="524" max="524" width="9.140625" style="2" customWidth="1"/>
    <col min="525" max="525" width="25.140625" style="2" bestFit="1" customWidth="1"/>
    <col min="526" max="526" width="27.140625" style="2" customWidth="1"/>
    <col min="527" max="527" width="23.140625" style="2" customWidth="1"/>
    <col min="528" max="528" width="6" style="2" customWidth="1"/>
    <col min="529" max="529" width="22.7109375" style="2" bestFit="1" customWidth="1"/>
    <col min="530" max="769" width="9" style="2"/>
    <col min="770" max="770" width="11.42578125" style="2" customWidth="1"/>
    <col min="771" max="771" width="75.42578125" style="2" customWidth="1"/>
    <col min="772" max="772" width="7.5703125" style="2" customWidth="1"/>
    <col min="773" max="773" width="12.140625" style="2" customWidth="1"/>
    <col min="774" max="774" width="13.5703125" style="2" customWidth="1"/>
    <col min="775" max="775" width="14.140625" style="2" customWidth="1"/>
    <col min="776" max="776" width="18.5703125" style="2" customWidth="1"/>
    <col min="777" max="777" width="16.5703125" style="2" customWidth="1"/>
    <col min="778" max="778" width="17.5703125" style="2" customWidth="1"/>
    <col min="779" max="779" width="21.140625" style="2" bestFit="1" customWidth="1"/>
    <col min="780" max="780" width="9.140625" style="2" customWidth="1"/>
    <col min="781" max="781" width="25.140625" style="2" bestFit="1" customWidth="1"/>
    <col min="782" max="782" width="27.140625" style="2" customWidth="1"/>
    <col min="783" max="783" width="23.140625" style="2" customWidth="1"/>
    <col min="784" max="784" width="6" style="2" customWidth="1"/>
    <col min="785" max="785" width="22.7109375" style="2" bestFit="1" customWidth="1"/>
    <col min="786" max="1025" width="9" style="2"/>
    <col min="1026" max="1026" width="11.42578125" style="2" customWidth="1"/>
    <col min="1027" max="1027" width="75.42578125" style="2" customWidth="1"/>
    <col min="1028" max="1028" width="7.5703125" style="2" customWidth="1"/>
    <col min="1029" max="1029" width="12.140625" style="2" customWidth="1"/>
    <col min="1030" max="1030" width="13.5703125" style="2" customWidth="1"/>
    <col min="1031" max="1031" width="14.140625" style="2" customWidth="1"/>
    <col min="1032" max="1032" width="18.5703125" style="2" customWidth="1"/>
    <col min="1033" max="1033" width="16.5703125" style="2" customWidth="1"/>
    <col min="1034" max="1034" width="17.5703125" style="2" customWidth="1"/>
    <col min="1035" max="1035" width="21.140625" style="2" bestFit="1" customWidth="1"/>
    <col min="1036" max="1036" width="9.140625" style="2" customWidth="1"/>
    <col min="1037" max="1037" width="25.140625" style="2" bestFit="1" customWidth="1"/>
    <col min="1038" max="1038" width="27.140625" style="2" customWidth="1"/>
    <col min="1039" max="1039" width="23.140625" style="2" customWidth="1"/>
    <col min="1040" max="1040" width="6" style="2" customWidth="1"/>
    <col min="1041" max="1041" width="22.7109375" style="2" bestFit="1" customWidth="1"/>
    <col min="1042" max="1281" width="9" style="2"/>
    <col min="1282" max="1282" width="11.42578125" style="2" customWidth="1"/>
    <col min="1283" max="1283" width="75.42578125" style="2" customWidth="1"/>
    <col min="1284" max="1284" width="7.5703125" style="2" customWidth="1"/>
    <col min="1285" max="1285" width="12.140625" style="2" customWidth="1"/>
    <col min="1286" max="1286" width="13.5703125" style="2" customWidth="1"/>
    <col min="1287" max="1287" width="14.140625" style="2" customWidth="1"/>
    <col min="1288" max="1288" width="18.5703125" style="2" customWidth="1"/>
    <col min="1289" max="1289" width="16.5703125" style="2" customWidth="1"/>
    <col min="1290" max="1290" width="17.5703125" style="2" customWidth="1"/>
    <col min="1291" max="1291" width="21.140625" style="2" bestFit="1" customWidth="1"/>
    <col min="1292" max="1292" width="9.140625" style="2" customWidth="1"/>
    <col min="1293" max="1293" width="25.140625" style="2" bestFit="1" customWidth="1"/>
    <col min="1294" max="1294" width="27.140625" style="2" customWidth="1"/>
    <col min="1295" max="1295" width="23.140625" style="2" customWidth="1"/>
    <col min="1296" max="1296" width="6" style="2" customWidth="1"/>
    <col min="1297" max="1297" width="22.7109375" style="2" bestFit="1" customWidth="1"/>
    <col min="1298" max="1537" width="9" style="2"/>
    <col min="1538" max="1538" width="11.42578125" style="2" customWidth="1"/>
    <col min="1539" max="1539" width="75.42578125" style="2" customWidth="1"/>
    <col min="1540" max="1540" width="7.5703125" style="2" customWidth="1"/>
    <col min="1541" max="1541" width="12.140625" style="2" customWidth="1"/>
    <col min="1542" max="1542" width="13.5703125" style="2" customWidth="1"/>
    <col min="1543" max="1543" width="14.140625" style="2" customWidth="1"/>
    <col min="1544" max="1544" width="18.5703125" style="2" customWidth="1"/>
    <col min="1545" max="1545" width="16.5703125" style="2" customWidth="1"/>
    <col min="1546" max="1546" width="17.5703125" style="2" customWidth="1"/>
    <col min="1547" max="1547" width="21.140625" style="2" bestFit="1" customWidth="1"/>
    <col min="1548" max="1548" width="9.140625" style="2" customWidth="1"/>
    <col min="1549" max="1549" width="25.140625" style="2" bestFit="1" customWidth="1"/>
    <col min="1550" max="1550" width="27.140625" style="2" customWidth="1"/>
    <col min="1551" max="1551" width="23.140625" style="2" customWidth="1"/>
    <col min="1552" max="1552" width="6" style="2" customWidth="1"/>
    <col min="1553" max="1553" width="22.7109375" style="2" bestFit="1" customWidth="1"/>
    <col min="1554" max="1793" width="9" style="2"/>
    <col min="1794" max="1794" width="11.42578125" style="2" customWidth="1"/>
    <col min="1795" max="1795" width="75.42578125" style="2" customWidth="1"/>
    <col min="1796" max="1796" width="7.5703125" style="2" customWidth="1"/>
    <col min="1797" max="1797" width="12.140625" style="2" customWidth="1"/>
    <col min="1798" max="1798" width="13.5703125" style="2" customWidth="1"/>
    <col min="1799" max="1799" width="14.140625" style="2" customWidth="1"/>
    <col min="1800" max="1800" width="18.5703125" style="2" customWidth="1"/>
    <col min="1801" max="1801" width="16.5703125" style="2" customWidth="1"/>
    <col min="1802" max="1802" width="17.5703125" style="2" customWidth="1"/>
    <col min="1803" max="1803" width="21.140625" style="2" bestFit="1" customWidth="1"/>
    <col min="1804" max="1804" width="9.140625" style="2" customWidth="1"/>
    <col min="1805" max="1805" width="25.140625" style="2" bestFit="1" customWidth="1"/>
    <col min="1806" max="1806" width="27.140625" style="2" customWidth="1"/>
    <col min="1807" max="1807" width="23.140625" style="2" customWidth="1"/>
    <col min="1808" max="1808" width="6" style="2" customWidth="1"/>
    <col min="1809" max="1809" width="22.7109375" style="2" bestFit="1" customWidth="1"/>
    <col min="1810" max="2049" width="9" style="2"/>
    <col min="2050" max="2050" width="11.42578125" style="2" customWidth="1"/>
    <col min="2051" max="2051" width="75.42578125" style="2" customWidth="1"/>
    <col min="2052" max="2052" width="7.5703125" style="2" customWidth="1"/>
    <col min="2053" max="2053" width="12.140625" style="2" customWidth="1"/>
    <col min="2054" max="2054" width="13.5703125" style="2" customWidth="1"/>
    <col min="2055" max="2055" width="14.140625" style="2" customWidth="1"/>
    <col min="2056" max="2056" width="18.5703125" style="2" customWidth="1"/>
    <col min="2057" max="2057" width="16.5703125" style="2" customWidth="1"/>
    <col min="2058" max="2058" width="17.5703125" style="2" customWidth="1"/>
    <col min="2059" max="2059" width="21.140625" style="2" bestFit="1" customWidth="1"/>
    <col min="2060" max="2060" width="9.140625" style="2" customWidth="1"/>
    <col min="2061" max="2061" width="25.140625" style="2" bestFit="1" customWidth="1"/>
    <col min="2062" max="2062" width="27.140625" style="2" customWidth="1"/>
    <col min="2063" max="2063" width="23.140625" style="2" customWidth="1"/>
    <col min="2064" max="2064" width="6" style="2" customWidth="1"/>
    <col min="2065" max="2065" width="22.7109375" style="2" bestFit="1" customWidth="1"/>
    <col min="2066" max="2305" width="9" style="2"/>
    <col min="2306" max="2306" width="11.42578125" style="2" customWidth="1"/>
    <col min="2307" max="2307" width="75.42578125" style="2" customWidth="1"/>
    <col min="2308" max="2308" width="7.5703125" style="2" customWidth="1"/>
    <col min="2309" max="2309" width="12.140625" style="2" customWidth="1"/>
    <col min="2310" max="2310" width="13.5703125" style="2" customWidth="1"/>
    <col min="2311" max="2311" width="14.140625" style="2" customWidth="1"/>
    <col min="2312" max="2312" width="18.5703125" style="2" customWidth="1"/>
    <col min="2313" max="2313" width="16.5703125" style="2" customWidth="1"/>
    <col min="2314" max="2314" width="17.5703125" style="2" customWidth="1"/>
    <col min="2315" max="2315" width="21.140625" style="2" bestFit="1" customWidth="1"/>
    <col min="2316" max="2316" width="9.140625" style="2" customWidth="1"/>
    <col min="2317" max="2317" width="25.140625" style="2" bestFit="1" customWidth="1"/>
    <col min="2318" max="2318" width="27.140625" style="2" customWidth="1"/>
    <col min="2319" max="2319" width="23.140625" style="2" customWidth="1"/>
    <col min="2320" max="2320" width="6" style="2" customWidth="1"/>
    <col min="2321" max="2321" width="22.7109375" style="2" bestFit="1" customWidth="1"/>
    <col min="2322" max="2561" width="9" style="2"/>
    <col min="2562" max="2562" width="11.42578125" style="2" customWidth="1"/>
    <col min="2563" max="2563" width="75.42578125" style="2" customWidth="1"/>
    <col min="2564" max="2564" width="7.5703125" style="2" customWidth="1"/>
    <col min="2565" max="2565" width="12.140625" style="2" customWidth="1"/>
    <col min="2566" max="2566" width="13.5703125" style="2" customWidth="1"/>
    <col min="2567" max="2567" width="14.140625" style="2" customWidth="1"/>
    <col min="2568" max="2568" width="18.5703125" style="2" customWidth="1"/>
    <col min="2569" max="2569" width="16.5703125" style="2" customWidth="1"/>
    <col min="2570" max="2570" width="17.5703125" style="2" customWidth="1"/>
    <col min="2571" max="2571" width="21.140625" style="2" bestFit="1" customWidth="1"/>
    <col min="2572" max="2572" width="9.140625" style="2" customWidth="1"/>
    <col min="2573" max="2573" width="25.140625" style="2" bestFit="1" customWidth="1"/>
    <col min="2574" max="2574" width="27.140625" style="2" customWidth="1"/>
    <col min="2575" max="2575" width="23.140625" style="2" customWidth="1"/>
    <col min="2576" max="2576" width="6" style="2" customWidth="1"/>
    <col min="2577" max="2577" width="22.7109375" style="2" bestFit="1" customWidth="1"/>
    <col min="2578" max="2817" width="9" style="2"/>
    <col min="2818" max="2818" width="11.42578125" style="2" customWidth="1"/>
    <col min="2819" max="2819" width="75.42578125" style="2" customWidth="1"/>
    <col min="2820" max="2820" width="7.5703125" style="2" customWidth="1"/>
    <col min="2821" max="2821" width="12.140625" style="2" customWidth="1"/>
    <col min="2822" max="2822" width="13.5703125" style="2" customWidth="1"/>
    <col min="2823" max="2823" width="14.140625" style="2" customWidth="1"/>
    <col min="2824" max="2824" width="18.5703125" style="2" customWidth="1"/>
    <col min="2825" max="2825" width="16.5703125" style="2" customWidth="1"/>
    <col min="2826" max="2826" width="17.5703125" style="2" customWidth="1"/>
    <col min="2827" max="2827" width="21.140625" style="2" bestFit="1" customWidth="1"/>
    <col min="2828" max="2828" width="9.140625" style="2" customWidth="1"/>
    <col min="2829" max="2829" width="25.140625" style="2" bestFit="1" customWidth="1"/>
    <col min="2830" max="2830" width="27.140625" style="2" customWidth="1"/>
    <col min="2831" max="2831" width="23.140625" style="2" customWidth="1"/>
    <col min="2832" max="2832" width="6" style="2" customWidth="1"/>
    <col min="2833" max="2833" width="22.7109375" style="2" bestFit="1" customWidth="1"/>
    <col min="2834" max="3073" width="9" style="2"/>
    <col min="3074" max="3074" width="11.42578125" style="2" customWidth="1"/>
    <col min="3075" max="3075" width="75.42578125" style="2" customWidth="1"/>
    <col min="3076" max="3076" width="7.5703125" style="2" customWidth="1"/>
    <col min="3077" max="3077" width="12.140625" style="2" customWidth="1"/>
    <col min="3078" max="3078" width="13.5703125" style="2" customWidth="1"/>
    <col min="3079" max="3079" width="14.140625" style="2" customWidth="1"/>
    <col min="3080" max="3080" width="18.5703125" style="2" customWidth="1"/>
    <col min="3081" max="3081" width="16.5703125" style="2" customWidth="1"/>
    <col min="3082" max="3082" width="17.5703125" style="2" customWidth="1"/>
    <col min="3083" max="3083" width="21.140625" style="2" bestFit="1" customWidth="1"/>
    <col min="3084" max="3084" width="9.140625" style="2" customWidth="1"/>
    <col min="3085" max="3085" width="25.140625" style="2" bestFit="1" customWidth="1"/>
    <col min="3086" max="3086" width="27.140625" style="2" customWidth="1"/>
    <col min="3087" max="3087" width="23.140625" style="2" customWidth="1"/>
    <col min="3088" max="3088" width="6" style="2" customWidth="1"/>
    <col min="3089" max="3089" width="22.7109375" style="2" bestFit="1" customWidth="1"/>
    <col min="3090" max="3329" width="9" style="2"/>
    <col min="3330" max="3330" width="11.42578125" style="2" customWidth="1"/>
    <col min="3331" max="3331" width="75.42578125" style="2" customWidth="1"/>
    <col min="3332" max="3332" width="7.5703125" style="2" customWidth="1"/>
    <col min="3333" max="3333" width="12.140625" style="2" customWidth="1"/>
    <col min="3334" max="3334" width="13.5703125" style="2" customWidth="1"/>
    <col min="3335" max="3335" width="14.140625" style="2" customWidth="1"/>
    <col min="3336" max="3336" width="18.5703125" style="2" customWidth="1"/>
    <col min="3337" max="3337" width="16.5703125" style="2" customWidth="1"/>
    <col min="3338" max="3338" width="17.5703125" style="2" customWidth="1"/>
    <col min="3339" max="3339" width="21.140625" style="2" bestFit="1" customWidth="1"/>
    <col min="3340" max="3340" width="9.140625" style="2" customWidth="1"/>
    <col min="3341" max="3341" width="25.140625" style="2" bestFit="1" customWidth="1"/>
    <col min="3342" max="3342" width="27.140625" style="2" customWidth="1"/>
    <col min="3343" max="3343" width="23.140625" style="2" customWidth="1"/>
    <col min="3344" max="3344" width="6" style="2" customWidth="1"/>
    <col min="3345" max="3345" width="22.7109375" style="2" bestFit="1" customWidth="1"/>
    <col min="3346" max="3585" width="9" style="2"/>
    <col min="3586" max="3586" width="11.42578125" style="2" customWidth="1"/>
    <col min="3587" max="3587" width="75.42578125" style="2" customWidth="1"/>
    <col min="3588" max="3588" width="7.5703125" style="2" customWidth="1"/>
    <col min="3589" max="3589" width="12.140625" style="2" customWidth="1"/>
    <col min="3590" max="3590" width="13.5703125" style="2" customWidth="1"/>
    <col min="3591" max="3591" width="14.140625" style="2" customWidth="1"/>
    <col min="3592" max="3592" width="18.5703125" style="2" customWidth="1"/>
    <col min="3593" max="3593" width="16.5703125" style="2" customWidth="1"/>
    <col min="3594" max="3594" width="17.5703125" style="2" customWidth="1"/>
    <col min="3595" max="3595" width="21.140625" style="2" bestFit="1" customWidth="1"/>
    <col min="3596" max="3596" width="9.140625" style="2" customWidth="1"/>
    <col min="3597" max="3597" width="25.140625" style="2" bestFit="1" customWidth="1"/>
    <col min="3598" max="3598" width="27.140625" style="2" customWidth="1"/>
    <col min="3599" max="3599" width="23.140625" style="2" customWidth="1"/>
    <col min="3600" max="3600" width="6" style="2" customWidth="1"/>
    <col min="3601" max="3601" width="22.7109375" style="2" bestFit="1" customWidth="1"/>
    <col min="3602" max="3841" width="9" style="2"/>
    <col min="3842" max="3842" width="11.42578125" style="2" customWidth="1"/>
    <col min="3843" max="3843" width="75.42578125" style="2" customWidth="1"/>
    <col min="3844" max="3844" width="7.5703125" style="2" customWidth="1"/>
    <col min="3845" max="3845" width="12.140625" style="2" customWidth="1"/>
    <col min="3846" max="3846" width="13.5703125" style="2" customWidth="1"/>
    <col min="3847" max="3847" width="14.140625" style="2" customWidth="1"/>
    <col min="3848" max="3848" width="18.5703125" style="2" customWidth="1"/>
    <col min="3849" max="3849" width="16.5703125" style="2" customWidth="1"/>
    <col min="3850" max="3850" width="17.5703125" style="2" customWidth="1"/>
    <col min="3851" max="3851" width="21.140625" style="2" bestFit="1" customWidth="1"/>
    <col min="3852" max="3852" width="9.140625" style="2" customWidth="1"/>
    <col min="3853" max="3853" width="25.140625" style="2" bestFit="1" customWidth="1"/>
    <col min="3854" max="3854" width="27.140625" style="2" customWidth="1"/>
    <col min="3855" max="3855" width="23.140625" style="2" customWidth="1"/>
    <col min="3856" max="3856" width="6" style="2" customWidth="1"/>
    <col min="3857" max="3857" width="22.7109375" style="2" bestFit="1" customWidth="1"/>
    <col min="3858" max="4097" width="9" style="2"/>
    <col min="4098" max="4098" width="11.42578125" style="2" customWidth="1"/>
    <col min="4099" max="4099" width="75.42578125" style="2" customWidth="1"/>
    <col min="4100" max="4100" width="7.5703125" style="2" customWidth="1"/>
    <col min="4101" max="4101" width="12.140625" style="2" customWidth="1"/>
    <col min="4102" max="4102" width="13.5703125" style="2" customWidth="1"/>
    <col min="4103" max="4103" width="14.140625" style="2" customWidth="1"/>
    <col min="4104" max="4104" width="18.5703125" style="2" customWidth="1"/>
    <col min="4105" max="4105" width="16.5703125" style="2" customWidth="1"/>
    <col min="4106" max="4106" width="17.5703125" style="2" customWidth="1"/>
    <col min="4107" max="4107" width="21.140625" style="2" bestFit="1" customWidth="1"/>
    <col min="4108" max="4108" width="9.140625" style="2" customWidth="1"/>
    <col min="4109" max="4109" width="25.140625" style="2" bestFit="1" customWidth="1"/>
    <col min="4110" max="4110" width="27.140625" style="2" customWidth="1"/>
    <col min="4111" max="4111" width="23.140625" style="2" customWidth="1"/>
    <col min="4112" max="4112" width="6" style="2" customWidth="1"/>
    <col min="4113" max="4113" width="22.7109375" style="2" bestFit="1" customWidth="1"/>
    <col min="4114" max="4353" width="9" style="2"/>
    <col min="4354" max="4354" width="11.42578125" style="2" customWidth="1"/>
    <col min="4355" max="4355" width="75.42578125" style="2" customWidth="1"/>
    <col min="4356" max="4356" width="7.5703125" style="2" customWidth="1"/>
    <col min="4357" max="4357" width="12.140625" style="2" customWidth="1"/>
    <col min="4358" max="4358" width="13.5703125" style="2" customWidth="1"/>
    <col min="4359" max="4359" width="14.140625" style="2" customWidth="1"/>
    <col min="4360" max="4360" width="18.5703125" style="2" customWidth="1"/>
    <col min="4361" max="4361" width="16.5703125" style="2" customWidth="1"/>
    <col min="4362" max="4362" width="17.5703125" style="2" customWidth="1"/>
    <col min="4363" max="4363" width="21.140625" style="2" bestFit="1" customWidth="1"/>
    <col min="4364" max="4364" width="9.140625" style="2" customWidth="1"/>
    <col min="4365" max="4365" width="25.140625" style="2" bestFit="1" customWidth="1"/>
    <col min="4366" max="4366" width="27.140625" style="2" customWidth="1"/>
    <col min="4367" max="4367" width="23.140625" style="2" customWidth="1"/>
    <col min="4368" max="4368" width="6" style="2" customWidth="1"/>
    <col min="4369" max="4369" width="22.7109375" style="2" bestFit="1" customWidth="1"/>
    <col min="4370" max="4609" width="9" style="2"/>
    <col min="4610" max="4610" width="11.42578125" style="2" customWidth="1"/>
    <col min="4611" max="4611" width="75.42578125" style="2" customWidth="1"/>
    <col min="4612" max="4612" width="7.5703125" style="2" customWidth="1"/>
    <col min="4613" max="4613" width="12.140625" style="2" customWidth="1"/>
    <col min="4614" max="4614" width="13.5703125" style="2" customWidth="1"/>
    <col min="4615" max="4615" width="14.140625" style="2" customWidth="1"/>
    <col min="4616" max="4616" width="18.5703125" style="2" customWidth="1"/>
    <col min="4617" max="4617" width="16.5703125" style="2" customWidth="1"/>
    <col min="4618" max="4618" width="17.5703125" style="2" customWidth="1"/>
    <col min="4619" max="4619" width="21.140625" style="2" bestFit="1" customWidth="1"/>
    <col min="4620" max="4620" width="9.140625" style="2" customWidth="1"/>
    <col min="4621" max="4621" width="25.140625" style="2" bestFit="1" customWidth="1"/>
    <col min="4622" max="4622" width="27.140625" style="2" customWidth="1"/>
    <col min="4623" max="4623" width="23.140625" style="2" customWidth="1"/>
    <col min="4624" max="4624" width="6" style="2" customWidth="1"/>
    <col min="4625" max="4625" width="22.7109375" style="2" bestFit="1" customWidth="1"/>
    <col min="4626" max="4865" width="9" style="2"/>
    <col min="4866" max="4866" width="11.42578125" style="2" customWidth="1"/>
    <col min="4867" max="4867" width="75.42578125" style="2" customWidth="1"/>
    <col min="4868" max="4868" width="7.5703125" style="2" customWidth="1"/>
    <col min="4869" max="4869" width="12.140625" style="2" customWidth="1"/>
    <col min="4870" max="4870" width="13.5703125" style="2" customWidth="1"/>
    <col min="4871" max="4871" width="14.140625" style="2" customWidth="1"/>
    <col min="4872" max="4872" width="18.5703125" style="2" customWidth="1"/>
    <col min="4873" max="4873" width="16.5703125" style="2" customWidth="1"/>
    <col min="4874" max="4874" width="17.5703125" style="2" customWidth="1"/>
    <col min="4875" max="4875" width="21.140625" style="2" bestFit="1" customWidth="1"/>
    <col min="4876" max="4876" width="9.140625" style="2" customWidth="1"/>
    <col min="4877" max="4877" width="25.140625" style="2" bestFit="1" customWidth="1"/>
    <col min="4878" max="4878" width="27.140625" style="2" customWidth="1"/>
    <col min="4879" max="4879" width="23.140625" style="2" customWidth="1"/>
    <col min="4880" max="4880" width="6" style="2" customWidth="1"/>
    <col min="4881" max="4881" width="22.7109375" style="2" bestFit="1" customWidth="1"/>
    <col min="4882" max="5121" width="9" style="2"/>
    <col min="5122" max="5122" width="11.42578125" style="2" customWidth="1"/>
    <col min="5123" max="5123" width="75.42578125" style="2" customWidth="1"/>
    <col min="5124" max="5124" width="7.5703125" style="2" customWidth="1"/>
    <col min="5125" max="5125" width="12.140625" style="2" customWidth="1"/>
    <col min="5126" max="5126" width="13.5703125" style="2" customWidth="1"/>
    <col min="5127" max="5127" width="14.140625" style="2" customWidth="1"/>
    <col min="5128" max="5128" width="18.5703125" style="2" customWidth="1"/>
    <col min="5129" max="5129" width="16.5703125" style="2" customWidth="1"/>
    <col min="5130" max="5130" width="17.5703125" style="2" customWidth="1"/>
    <col min="5131" max="5131" width="21.140625" style="2" bestFit="1" customWidth="1"/>
    <col min="5132" max="5132" width="9.140625" style="2" customWidth="1"/>
    <col min="5133" max="5133" width="25.140625" style="2" bestFit="1" customWidth="1"/>
    <col min="5134" max="5134" width="27.140625" style="2" customWidth="1"/>
    <col min="5135" max="5135" width="23.140625" style="2" customWidth="1"/>
    <col min="5136" max="5136" width="6" style="2" customWidth="1"/>
    <col min="5137" max="5137" width="22.7109375" style="2" bestFit="1" customWidth="1"/>
    <col min="5138" max="5377" width="9" style="2"/>
    <col min="5378" max="5378" width="11.42578125" style="2" customWidth="1"/>
    <col min="5379" max="5379" width="75.42578125" style="2" customWidth="1"/>
    <col min="5380" max="5380" width="7.5703125" style="2" customWidth="1"/>
    <col min="5381" max="5381" width="12.140625" style="2" customWidth="1"/>
    <col min="5382" max="5382" width="13.5703125" style="2" customWidth="1"/>
    <col min="5383" max="5383" width="14.140625" style="2" customWidth="1"/>
    <col min="5384" max="5384" width="18.5703125" style="2" customWidth="1"/>
    <col min="5385" max="5385" width="16.5703125" style="2" customWidth="1"/>
    <col min="5386" max="5386" width="17.5703125" style="2" customWidth="1"/>
    <col min="5387" max="5387" width="21.140625" style="2" bestFit="1" customWidth="1"/>
    <col min="5388" max="5388" width="9.140625" style="2" customWidth="1"/>
    <col min="5389" max="5389" width="25.140625" style="2" bestFit="1" customWidth="1"/>
    <col min="5390" max="5390" width="27.140625" style="2" customWidth="1"/>
    <col min="5391" max="5391" width="23.140625" style="2" customWidth="1"/>
    <col min="5392" max="5392" width="6" style="2" customWidth="1"/>
    <col min="5393" max="5393" width="22.7109375" style="2" bestFit="1" customWidth="1"/>
    <col min="5394" max="5633" width="9" style="2"/>
    <col min="5634" max="5634" width="11.42578125" style="2" customWidth="1"/>
    <col min="5635" max="5635" width="75.42578125" style="2" customWidth="1"/>
    <col min="5636" max="5636" width="7.5703125" style="2" customWidth="1"/>
    <col min="5637" max="5637" width="12.140625" style="2" customWidth="1"/>
    <col min="5638" max="5638" width="13.5703125" style="2" customWidth="1"/>
    <col min="5639" max="5639" width="14.140625" style="2" customWidth="1"/>
    <col min="5640" max="5640" width="18.5703125" style="2" customWidth="1"/>
    <col min="5641" max="5641" width="16.5703125" style="2" customWidth="1"/>
    <col min="5642" max="5642" width="17.5703125" style="2" customWidth="1"/>
    <col min="5643" max="5643" width="21.140625" style="2" bestFit="1" customWidth="1"/>
    <col min="5644" max="5644" width="9.140625" style="2" customWidth="1"/>
    <col min="5645" max="5645" width="25.140625" style="2" bestFit="1" customWidth="1"/>
    <col min="5646" max="5646" width="27.140625" style="2" customWidth="1"/>
    <col min="5647" max="5647" width="23.140625" style="2" customWidth="1"/>
    <col min="5648" max="5648" width="6" style="2" customWidth="1"/>
    <col min="5649" max="5649" width="22.7109375" style="2" bestFit="1" customWidth="1"/>
    <col min="5650" max="5889" width="9" style="2"/>
    <col min="5890" max="5890" width="11.42578125" style="2" customWidth="1"/>
    <col min="5891" max="5891" width="75.42578125" style="2" customWidth="1"/>
    <col min="5892" max="5892" width="7.5703125" style="2" customWidth="1"/>
    <col min="5893" max="5893" width="12.140625" style="2" customWidth="1"/>
    <col min="5894" max="5894" width="13.5703125" style="2" customWidth="1"/>
    <col min="5895" max="5895" width="14.140625" style="2" customWidth="1"/>
    <col min="5896" max="5896" width="18.5703125" style="2" customWidth="1"/>
    <col min="5897" max="5897" width="16.5703125" style="2" customWidth="1"/>
    <col min="5898" max="5898" width="17.5703125" style="2" customWidth="1"/>
    <col min="5899" max="5899" width="21.140625" style="2" bestFit="1" customWidth="1"/>
    <col min="5900" max="5900" width="9.140625" style="2" customWidth="1"/>
    <col min="5901" max="5901" width="25.140625" style="2" bestFit="1" customWidth="1"/>
    <col min="5902" max="5902" width="27.140625" style="2" customWidth="1"/>
    <col min="5903" max="5903" width="23.140625" style="2" customWidth="1"/>
    <col min="5904" max="5904" width="6" style="2" customWidth="1"/>
    <col min="5905" max="5905" width="22.7109375" style="2" bestFit="1" customWidth="1"/>
    <col min="5906" max="6145" width="9" style="2"/>
    <col min="6146" max="6146" width="11.42578125" style="2" customWidth="1"/>
    <col min="6147" max="6147" width="75.42578125" style="2" customWidth="1"/>
    <col min="6148" max="6148" width="7.5703125" style="2" customWidth="1"/>
    <col min="6149" max="6149" width="12.140625" style="2" customWidth="1"/>
    <col min="6150" max="6150" width="13.5703125" style="2" customWidth="1"/>
    <col min="6151" max="6151" width="14.140625" style="2" customWidth="1"/>
    <col min="6152" max="6152" width="18.5703125" style="2" customWidth="1"/>
    <col min="6153" max="6153" width="16.5703125" style="2" customWidth="1"/>
    <col min="6154" max="6154" width="17.5703125" style="2" customWidth="1"/>
    <col min="6155" max="6155" width="21.140625" style="2" bestFit="1" customWidth="1"/>
    <col min="6156" max="6156" width="9.140625" style="2" customWidth="1"/>
    <col min="6157" max="6157" width="25.140625" style="2" bestFit="1" customWidth="1"/>
    <col min="6158" max="6158" width="27.140625" style="2" customWidth="1"/>
    <col min="6159" max="6159" width="23.140625" style="2" customWidth="1"/>
    <col min="6160" max="6160" width="6" style="2" customWidth="1"/>
    <col min="6161" max="6161" width="22.7109375" style="2" bestFit="1" customWidth="1"/>
    <col min="6162" max="6401" width="9" style="2"/>
    <col min="6402" max="6402" width="11.42578125" style="2" customWidth="1"/>
    <col min="6403" max="6403" width="75.42578125" style="2" customWidth="1"/>
    <col min="6404" max="6404" width="7.5703125" style="2" customWidth="1"/>
    <col min="6405" max="6405" width="12.140625" style="2" customWidth="1"/>
    <col min="6406" max="6406" width="13.5703125" style="2" customWidth="1"/>
    <col min="6407" max="6407" width="14.140625" style="2" customWidth="1"/>
    <col min="6408" max="6408" width="18.5703125" style="2" customWidth="1"/>
    <col min="6409" max="6409" width="16.5703125" style="2" customWidth="1"/>
    <col min="6410" max="6410" width="17.5703125" style="2" customWidth="1"/>
    <col min="6411" max="6411" width="21.140625" style="2" bestFit="1" customWidth="1"/>
    <col min="6412" max="6412" width="9.140625" style="2" customWidth="1"/>
    <col min="6413" max="6413" width="25.140625" style="2" bestFit="1" customWidth="1"/>
    <col min="6414" max="6414" width="27.140625" style="2" customWidth="1"/>
    <col min="6415" max="6415" width="23.140625" style="2" customWidth="1"/>
    <col min="6416" max="6416" width="6" style="2" customWidth="1"/>
    <col min="6417" max="6417" width="22.7109375" style="2" bestFit="1" customWidth="1"/>
    <col min="6418" max="6657" width="9" style="2"/>
    <col min="6658" max="6658" width="11.42578125" style="2" customWidth="1"/>
    <col min="6659" max="6659" width="75.42578125" style="2" customWidth="1"/>
    <col min="6660" max="6660" width="7.5703125" style="2" customWidth="1"/>
    <col min="6661" max="6661" width="12.140625" style="2" customWidth="1"/>
    <col min="6662" max="6662" width="13.5703125" style="2" customWidth="1"/>
    <col min="6663" max="6663" width="14.140625" style="2" customWidth="1"/>
    <col min="6664" max="6664" width="18.5703125" style="2" customWidth="1"/>
    <col min="6665" max="6665" width="16.5703125" style="2" customWidth="1"/>
    <col min="6666" max="6666" width="17.5703125" style="2" customWidth="1"/>
    <col min="6667" max="6667" width="21.140625" style="2" bestFit="1" customWidth="1"/>
    <col min="6668" max="6668" width="9.140625" style="2" customWidth="1"/>
    <col min="6669" max="6669" width="25.140625" style="2" bestFit="1" customWidth="1"/>
    <col min="6670" max="6670" width="27.140625" style="2" customWidth="1"/>
    <col min="6671" max="6671" width="23.140625" style="2" customWidth="1"/>
    <col min="6672" max="6672" width="6" style="2" customWidth="1"/>
    <col min="6673" max="6673" width="22.7109375" style="2" bestFit="1" customWidth="1"/>
    <col min="6674" max="6913" width="9" style="2"/>
    <col min="6914" max="6914" width="11.42578125" style="2" customWidth="1"/>
    <col min="6915" max="6915" width="75.42578125" style="2" customWidth="1"/>
    <col min="6916" max="6916" width="7.5703125" style="2" customWidth="1"/>
    <col min="6917" max="6917" width="12.140625" style="2" customWidth="1"/>
    <col min="6918" max="6918" width="13.5703125" style="2" customWidth="1"/>
    <col min="6919" max="6919" width="14.140625" style="2" customWidth="1"/>
    <col min="6920" max="6920" width="18.5703125" style="2" customWidth="1"/>
    <col min="6921" max="6921" width="16.5703125" style="2" customWidth="1"/>
    <col min="6922" max="6922" width="17.5703125" style="2" customWidth="1"/>
    <col min="6923" max="6923" width="21.140625" style="2" bestFit="1" customWidth="1"/>
    <col min="6924" max="6924" width="9.140625" style="2" customWidth="1"/>
    <col min="6925" max="6925" width="25.140625" style="2" bestFit="1" customWidth="1"/>
    <col min="6926" max="6926" width="27.140625" style="2" customWidth="1"/>
    <col min="6927" max="6927" width="23.140625" style="2" customWidth="1"/>
    <col min="6928" max="6928" width="6" style="2" customWidth="1"/>
    <col min="6929" max="6929" width="22.7109375" style="2" bestFit="1" customWidth="1"/>
    <col min="6930" max="7169" width="9" style="2"/>
    <col min="7170" max="7170" width="11.42578125" style="2" customWidth="1"/>
    <col min="7171" max="7171" width="75.42578125" style="2" customWidth="1"/>
    <col min="7172" max="7172" width="7.5703125" style="2" customWidth="1"/>
    <col min="7173" max="7173" width="12.140625" style="2" customWidth="1"/>
    <col min="7174" max="7174" width="13.5703125" style="2" customWidth="1"/>
    <col min="7175" max="7175" width="14.140625" style="2" customWidth="1"/>
    <col min="7176" max="7176" width="18.5703125" style="2" customWidth="1"/>
    <col min="7177" max="7177" width="16.5703125" style="2" customWidth="1"/>
    <col min="7178" max="7178" width="17.5703125" style="2" customWidth="1"/>
    <col min="7179" max="7179" width="21.140625" style="2" bestFit="1" customWidth="1"/>
    <col min="7180" max="7180" width="9.140625" style="2" customWidth="1"/>
    <col min="7181" max="7181" width="25.140625" style="2" bestFit="1" customWidth="1"/>
    <col min="7182" max="7182" width="27.140625" style="2" customWidth="1"/>
    <col min="7183" max="7183" width="23.140625" style="2" customWidth="1"/>
    <col min="7184" max="7184" width="6" style="2" customWidth="1"/>
    <col min="7185" max="7185" width="22.7109375" style="2" bestFit="1" customWidth="1"/>
    <col min="7186" max="7425" width="9" style="2"/>
    <col min="7426" max="7426" width="11.42578125" style="2" customWidth="1"/>
    <col min="7427" max="7427" width="75.42578125" style="2" customWidth="1"/>
    <col min="7428" max="7428" width="7.5703125" style="2" customWidth="1"/>
    <col min="7429" max="7429" width="12.140625" style="2" customWidth="1"/>
    <col min="7430" max="7430" width="13.5703125" style="2" customWidth="1"/>
    <col min="7431" max="7431" width="14.140625" style="2" customWidth="1"/>
    <col min="7432" max="7432" width="18.5703125" style="2" customWidth="1"/>
    <col min="7433" max="7433" width="16.5703125" style="2" customWidth="1"/>
    <col min="7434" max="7434" width="17.5703125" style="2" customWidth="1"/>
    <col min="7435" max="7435" width="21.140625" style="2" bestFit="1" customWidth="1"/>
    <col min="7436" max="7436" width="9.140625" style="2" customWidth="1"/>
    <col min="7437" max="7437" width="25.140625" style="2" bestFit="1" customWidth="1"/>
    <col min="7438" max="7438" width="27.140625" style="2" customWidth="1"/>
    <col min="7439" max="7439" width="23.140625" style="2" customWidth="1"/>
    <col min="7440" max="7440" width="6" style="2" customWidth="1"/>
    <col min="7441" max="7441" width="22.7109375" style="2" bestFit="1" customWidth="1"/>
    <col min="7442" max="7681" width="9" style="2"/>
    <col min="7682" max="7682" width="11.42578125" style="2" customWidth="1"/>
    <col min="7683" max="7683" width="75.42578125" style="2" customWidth="1"/>
    <col min="7684" max="7684" width="7.5703125" style="2" customWidth="1"/>
    <col min="7685" max="7685" width="12.140625" style="2" customWidth="1"/>
    <col min="7686" max="7686" width="13.5703125" style="2" customWidth="1"/>
    <col min="7687" max="7687" width="14.140625" style="2" customWidth="1"/>
    <col min="7688" max="7688" width="18.5703125" style="2" customWidth="1"/>
    <col min="7689" max="7689" width="16.5703125" style="2" customWidth="1"/>
    <col min="7690" max="7690" width="17.5703125" style="2" customWidth="1"/>
    <col min="7691" max="7691" width="21.140625" style="2" bestFit="1" customWidth="1"/>
    <col min="7692" max="7692" width="9.140625" style="2" customWidth="1"/>
    <col min="7693" max="7693" width="25.140625" style="2" bestFit="1" customWidth="1"/>
    <col min="7694" max="7694" width="27.140625" style="2" customWidth="1"/>
    <col min="7695" max="7695" width="23.140625" style="2" customWidth="1"/>
    <col min="7696" max="7696" width="6" style="2" customWidth="1"/>
    <col min="7697" max="7697" width="22.7109375" style="2" bestFit="1" customWidth="1"/>
    <col min="7698" max="7937" width="9" style="2"/>
    <col min="7938" max="7938" width="11.42578125" style="2" customWidth="1"/>
    <col min="7939" max="7939" width="75.42578125" style="2" customWidth="1"/>
    <col min="7940" max="7940" width="7.5703125" style="2" customWidth="1"/>
    <col min="7941" max="7941" width="12.140625" style="2" customWidth="1"/>
    <col min="7942" max="7942" width="13.5703125" style="2" customWidth="1"/>
    <col min="7943" max="7943" width="14.140625" style="2" customWidth="1"/>
    <col min="7944" max="7944" width="18.5703125" style="2" customWidth="1"/>
    <col min="7945" max="7945" width="16.5703125" style="2" customWidth="1"/>
    <col min="7946" max="7946" width="17.5703125" style="2" customWidth="1"/>
    <col min="7947" max="7947" width="21.140625" style="2" bestFit="1" customWidth="1"/>
    <col min="7948" max="7948" width="9.140625" style="2" customWidth="1"/>
    <col min="7949" max="7949" width="25.140625" style="2" bestFit="1" customWidth="1"/>
    <col min="7950" max="7950" width="27.140625" style="2" customWidth="1"/>
    <col min="7951" max="7951" width="23.140625" style="2" customWidth="1"/>
    <col min="7952" max="7952" width="6" style="2" customWidth="1"/>
    <col min="7953" max="7953" width="22.7109375" style="2" bestFit="1" customWidth="1"/>
    <col min="7954" max="8193" width="9" style="2"/>
    <col min="8194" max="8194" width="11.42578125" style="2" customWidth="1"/>
    <col min="8195" max="8195" width="75.42578125" style="2" customWidth="1"/>
    <col min="8196" max="8196" width="7.5703125" style="2" customWidth="1"/>
    <col min="8197" max="8197" width="12.140625" style="2" customWidth="1"/>
    <col min="8198" max="8198" width="13.5703125" style="2" customWidth="1"/>
    <col min="8199" max="8199" width="14.140625" style="2" customWidth="1"/>
    <col min="8200" max="8200" width="18.5703125" style="2" customWidth="1"/>
    <col min="8201" max="8201" width="16.5703125" style="2" customWidth="1"/>
    <col min="8202" max="8202" width="17.5703125" style="2" customWidth="1"/>
    <col min="8203" max="8203" width="21.140625" style="2" bestFit="1" customWidth="1"/>
    <col min="8204" max="8204" width="9.140625" style="2" customWidth="1"/>
    <col min="8205" max="8205" width="25.140625" style="2" bestFit="1" customWidth="1"/>
    <col min="8206" max="8206" width="27.140625" style="2" customWidth="1"/>
    <col min="8207" max="8207" width="23.140625" style="2" customWidth="1"/>
    <col min="8208" max="8208" width="6" style="2" customWidth="1"/>
    <col min="8209" max="8209" width="22.7109375" style="2" bestFit="1" customWidth="1"/>
    <col min="8210" max="8449" width="9" style="2"/>
    <col min="8450" max="8450" width="11.42578125" style="2" customWidth="1"/>
    <col min="8451" max="8451" width="75.42578125" style="2" customWidth="1"/>
    <col min="8452" max="8452" width="7.5703125" style="2" customWidth="1"/>
    <col min="8453" max="8453" width="12.140625" style="2" customWidth="1"/>
    <col min="8454" max="8454" width="13.5703125" style="2" customWidth="1"/>
    <col min="8455" max="8455" width="14.140625" style="2" customWidth="1"/>
    <col min="8456" max="8456" width="18.5703125" style="2" customWidth="1"/>
    <col min="8457" max="8457" width="16.5703125" style="2" customWidth="1"/>
    <col min="8458" max="8458" width="17.5703125" style="2" customWidth="1"/>
    <col min="8459" max="8459" width="21.140625" style="2" bestFit="1" customWidth="1"/>
    <col min="8460" max="8460" width="9.140625" style="2" customWidth="1"/>
    <col min="8461" max="8461" width="25.140625" style="2" bestFit="1" customWidth="1"/>
    <col min="8462" max="8462" width="27.140625" style="2" customWidth="1"/>
    <col min="8463" max="8463" width="23.140625" style="2" customWidth="1"/>
    <col min="8464" max="8464" width="6" style="2" customWidth="1"/>
    <col min="8465" max="8465" width="22.7109375" style="2" bestFit="1" customWidth="1"/>
    <col min="8466" max="8705" width="9" style="2"/>
    <col min="8706" max="8706" width="11.42578125" style="2" customWidth="1"/>
    <col min="8707" max="8707" width="75.42578125" style="2" customWidth="1"/>
    <col min="8708" max="8708" width="7.5703125" style="2" customWidth="1"/>
    <col min="8709" max="8709" width="12.140625" style="2" customWidth="1"/>
    <col min="8710" max="8710" width="13.5703125" style="2" customWidth="1"/>
    <col min="8711" max="8711" width="14.140625" style="2" customWidth="1"/>
    <col min="8712" max="8712" width="18.5703125" style="2" customWidth="1"/>
    <col min="8713" max="8713" width="16.5703125" style="2" customWidth="1"/>
    <col min="8714" max="8714" width="17.5703125" style="2" customWidth="1"/>
    <col min="8715" max="8715" width="21.140625" style="2" bestFit="1" customWidth="1"/>
    <col min="8716" max="8716" width="9.140625" style="2" customWidth="1"/>
    <col min="8717" max="8717" width="25.140625" style="2" bestFit="1" customWidth="1"/>
    <col min="8718" max="8718" width="27.140625" style="2" customWidth="1"/>
    <col min="8719" max="8719" width="23.140625" style="2" customWidth="1"/>
    <col min="8720" max="8720" width="6" style="2" customWidth="1"/>
    <col min="8721" max="8721" width="22.7109375" style="2" bestFit="1" customWidth="1"/>
    <col min="8722" max="8961" width="9" style="2"/>
    <col min="8962" max="8962" width="11.42578125" style="2" customWidth="1"/>
    <col min="8963" max="8963" width="75.42578125" style="2" customWidth="1"/>
    <col min="8964" max="8964" width="7.5703125" style="2" customWidth="1"/>
    <col min="8965" max="8965" width="12.140625" style="2" customWidth="1"/>
    <col min="8966" max="8966" width="13.5703125" style="2" customWidth="1"/>
    <col min="8967" max="8967" width="14.140625" style="2" customWidth="1"/>
    <col min="8968" max="8968" width="18.5703125" style="2" customWidth="1"/>
    <col min="8969" max="8969" width="16.5703125" style="2" customWidth="1"/>
    <col min="8970" max="8970" width="17.5703125" style="2" customWidth="1"/>
    <col min="8971" max="8971" width="21.140625" style="2" bestFit="1" customWidth="1"/>
    <col min="8972" max="8972" width="9.140625" style="2" customWidth="1"/>
    <col min="8973" max="8973" width="25.140625" style="2" bestFit="1" customWidth="1"/>
    <col min="8974" max="8974" width="27.140625" style="2" customWidth="1"/>
    <col min="8975" max="8975" width="23.140625" style="2" customWidth="1"/>
    <col min="8976" max="8976" width="6" style="2" customWidth="1"/>
    <col min="8977" max="8977" width="22.7109375" style="2" bestFit="1" customWidth="1"/>
    <col min="8978" max="9217" width="9" style="2"/>
    <col min="9218" max="9218" width="11.42578125" style="2" customWidth="1"/>
    <col min="9219" max="9219" width="75.42578125" style="2" customWidth="1"/>
    <col min="9220" max="9220" width="7.5703125" style="2" customWidth="1"/>
    <col min="9221" max="9221" width="12.140625" style="2" customWidth="1"/>
    <col min="9222" max="9222" width="13.5703125" style="2" customWidth="1"/>
    <col min="9223" max="9223" width="14.140625" style="2" customWidth="1"/>
    <col min="9224" max="9224" width="18.5703125" style="2" customWidth="1"/>
    <col min="9225" max="9225" width="16.5703125" style="2" customWidth="1"/>
    <col min="9226" max="9226" width="17.5703125" style="2" customWidth="1"/>
    <col min="9227" max="9227" width="21.140625" style="2" bestFit="1" customWidth="1"/>
    <col min="9228" max="9228" width="9.140625" style="2" customWidth="1"/>
    <col min="9229" max="9229" width="25.140625" style="2" bestFit="1" customWidth="1"/>
    <col min="9230" max="9230" width="27.140625" style="2" customWidth="1"/>
    <col min="9231" max="9231" width="23.140625" style="2" customWidth="1"/>
    <col min="9232" max="9232" width="6" style="2" customWidth="1"/>
    <col min="9233" max="9233" width="22.7109375" style="2" bestFit="1" customWidth="1"/>
    <col min="9234" max="9473" width="9" style="2"/>
    <col min="9474" max="9474" width="11.42578125" style="2" customWidth="1"/>
    <col min="9475" max="9475" width="75.42578125" style="2" customWidth="1"/>
    <col min="9476" max="9476" width="7.5703125" style="2" customWidth="1"/>
    <col min="9477" max="9477" width="12.140625" style="2" customWidth="1"/>
    <col min="9478" max="9478" width="13.5703125" style="2" customWidth="1"/>
    <col min="9479" max="9479" width="14.140625" style="2" customWidth="1"/>
    <col min="9480" max="9480" width="18.5703125" style="2" customWidth="1"/>
    <col min="9481" max="9481" width="16.5703125" style="2" customWidth="1"/>
    <col min="9482" max="9482" width="17.5703125" style="2" customWidth="1"/>
    <col min="9483" max="9483" width="21.140625" style="2" bestFit="1" customWidth="1"/>
    <col min="9484" max="9484" width="9.140625" style="2" customWidth="1"/>
    <col min="9485" max="9485" width="25.140625" style="2" bestFit="1" customWidth="1"/>
    <col min="9486" max="9486" width="27.140625" style="2" customWidth="1"/>
    <col min="9487" max="9487" width="23.140625" style="2" customWidth="1"/>
    <col min="9488" max="9488" width="6" style="2" customWidth="1"/>
    <col min="9489" max="9489" width="22.7109375" style="2" bestFit="1" customWidth="1"/>
    <col min="9490" max="9729" width="9" style="2"/>
    <col min="9730" max="9730" width="11.42578125" style="2" customWidth="1"/>
    <col min="9731" max="9731" width="75.42578125" style="2" customWidth="1"/>
    <col min="9732" max="9732" width="7.5703125" style="2" customWidth="1"/>
    <col min="9733" max="9733" width="12.140625" style="2" customWidth="1"/>
    <col min="9734" max="9734" width="13.5703125" style="2" customWidth="1"/>
    <col min="9735" max="9735" width="14.140625" style="2" customWidth="1"/>
    <col min="9736" max="9736" width="18.5703125" style="2" customWidth="1"/>
    <col min="9737" max="9737" width="16.5703125" style="2" customWidth="1"/>
    <col min="9738" max="9738" width="17.5703125" style="2" customWidth="1"/>
    <col min="9739" max="9739" width="21.140625" style="2" bestFit="1" customWidth="1"/>
    <col min="9740" max="9740" width="9.140625" style="2" customWidth="1"/>
    <col min="9741" max="9741" width="25.140625" style="2" bestFit="1" customWidth="1"/>
    <col min="9742" max="9742" width="27.140625" style="2" customWidth="1"/>
    <col min="9743" max="9743" width="23.140625" style="2" customWidth="1"/>
    <col min="9744" max="9744" width="6" style="2" customWidth="1"/>
    <col min="9745" max="9745" width="22.7109375" style="2" bestFit="1" customWidth="1"/>
    <col min="9746" max="9985" width="9" style="2"/>
    <col min="9986" max="9986" width="11.42578125" style="2" customWidth="1"/>
    <col min="9987" max="9987" width="75.42578125" style="2" customWidth="1"/>
    <col min="9988" max="9988" width="7.5703125" style="2" customWidth="1"/>
    <col min="9989" max="9989" width="12.140625" style="2" customWidth="1"/>
    <col min="9990" max="9990" width="13.5703125" style="2" customWidth="1"/>
    <col min="9991" max="9991" width="14.140625" style="2" customWidth="1"/>
    <col min="9992" max="9992" width="18.5703125" style="2" customWidth="1"/>
    <col min="9993" max="9993" width="16.5703125" style="2" customWidth="1"/>
    <col min="9994" max="9994" width="17.5703125" style="2" customWidth="1"/>
    <col min="9995" max="9995" width="21.140625" style="2" bestFit="1" customWidth="1"/>
    <col min="9996" max="9996" width="9.140625" style="2" customWidth="1"/>
    <col min="9997" max="9997" width="25.140625" style="2" bestFit="1" customWidth="1"/>
    <col min="9998" max="9998" width="27.140625" style="2" customWidth="1"/>
    <col min="9999" max="9999" width="23.140625" style="2" customWidth="1"/>
    <col min="10000" max="10000" width="6" style="2" customWidth="1"/>
    <col min="10001" max="10001" width="22.7109375" style="2" bestFit="1" customWidth="1"/>
    <col min="10002" max="10241" width="9" style="2"/>
    <col min="10242" max="10242" width="11.42578125" style="2" customWidth="1"/>
    <col min="10243" max="10243" width="75.42578125" style="2" customWidth="1"/>
    <col min="10244" max="10244" width="7.5703125" style="2" customWidth="1"/>
    <col min="10245" max="10245" width="12.140625" style="2" customWidth="1"/>
    <col min="10246" max="10246" width="13.5703125" style="2" customWidth="1"/>
    <col min="10247" max="10247" width="14.140625" style="2" customWidth="1"/>
    <col min="10248" max="10248" width="18.5703125" style="2" customWidth="1"/>
    <col min="10249" max="10249" width="16.5703125" style="2" customWidth="1"/>
    <col min="10250" max="10250" width="17.5703125" style="2" customWidth="1"/>
    <col min="10251" max="10251" width="21.140625" style="2" bestFit="1" customWidth="1"/>
    <col min="10252" max="10252" width="9.140625" style="2" customWidth="1"/>
    <col min="10253" max="10253" width="25.140625" style="2" bestFit="1" customWidth="1"/>
    <col min="10254" max="10254" width="27.140625" style="2" customWidth="1"/>
    <col min="10255" max="10255" width="23.140625" style="2" customWidth="1"/>
    <col min="10256" max="10256" width="6" style="2" customWidth="1"/>
    <col min="10257" max="10257" width="22.7109375" style="2" bestFit="1" customWidth="1"/>
    <col min="10258" max="10497" width="9" style="2"/>
    <col min="10498" max="10498" width="11.42578125" style="2" customWidth="1"/>
    <col min="10499" max="10499" width="75.42578125" style="2" customWidth="1"/>
    <col min="10500" max="10500" width="7.5703125" style="2" customWidth="1"/>
    <col min="10501" max="10501" width="12.140625" style="2" customWidth="1"/>
    <col min="10502" max="10502" width="13.5703125" style="2" customWidth="1"/>
    <col min="10503" max="10503" width="14.140625" style="2" customWidth="1"/>
    <col min="10504" max="10504" width="18.5703125" style="2" customWidth="1"/>
    <col min="10505" max="10505" width="16.5703125" style="2" customWidth="1"/>
    <col min="10506" max="10506" width="17.5703125" style="2" customWidth="1"/>
    <col min="10507" max="10507" width="21.140625" style="2" bestFit="1" customWidth="1"/>
    <col min="10508" max="10508" width="9.140625" style="2" customWidth="1"/>
    <col min="10509" max="10509" width="25.140625" style="2" bestFit="1" customWidth="1"/>
    <col min="10510" max="10510" width="27.140625" style="2" customWidth="1"/>
    <col min="10511" max="10511" width="23.140625" style="2" customWidth="1"/>
    <col min="10512" max="10512" width="6" style="2" customWidth="1"/>
    <col min="10513" max="10513" width="22.7109375" style="2" bestFit="1" customWidth="1"/>
    <col min="10514" max="10753" width="9" style="2"/>
    <col min="10754" max="10754" width="11.42578125" style="2" customWidth="1"/>
    <col min="10755" max="10755" width="75.42578125" style="2" customWidth="1"/>
    <col min="10756" max="10756" width="7.5703125" style="2" customWidth="1"/>
    <col min="10757" max="10757" width="12.140625" style="2" customWidth="1"/>
    <col min="10758" max="10758" width="13.5703125" style="2" customWidth="1"/>
    <col min="10759" max="10759" width="14.140625" style="2" customWidth="1"/>
    <col min="10760" max="10760" width="18.5703125" style="2" customWidth="1"/>
    <col min="10761" max="10761" width="16.5703125" style="2" customWidth="1"/>
    <col min="10762" max="10762" width="17.5703125" style="2" customWidth="1"/>
    <col min="10763" max="10763" width="21.140625" style="2" bestFit="1" customWidth="1"/>
    <col min="10764" max="10764" width="9.140625" style="2" customWidth="1"/>
    <col min="10765" max="10765" width="25.140625" style="2" bestFit="1" customWidth="1"/>
    <col min="10766" max="10766" width="27.140625" style="2" customWidth="1"/>
    <col min="10767" max="10767" width="23.140625" style="2" customWidth="1"/>
    <col min="10768" max="10768" width="6" style="2" customWidth="1"/>
    <col min="10769" max="10769" width="22.7109375" style="2" bestFit="1" customWidth="1"/>
    <col min="10770" max="11009" width="9" style="2"/>
    <col min="11010" max="11010" width="11.42578125" style="2" customWidth="1"/>
    <col min="11011" max="11011" width="75.42578125" style="2" customWidth="1"/>
    <col min="11012" max="11012" width="7.5703125" style="2" customWidth="1"/>
    <col min="11013" max="11013" width="12.140625" style="2" customWidth="1"/>
    <col min="11014" max="11014" width="13.5703125" style="2" customWidth="1"/>
    <col min="11015" max="11015" width="14.140625" style="2" customWidth="1"/>
    <col min="11016" max="11016" width="18.5703125" style="2" customWidth="1"/>
    <col min="11017" max="11017" width="16.5703125" style="2" customWidth="1"/>
    <col min="11018" max="11018" width="17.5703125" style="2" customWidth="1"/>
    <col min="11019" max="11019" width="21.140625" style="2" bestFit="1" customWidth="1"/>
    <col min="11020" max="11020" width="9.140625" style="2" customWidth="1"/>
    <col min="11021" max="11021" width="25.140625" style="2" bestFit="1" customWidth="1"/>
    <col min="11022" max="11022" width="27.140625" style="2" customWidth="1"/>
    <col min="11023" max="11023" width="23.140625" style="2" customWidth="1"/>
    <col min="11024" max="11024" width="6" style="2" customWidth="1"/>
    <col min="11025" max="11025" width="22.7109375" style="2" bestFit="1" customWidth="1"/>
    <col min="11026" max="11265" width="9" style="2"/>
    <col min="11266" max="11266" width="11.42578125" style="2" customWidth="1"/>
    <col min="11267" max="11267" width="75.42578125" style="2" customWidth="1"/>
    <col min="11268" max="11268" width="7.5703125" style="2" customWidth="1"/>
    <col min="11269" max="11269" width="12.140625" style="2" customWidth="1"/>
    <col min="11270" max="11270" width="13.5703125" style="2" customWidth="1"/>
    <col min="11271" max="11271" width="14.140625" style="2" customWidth="1"/>
    <col min="11272" max="11272" width="18.5703125" style="2" customWidth="1"/>
    <col min="11273" max="11273" width="16.5703125" style="2" customWidth="1"/>
    <col min="11274" max="11274" width="17.5703125" style="2" customWidth="1"/>
    <col min="11275" max="11275" width="21.140625" style="2" bestFit="1" customWidth="1"/>
    <col min="11276" max="11276" width="9.140625" style="2" customWidth="1"/>
    <col min="11277" max="11277" width="25.140625" style="2" bestFit="1" customWidth="1"/>
    <col min="11278" max="11278" width="27.140625" style="2" customWidth="1"/>
    <col min="11279" max="11279" width="23.140625" style="2" customWidth="1"/>
    <col min="11280" max="11280" width="6" style="2" customWidth="1"/>
    <col min="11281" max="11281" width="22.7109375" style="2" bestFit="1" customWidth="1"/>
    <col min="11282" max="11521" width="9" style="2"/>
    <col min="11522" max="11522" width="11.42578125" style="2" customWidth="1"/>
    <col min="11523" max="11523" width="75.42578125" style="2" customWidth="1"/>
    <col min="11524" max="11524" width="7.5703125" style="2" customWidth="1"/>
    <col min="11525" max="11525" width="12.140625" style="2" customWidth="1"/>
    <col min="11526" max="11526" width="13.5703125" style="2" customWidth="1"/>
    <col min="11527" max="11527" width="14.140625" style="2" customWidth="1"/>
    <col min="11528" max="11528" width="18.5703125" style="2" customWidth="1"/>
    <col min="11529" max="11529" width="16.5703125" style="2" customWidth="1"/>
    <col min="11530" max="11530" width="17.5703125" style="2" customWidth="1"/>
    <col min="11531" max="11531" width="21.140625" style="2" bestFit="1" customWidth="1"/>
    <col min="11532" max="11532" width="9.140625" style="2" customWidth="1"/>
    <col min="11533" max="11533" width="25.140625" style="2" bestFit="1" customWidth="1"/>
    <col min="11534" max="11534" width="27.140625" style="2" customWidth="1"/>
    <col min="11535" max="11535" width="23.140625" style="2" customWidth="1"/>
    <col min="11536" max="11536" width="6" style="2" customWidth="1"/>
    <col min="11537" max="11537" width="22.7109375" style="2" bestFit="1" customWidth="1"/>
    <col min="11538" max="11777" width="9" style="2"/>
    <col min="11778" max="11778" width="11.42578125" style="2" customWidth="1"/>
    <col min="11779" max="11779" width="75.42578125" style="2" customWidth="1"/>
    <col min="11780" max="11780" width="7.5703125" style="2" customWidth="1"/>
    <col min="11781" max="11781" width="12.140625" style="2" customWidth="1"/>
    <col min="11782" max="11782" width="13.5703125" style="2" customWidth="1"/>
    <col min="11783" max="11783" width="14.140625" style="2" customWidth="1"/>
    <col min="11784" max="11784" width="18.5703125" style="2" customWidth="1"/>
    <col min="11785" max="11785" width="16.5703125" style="2" customWidth="1"/>
    <col min="11786" max="11786" width="17.5703125" style="2" customWidth="1"/>
    <col min="11787" max="11787" width="21.140625" style="2" bestFit="1" customWidth="1"/>
    <col min="11788" max="11788" width="9.140625" style="2" customWidth="1"/>
    <col min="11789" max="11789" width="25.140625" style="2" bestFit="1" customWidth="1"/>
    <col min="11790" max="11790" width="27.140625" style="2" customWidth="1"/>
    <col min="11791" max="11791" width="23.140625" style="2" customWidth="1"/>
    <col min="11792" max="11792" width="6" style="2" customWidth="1"/>
    <col min="11793" max="11793" width="22.7109375" style="2" bestFit="1" customWidth="1"/>
    <col min="11794" max="12033" width="9" style="2"/>
    <col min="12034" max="12034" width="11.42578125" style="2" customWidth="1"/>
    <col min="12035" max="12035" width="75.42578125" style="2" customWidth="1"/>
    <col min="12036" max="12036" width="7.5703125" style="2" customWidth="1"/>
    <col min="12037" max="12037" width="12.140625" style="2" customWidth="1"/>
    <col min="12038" max="12038" width="13.5703125" style="2" customWidth="1"/>
    <col min="12039" max="12039" width="14.140625" style="2" customWidth="1"/>
    <col min="12040" max="12040" width="18.5703125" style="2" customWidth="1"/>
    <col min="12041" max="12041" width="16.5703125" style="2" customWidth="1"/>
    <col min="12042" max="12042" width="17.5703125" style="2" customWidth="1"/>
    <col min="12043" max="12043" width="21.140625" style="2" bestFit="1" customWidth="1"/>
    <col min="12044" max="12044" width="9.140625" style="2" customWidth="1"/>
    <col min="12045" max="12045" width="25.140625" style="2" bestFit="1" customWidth="1"/>
    <col min="12046" max="12046" width="27.140625" style="2" customWidth="1"/>
    <col min="12047" max="12047" width="23.140625" style="2" customWidth="1"/>
    <col min="12048" max="12048" width="6" style="2" customWidth="1"/>
    <col min="12049" max="12049" width="22.7109375" style="2" bestFit="1" customWidth="1"/>
    <col min="12050" max="12289" width="9" style="2"/>
    <col min="12290" max="12290" width="11.42578125" style="2" customWidth="1"/>
    <col min="12291" max="12291" width="75.42578125" style="2" customWidth="1"/>
    <col min="12292" max="12292" width="7.5703125" style="2" customWidth="1"/>
    <col min="12293" max="12293" width="12.140625" style="2" customWidth="1"/>
    <col min="12294" max="12294" width="13.5703125" style="2" customWidth="1"/>
    <col min="12295" max="12295" width="14.140625" style="2" customWidth="1"/>
    <col min="12296" max="12296" width="18.5703125" style="2" customWidth="1"/>
    <col min="12297" max="12297" width="16.5703125" style="2" customWidth="1"/>
    <col min="12298" max="12298" width="17.5703125" style="2" customWidth="1"/>
    <col min="12299" max="12299" width="21.140625" style="2" bestFit="1" customWidth="1"/>
    <col min="12300" max="12300" width="9.140625" style="2" customWidth="1"/>
    <col min="12301" max="12301" width="25.140625" style="2" bestFit="1" customWidth="1"/>
    <col min="12302" max="12302" width="27.140625" style="2" customWidth="1"/>
    <col min="12303" max="12303" width="23.140625" style="2" customWidth="1"/>
    <col min="12304" max="12304" width="6" style="2" customWidth="1"/>
    <col min="12305" max="12305" width="22.7109375" style="2" bestFit="1" customWidth="1"/>
    <col min="12306" max="12545" width="9" style="2"/>
    <col min="12546" max="12546" width="11.42578125" style="2" customWidth="1"/>
    <col min="12547" max="12547" width="75.42578125" style="2" customWidth="1"/>
    <col min="12548" max="12548" width="7.5703125" style="2" customWidth="1"/>
    <col min="12549" max="12549" width="12.140625" style="2" customWidth="1"/>
    <col min="12550" max="12550" width="13.5703125" style="2" customWidth="1"/>
    <col min="12551" max="12551" width="14.140625" style="2" customWidth="1"/>
    <col min="12552" max="12552" width="18.5703125" style="2" customWidth="1"/>
    <col min="12553" max="12553" width="16.5703125" style="2" customWidth="1"/>
    <col min="12554" max="12554" width="17.5703125" style="2" customWidth="1"/>
    <col min="12555" max="12555" width="21.140625" style="2" bestFit="1" customWidth="1"/>
    <col min="12556" max="12556" width="9.140625" style="2" customWidth="1"/>
    <col min="12557" max="12557" width="25.140625" style="2" bestFit="1" customWidth="1"/>
    <col min="12558" max="12558" width="27.140625" style="2" customWidth="1"/>
    <col min="12559" max="12559" width="23.140625" style="2" customWidth="1"/>
    <col min="12560" max="12560" width="6" style="2" customWidth="1"/>
    <col min="12561" max="12561" width="22.7109375" style="2" bestFit="1" customWidth="1"/>
    <col min="12562" max="12801" width="9" style="2"/>
    <col min="12802" max="12802" width="11.42578125" style="2" customWidth="1"/>
    <col min="12803" max="12803" width="75.42578125" style="2" customWidth="1"/>
    <col min="12804" max="12804" width="7.5703125" style="2" customWidth="1"/>
    <col min="12805" max="12805" width="12.140625" style="2" customWidth="1"/>
    <col min="12806" max="12806" width="13.5703125" style="2" customWidth="1"/>
    <col min="12807" max="12807" width="14.140625" style="2" customWidth="1"/>
    <col min="12808" max="12808" width="18.5703125" style="2" customWidth="1"/>
    <col min="12809" max="12809" width="16.5703125" style="2" customWidth="1"/>
    <col min="12810" max="12810" width="17.5703125" style="2" customWidth="1"/>
    <col min="12811" max="12811" width="21.140625" style="2" bestFit="1" customWidth="1"/>
    <col min="12812" max="12812" width="9.140625" style="2" customWidth="1"/>
    <col min="12813" max="12813" width="25.140625" style="2" bestFit="1" customWidth="1"/>
    <col min="12814" max="12814" width="27.140625" style="2" customWidth="1"/>
    <col min="12815" max="12815" width="23.140625" style="2" customWidth="1"/>
    <col min="12816" max="12816" width="6" style="2" customWidth="1"/>
    <col min="12817" max="12817" width="22.7109375" style="2" bestFit="1" customWidth="1"/>
    <col min="12818" max="13057" width="9" style="2"/>
    <col min="13058" max="13058" width="11.42578125" style="2" customWidth="1"/>
    <col min="13059" max="13059" width="75.42578125" style="2" customWidth="1"/>
    <col min="13060" max="13060" width="7.5703125" style="2" customWidth="1"/>
    <col min="13061" max="13061" width="12.140625" style="2" customWidth="1"/>
    <col min="13062" max="13062" width="13.5703125" style="2" customWidth="1"/>
    <col min="13063" max="13063" width="14.140625" style="2" customWidth="1"/>
    <col min="13064" max="13064" width="18.5703125" style="2" customWidth="1"/>
    <col min="13065" max="13065" width="16.5703125" style="2" customWidth="1"/>
    <col min="13066" max="13066" width="17.5703125" style="2" customWidth="1"/>
    <col min="13067" max="13067" width="21.140625" style="2" bestFit="1" customWidth="1"/>
    <col min="13068" max="13068" width="9.140625" style="2" customWidth="1"/>
    <col min="13069" max="13069" width="25.140625" style="2" bestFit="1" customWidth="1"/>
    <col min="13070" max="13070" width="27.140625" style="2" customWidth="1"/>
    <col min="13071" max="13071" width="23.140625" style="2" customWidth="1"/>
    <col min="13072" max="13072" width="6" style="2" customWidth="1"/>
    <col min="13073" max="13073" width="22.7109375" style="2" bestFit="1" customWidth="1"/>
    <col min="13074" max="13313" width="9" style="2"/>
    <col min="13314" max="13314" width="11.42578125" style="2" customWidth="1"/>
    <col min="13315" max="13315" width="75.42578125" style="2" customWidth="1"/>
    <col min="13316" max="13316" width="7.5703125" style="2" customWidth="1"/>
    <col min="13317" max="13317" width="12.140625" style="2" customWidth="1"/>
    <col min="13318" max="13318" width="13.5703125" style="2" customWidth="1"/>
    <col min="13319" max="13319" width="14.140625" style="2" customWidth="1"/>
    <col min="13320" max="13320" width="18.5703125" style="2" customWidth="1"/>
    <col min="13321" max="13321" width="16.5703125" style="2" customWidth="1"/>
    <col min="13322" max="13322" width="17.5703125" style="2" customWidth="1"/>
    <col min="13323" max="13323" width="21.140625" style="2" bestFit="1" customWidth="1"/>
    <col min="13324" max="13324" width="9.140625" style="2" customWidth="1"/>
    <col min="13325" max="13325" width="25.140625" style="2" bestFit="1" customWidth="1"/>
    <col min="13326" max="13326" width="27.140625" style="2" customWidth="1"/>
    <col min="13327" max="13327" width="23.140625" style="2" customWidth="1"/>
    <col min="13328" max="13328" width="6" style="2" customWidth="1"/>
    <col min="13329" max="13329" width="22.7109375" style="2" bestFit="1" customWidth="1"/>
    <col min="13330" max="13569" width="9" style="2"/>
    <col min="13570" max="13570" width="11.42578125" style="2" customWidth="1"/>
    <col min="13571" max="13571" width="75.42578125" style="2" customWidth="1"/>
    <col min="13572" max="13572" width="7.5703125" style="2" customWidth="1"/>
    <col min="13573" max="13573" width="12.140625" style="2" customWidth="1"/>
    <col min="13574" max="13574" width="13.5703125" style="2" customWidth="1"/>
    <col min="13575" max="13575" width="14.140625" style="2" customWidth="1"/>
    <col min="13576" max="13576" width="18.5703125" style="2" customWidth="1"/>
    <col min="13577" max="13577" width="16.5703125" style="2" customWidth="1"/>
    <col min="13578" max="13578" width="17.5703125" style="2" customWidth="1"/>
    <col min="13579" max="13579" width="21.140625" style="2" bestFit="1" customWidth="1"/>
    <col min="13580" max="13580" width="9.140625" style="2" customWidth="1"/>
    <col min="13581" max="13581" width="25.140625" style="2" bestFit="1" customWidth="1"/>
    <col min="13582" max="13582" width="27.140625" style="2" customWidth="1"/>
    <col min="13583" max="13583" width="23.140625" style="2" customWidth="1"/>
    <col min="13584" max="13584" width="6" style="2" customWidth="1"/>
    <col min="13585" max="13585" width="22.7109375" style="2" bestFit="1" customWidth="1"/>
    <col min="13586" max="13825" width="9" style="2"/>
    <col min="13826" max="13826" width="11.42578125" style="2" customWidth="1"/>
    <col min="13827" max="13827" width="75.42578125" style="2" customWidth="1"/>
    <col min="13828" max="13828" width="7.5703125" style="2" customWidth="1"/>
    <col min="13829" max="13829" width="12.140625" style="2" customWidth="1"/>
    <col min="13830" max="13830" width="13.5703125" style="2" customWidth="1"/>
    <col min="13831" max="13831" width="14.140625" style="2" customWidth="1"/>
    <col min="13832" max="13832" width="18.5703125" style="2" customWidth="1"/>
    <col min="13833" max="13833" width="16.5703125" style="2" customWidth="1"/>
    <col min="13834" max="13834" width="17.5703125" style="2" customWidth="1"/>
    <col min="13835" max="13835" width="21.140625" style="2" bestFit="1" customWidth="1"/>
    <col min="13836" max="13836" width="9.140625" style="2" customWidth="1"/>
    <col min="13837" max="13837" width="25.140625" style="2" bestFit="1" customWidth="1"/>
    <col min="13838" max="13838" width="27.140625" style="2" customWidth="1"/>
    <col min="13839" max="13839" width="23.140625" style="2" customWidth="1"/>
    <col min="13840" max="13840" width="6" style="2" customWidth="1"/>
    <col min="13841" max="13841" width="22.7109375" style="2" bestFit="1" customWidth="1"/>
    <col min="13842" max="14081" width="9" style="2"/>
    <col min="14082" max="14082" width="11.42578125" style="2" customWidth="1"/>
    <col min="14083" max="14083" width="75.42578125" style="2" customWidth="1"/>
    <col min="14084" max="14084" width="7.5703125" style="2" customWidth="1"/>
    <col min="14085" max="14085" width="12.140625" style="2" customWidth="1"/>
    <col min="14086" max="14086" width="13.5703125" style="2" customWidth="1"/>
    <col min="14087" max="14087" width="14.140625" style="2" customWidth="1"/>
    <col min="14088" max="14088" width="18.5703125" style="2" customWidth="1"/>
    <col min="14089" max="14089" width="16.5703125" style="2" customWidth="1"/>
    <col min="14090" max="14090" width="17.5703125" style="2" customWidth="1"/>
    <col min="14091" max="14091" width="21.140625" style="2" bestFit="1" customWidth="1"/>
    <col min="14092" max="14092" width="9.140625" style="2" customWidth="1"/>
    <col min="14093" max="14093" width="25.140625" style="2" bestFit="1" customWidth="1"/>
    <col min="14094" max="14094" width="27.140625" style="2" customWidth="1"/>
    <col min="14095" max="14095" width="23.140625" style="2" customWidth="1"/>
    <col min="14096" max="14096" width="6" style="2" customWidth="1"/>
    <col min="14097" max="14097" width="22.7109375" style="2" bestFit="1" customWidth="1"/>
    <col min="14098" max="14337" width="9" style="2"/>
    <col min="14338" max="14338" width="11.42578125" style="2" customWidth="1"/>
    <col min="14339" max="14339" width="75.42578125" style="2" customWidth="1"/>
    <col min="14340" max="14340" width="7.5703125" style="2" customWidth="1"/>
    <col min="14341" max="14341" width="12.140625" style="2" customWidth="1"/>
    <col min="14342" max="14342" width="13.5703125" style="2" customWidth="1"/>
    <col min="14343" max="14343" width="14.140625" style="2" customWidth="1"/>
    <col min="14344" max="14344" width="18.5703125" style="2" customWidth="1"/>
    <col min="14345" max="14345" width="16.5703125" style="2" customWidth="1"/>
    <col min="14346" max="14346" width="17.5703125" style="2" customWidth="1"/>
    <col min="14347" max="14347" width="21.140625" style="2" bestFit="1" customWidth="1"/>
    <col min="14348" max="14348" width="9.140625" style="2" customWidth="1"/>
    <col min="14349" max="14349" width="25.140625" style="2" bestFit="1" customWidth="1"/>
    <col min="14350" max="14350" width="27.140625" style="2" customWidth="1"/>
    <col min="14351" max="14351" width="23.140625" style="2" customWidth="1"/>
    <col min="14352" max="14352" width="6" style="2" customWidth="1"/>
    <col min="14353" max="14353" width="22.7109375" style="2" bestFit="1" customWidth="1"/>
    <col min="14354" max="14593" width="9" style="2"/>
    <col min="14594" max="14594" width="11.42578125" style="2" customWidth="1"/>
    <col min="14595" max="14595" width="75.42578125" style="2" customWidth="1"/>
    <col min="14596" max="14596" width="7.5703125" style="2" customWidth="1"/>
    <col min="14597" max="14597" width="12.140625" style="2" customWidth="1"/>
    <col min="14598" max="14598" width="13.5703125" style="2" customWidth="1"/>
    <col min="14599" max="14599" width="14.140625" style="2" customWidth="1"/>
    <col min="14600" max="14600" width="18.5703125" style="2" customWidth="1"/>
    <col min="14601" max="14601" width="16.5703125" style="2" customWidth="1"/>
    <col min="14602" max="14602" width="17.5703125" style="2" customWidth="1"/>
    <col min="14603" max="14603" width="21.140625" style="2" bestFit="1" customWidth="1"/>
    <col min="14604" max="14604" width="9.140625" style="2" customWidth="1"/>
    <col min="14605" max="14605" width="25.140625" style="2" bestFit="1" customWidth="1"/>
    <col min="14606" max="14606" width="27.140625" style="2" customWidth="1"/>
    <col min="14607" max="14607" width="23.140625" style="2" customWidth="1"/>
    <col min="14608" max="14608" width="6" style="2" customWidth="1"/>
    <col min="14609" max="14609" width="22.7109375" style="2" bestFit="1" customWidth="1"/>
    <col min="14610" max="14849" width="9" style="2"/>
    <col min="14850" max="14850" width="11.42578125" style="2" customWidth="1"/>
    <col min="14851" max="14851" width="75.42578125" style="2" customWidth="1"/>
    <col min="14852" max="14852" width="7.5703125" style="2" customWidth="1"/>
    <col min="14853" max="14853" width="12.140625" style="2" customWidth="1"/>
    <col min="14854" max="14854" width="13.5703125" style="2" customWidth="1"/>
    <col min="14855" max="14855" width="14.140625" style="2" customWidth="1"/>
    <col min="14856" max="14856" width="18.5703125" style="2" customWidth="1"/>
    <col min="14857" max="14857" width="16.5703125" style="2" customWidth="1"/>
    <col min="14858" max="14858" width="17.5703125" style="2" customWidth="1"/>
    <col min="14859" max="14859" width="21.140625" style="2" bestFit="1" customWidth="1"/>
    <col min="14860" max="14860" width="9.140625" style="2" customWidth="1"/>
    <col min="14861" max="14861" width="25.140625" style="2" bestFit="1" customWidth="1"/>
    <col min="14862" max="14862" width="27.140625" style="2" customWidth="1"/>
    <col min="14863" max="14863" width="23.140625" style="2" customWidth="1"/>
    <col min="14864" max="14864" width="6" style="2" customWidth="1"/>
    <col min="14865" max="14865" width="22.7109375" style="2" bestFit="1" customWidth="1"/>
    <col min="14866" max="15105" width="9" style="2"/>
    <col min="15106" max="15106" width="11.42578125" style="2" customWidth="1"/>
    <col min="15107" max="15107" width="75.42578125" style="2" customWidth="1"/>
    <col min="15108" max="15108" width="7.5703125" style="2" customWidth="1"/>
    <col min="15109" max="15109" width="12.140625" style="2" customWidth="1"/>
    <col min="15110" max="15110" width="13.5703125" style="2" customWidth="1"/>
    <col min="15111" max="15111" width="14.140625" style="2" customWidth="1"/>
    <col min="15112" max="15112" width="18.5703125" style="2" customWidth="1"/>
    <col min="15113" max="15113" width="16.5703125" style="2" customWidth="1"/>
    <col min="15114" max="15114" width="17.5703125" style="2" customWidth="1"/>
    <col min="15115" max="15115" width="21.140625" style="2" bestFit="1" customWidth="1"/>
    <col min="15116" max="15116" width="9.140625" style="2" customWidth="1"/>
    <col min="15117" max="15117" width="25.140625" style="2" bestFit="1" customWidth="1"/>
    <col min="15118" max="15118" width="27.140625" style="2" customWidth="1"/>
    <col min="15119" max="15119" width="23.140625" style="2" customWidth="1"/>
    <col min="15120" max="15120" width="6" style="2" customWidth="1"/>
    <col min="15121" max="15121" width="22.7109375" style="2" bestFit="1" customWidth="1"/>
    <col min="15122" max="15361" width="9" style="2"/>
    <col min="15362" max="15362" width="11.42578125" style="2" customWidth="1"/>
    <col min="15363" max="15363" width="75.42578125" style="2" customWidth="1"/>
    <col min="15364" max="15364" width="7.5703125" style="2" customWidth="1"/>
    <col min="15365" max="15365" width="12.140625" style="2" customWidth="1"/>
    <col min="15366" max="15366" width="13.5703125" style="2" customWidth="1"/>
    <col min="15367" max="15367" width="14.140625" style="2" customWidth="1"/>
    <col min="15368" max="15368" width="18.5703125" style="2" customWidth="1"/>
    <col min="15369" max="15369" width="16.5703125" style="2" customWidth="1"/>
    <col min="15370" max="15370" width="17.5703125" style="2" customWidth="1"/>
    <col min="15371" max="15371" width="21.140625" style="2" bestFit="1" customWidth="1"/>
    <col min="15372" max="15372" width="9.140625" style="2" customWidth="1"/>
    <col min="15373" max="15373" width="25.140625" style="2" bestFit="1" customWidth="1"/>
    <col min="15374" max="15374" width="27.140625" style="2" customWidth="1"/>
    <col min="15375" max="15375" width="23.140625" style="2" customWidth="1"/>
    <col min="15376" max="15376" width="6" style="2" customWidth="1"/>
    <col min="15377" max="15377" width="22.7109375" style="2" bestFit="1" customWidth="1"/>
    <col min="15378" max="15617" width="9" style="2"/>
    <col min="15618" max="15618" width="11.42578125" style="2" customWidth="1"/>
    <col min="15619" max="15619" width="75.42578125" style="2" customWidth="1"/>
    <col min="15620" max="15620" width="7.5703125" style="2" customWidth="1"/>
    <col min="15621" max="15621" width="12.140625" style="2" customWidth="1"/>
    <col min="15622" max="15622" width="13.5703125" style="2" customWidth="1"/>
    <col min="15623" max="15623" width="14.140625" style="2" customWidth="1"/>
    <col min="15624" max="15624" width="18.5703125" style="2" customWidth="1"/>
    <col min="15625" max="15625" width="16.5703125" style="2" customWidth="1"/>
    <col min="15626" max="15626" width="17.5703125" style="2" customWidth="1"/>
    <col min="15627" max="15627" width="21.140625" style="2" bestFit="1" customWidth="1"/>
    <col min="15628" max="15628" width="9.140625" style="2" customWidth="1"/>
    <col min="15629" max="15629" width="25.140625" style="2" bestFit="1" customWidth="1"/>
    <col min="15630" max="15630" width="27.140625" style="2" customWidth="1"/>
    <col min="15631" max="15631" width="23.140625" style="2" customWidth="1"/>
    <col min="15632" max="15632" width="6" style="2" customWidth="1"/>
    <col min="15633" max="15633" width="22.7109375" style="2" bestFit="1" customWidth="1"/>
    <col min="15634" max="15873" width="9" style="2"/>
    <col min="15874" max="15874" width="11.42578125" style="2" customWidth="1"/>
    <col min="15875" max="15875" width="75.42578125" style="2" customWidth="1"/>
    <col min="15876" max="15876" width="7.5703125" style="2" customWidth="1"/>
    <col min="15877" max="15877" width="12.140625" style="2" customWidth="1"/>
    <col min="15878" max="15878" width="13.5703125" style="2" customWidth="1"/>
    <col min="15879" max="15879" width="14.140625" style="2" customWidth="1"/>
    <col min="15880" max="15880" width="18.5703125" style="2" customWidth="1"/>
    <col min="15881" max="15881" width="16.5703125" style="2" customWidth="1"/>
    <col min="15882" max="15882" width="17.5703125" style="2" customWidth="1"/>
    <col min="15883" max="15883" width="21.140625" style="2" bestFit="1" customWidth="1"/>
    <col min="15884" max="15884" width="9.140625" style="2" customWidth="1"/>
    <col min="15885" max="15885" width="25.140625" style="2" bestFit="1" customWidth="1"/>
    <col min="15886" max="15886" width="27.140625" style="2" customWidth="1"/>
    <col min="15887" max="15887" width="23.140625" style="2" customWidth="1"/>
    <col min="15888" max="15888" width="6" style="2" customWidth="1"/>
    <col min="15889" max="15889" width="22.7109375" style="2" bestFit="1" customWidth="1"/>
    <col min="15890" max="16129" width="9" style="2"/>
    <col min="16130" max="16130" width="11.42578125" style="2" customWidth="1"/>
    <col min="16131" max="16131" width="75.42578125" style="2" customWidth="1"/>
    <col min="16132" max="16132" width="7.5703125" style="2" customWidth="1"/>
    <col min="16133" max="16133" width="12.140625" style="2" customWidth="1"/>
    <col min="16134" max="16134" width="13.5703125" style="2" customWidth="1"/>
    <col min="16135" max="16135" width="14.140625" style="2" customWidth="1"/>
    <col min="16136" max="16136" width="18.5703125" style="2" customWidth="1"/>
    <col min="16137" max="16137" width="16.5703125" style="2" customWidth="1"/>
    <col min="16138" max="16138" width="17.5703125" style="2" customWidth="1"/>
    <col min="16139" max="16139" width="21.140625" style="2" bestFit="1" customWidth="1"/>
    <col min="16140" max="16140" width="9.140625" style="2" customWidth="1"/>
    <col min="16141" max="16141" width="25.140625" style="2" bestFit="1" customWidth="1"/>
    <col min="16142" max="16142" width="27.140625" style="2" customWidth="1"/>
    <col min="16143" max="16143" width="23.140625" style="2" customWidth="1"/>
    <col min="16144" max="16144" width="6" style="2" customWidth="1"/>
    <col min="16145" max="16145" width="22.7109375" style="2" bestFit="1" customWidth="1"/>
    <col min="16146" max="16384" width="9" style="2"/>
  </cols>
  <sheetData>
    <row r="1" spans="1:192" s="4" customFormat="1" ht="78.599999999999994" customHeight="1" thickTop="1" thickBot="1" x14ac:dyDescent="1.25">
      <c r="A1" s="1221" t="s">
        <v>0</v>
      </c>
      <c r="B1" s="1222"/>
      <c r="C1" s="1222" t="s">
        <v>800</v>
      </c>
      <c r="D1" s="1222"/>
      <c r="E1" s="1222"/>
      <c r="F1" s="1222"/>
      <c r="G1" s="1222"/>
      <c r="H1" s="1222"/>
      <c r="I1" s="1222"/>
      <c r="J1" s="1209" t="s">
        <v>813</v>
      </c>
      <c r="K1" s="1209"/>
      <c r="L1" s="1209"/>
      <c r="M1" s="1209"/>
      <c r="N1" s="1210"/>
      <c r="O1" s="281"/>
      <c r="P1" s="3" t="s">
        <v>1</v>
      </c>
      <c r="GA1" s="109"/>
      <c r="GB1" s="109"/>
      <c r="GE1" s="131"/>
      <c r="GF1" s="129"/>
    </row>
    <row r="2" spans="1:192" s="4" customFormat="1" ht="78.75" customHeight="1" x14ac:dyDescent="1.2">
      <c r="A2" s="1223"/>
      <c r="B2" s="1224"/>
      <c r="C2" s="1224" t="s">
        <v>224</v>
      </c>
      <c r="D2" s="1224"/>
      <c r="E2" s="1224"/>
      <c r="F2" s="1224"/>
      <c r="G2" s="1224"/>
      <c r="H2" s="1224"/>
      <c r="I2" s="1224"/>
      <c r="J2" s="1211"/>
      <c r="K2" s="1211"/>
      <c r="L2" s="1211"/>
      <c r="M2" s="1211"/>
      <c r="N2" s="1212"/>
      <c r="O2" s="5"/>
      <c r="P2" s="1204">
        <v>32</v>
      </c>
      <c r="GA2" s="109"/>
      <c r="GB2" s="109"/>
      <c r="GE2" s="131"/>
      <c r="GF2" s="129"/>
    </row>
    <row r="3" spans="1:192" s="4" customFormat="1" ht="78.75" customHeight="1" x14ac:dyDescent="1.2">
      <c r="A3" s="1223" t="s">
        <v>2</v>
      </c>
      <c r="B3" s="1224"/>
      <c r="C3" s="1224" t="s">
        <v>225</v>
      </c>
      <c r="D3" s="1224"/>
      <c r="E3" s="1224"/>
      <c r="F3" s="1224"/>
      <c r="G3" s="1224"/>
      <c r="H3" s="1224"/>
      <c r="I3" s="1224"/>
      <c r="J3" s="1211"/>
      <c r="K3" s="1211"/>
      <c r="L3" s="1211"/>
      <c r="M3" s="1211"/>
      <c r="N3" s="1212"/>
      <c r="O3" s="5"/>
      <c r="P3" s="1205"/>
      <c r="GA3" s="109"/>
      <c r="GB3" s="109"/>
      <c r="GE3" s="131"/>
      <c r="GF3" s="129"/>
    </row>
    <row r="4" spans="1:192" s="4" customFormat="1" ht="78.75" customHeight="1" thickBot="1" x14ac:dyDescent="1.25">
      <c r="A4" s="1223"/>
      <c r="B4" s="1224"/>
      <c r="C4" s="1224" t="s">
        <v>75</v>
      </c>
      <c r="D4" s="1224"/>
      <c r="E4" s="1224"/>
      <c r="F4" s="1224"/>
      <c r="G4" s="1224"/>
      <c r="H4" s="1224"/>
      <c r="I4" s="1225"/>
      <c r="J4" s="1211" t="s">
        <v>706</v>
      </c>
      <c r="K4" s="1211"/>
      <c r="L4" s="1211"/>
      <c r="M4" s="1211"/>
      <c r="N4" s="1212"/>
      <c r="O4" s="5"/>
      <c r="P4" s="1206"/>
      <c r="GA4" s="109"/>
      <c r="GB4" s="109"/>
      <c r="GE4" s="131"/>
      <c r="GF4" s="129"/>
    </row>
    <row r="5" spans="1:192" s="4" customFormat="1" ht="78.75" customHeight="1" x14ac:dyDescent="1.2">
      <c r="A5" s="1223" t="s">
        <v>3</v>
      </c>
      <c r="B5" s="1224"/>
      <c r="C5" s="1224" t="s">
        <v>155</v>
      </c>
      <c r="D5" s="1224"/>
      <c r="E5" s="1224"/>
      <c r="F5" s="1224"/>
      <c r="G5" s="1224"/>
      <c r="H5" s="1224"/>
      <c r="I5" s="1225"/>
      <c r="J5" s="1211"/>
      <c r="K5" s="1211"/>
      <c r="L5" s="1211"/>
      <c r="M5" s="1211"/>
      <c r="N5" s="1212"/>
      <c r="O5" s="5"/>
      <c r="GA5" s="109"/>
      <c r="GB5" s="109"/>
      <c r="GE5" s="131"/>
      <c r="GF5" s="129"/>
    </row>
    <row r="6" spans="1:192" s="4" customFormat="1" ht="78.75" customHeight="1" thickBot="1" x14ac:dyDescent="1.25">
      <c r="A6" s="1226"/>
      <c r="B6" s="1227"/>
      <c r="C6" s="1236" t="s">
        <v>230</v>
      </c>
      <c r="D6" s="1236"/>
      <c r="E6" s="1236"/>
      <c r="F6" s="1236"/>
      <c r="G6" s="1236"/>
      <c r="H6" s="1236"/>
      <c r="I6" s="1237"/>
      <c r="J6" s="1211" t="s">
        <v>756</v>
      </c>
      <c r="K6" s="1211"/>
      <c r="L6" s="1211"/>
      <c r="M6" s="1211"/>
      <c r="N6" s="1212"/>
      <c r="O6" s="6"/>
      <c r="GA6" s="109"/>
      <c r="GB6" s="109"/>
      <c r="GE6" s="131"/>
      <c r="GF6" s="129"/>
    </row>
    <row r="7" spans="1:192" s="282" customFormat="1" ht="120" customHeight="1" thickTop="1" x14ac:dyDescent="1.2">
      <c r="A7" s="1228" t="s">
        <v>315</v>
      </c>
      <c r="B7" s="1230" t="s">
        <v>5</v>
      </c>
      <c r="C7" s="1232" t="s">
        <v>6</v>
      </c>
      <c r="D7" s="1234" t="s">
        <v>7</v>
      </c>
      <c r="E7" s="1234" t="s">
        <v>8</v>
      </c>
      <c r="F7" s="1232" t="s">
        <v>9</v>
      </c>
      <c r="G7" s="1238" t="s">
        <v>10</v>
      </c>
      <c r="H7" s="1238"/>
      <c r="I7" s="1238"/>
      <c r="J7" s="582" t="s">
        <v>11</v>
      </c>
      <c r="K7" s="1213" t="s">
        <v>12</v>
      </c>
      <c r="L7" s="1215" t="s">
        <v>13</v>
      </c>
      <c r="M7" s="582" t="s">
        <v>14</v>
      </c>
      <c r="N7" s="1217" t="s">
        <v>15</v>
      </c>
      <c r="GA7" s="283"/>
      <c r="GB7" s="283"/>
      <c r="GE7" s="284"/>
      <c r="GF7" s="285"/>
    </row>
    <row r="8" spans="1:192" s="282" customFormat="1" ht="90" customHeight="1" thickBot="1" x14ac:dyDescent="1.25">
      <c r="A8" s="1229"/>
      <c r="B8" s="1231"/>
      <c r="C8" s="1233"/>
      <c r="D8" s="1235"/>
      <c r="E8" s="1235"/>
      <c r="F8" s="1233"/>
      <c r="G8" s="286" t="s">
        <v>16</v>
      </c>
      <c r="H8" s="286" t="s">
        <v>17</v>
      </c>
      <c r="I8" s="286" t="s">
        <v>18</v>
      </c>
      <c r="J8" s="583" t="s">
        <v>19</v>
      </c>
      <c r="K8" s="1214"/>
      <c r="L8" s="1216"/>
      <c r="M8" s="583" t="s">
        <v>19</v>
      </c>
      <c r="N8" s="1218"/>
      <c r="GA8" s="283"/>
      <c r="GB8" s="283"/>
      <c r="GD8" s="285" t="s">
        <v>559</v>
      </c>
      <c r="GE8" s="284"/>
      <c r="GF8" s="285"/>
    </row>
    <row r="9" spans="1:192" ht="130.15" customHeight="1" thickBot="1" x14ac:dyDescent="1.25">
      <c r="A9" s="593" t="s">
        <v>653</v>
      </c>
      <c r="B9" s="287" t="s">
        <v>656</v>
      </c>
      <c r="C9" s="577" t="s">
        <v>33</v>
      </c>
      <c r="D9" s="578">
        <v>24</v>
      </c>
      <c r="E9" s="578">
        <f>D9*54</f>
        <v>1296</v>
      </c>
      <c r="F9" s="578">
        <v>2000</v>
      </c>
      <c r="G9" s="288">
        <v>0</v>
      </c>
      <c r="H9" s="576">
        <f>I9-G9</f>
        <v>0</v>
      </c>
      <c r="I9" s="288">
        <v>0</v>
      </c>
      <c r="J9" s="576">
        <f>I9*F9</f>
        <v>0</v>
      </c>
      <c r="K9" s="289">
        <v>0.5</v>
      </c>
      <c r="L9" s="576">
        <f>J9*(1-K9)</f>
        <v>0</v>
      </c>
      <c r="M9" s="290">
        <f>J9-L9</f>
        <v>0</v>
      </c>
      <c r="N9" s="592"/>
      <c r="O9" s="159"/>
      <c r="GA9" s="110">
        <f>M9*0.97*0.75</f>
        <v>0</v>
      </c>
      <c r="GB9" s="155">
        <f t="shared" ref="GB9:GB12" si="0">M9*0.75*0.97</f>
        <v>0</v>
      </c>
      <c r="GC9" s="155"/>
      <c r="GD9" s="156"/>
      <c r="GF9" s="319"/>
      <c r="GG9" s="318"/>
      <c r="GH9" s="318"/>
      <c r="GI9" s="318"/>
      <c r="GJ9" s="318"/>
    </row>
    <row r="10" spans="1:192" ht="130.15" customHeight="1" thickBot="1" x14ac:dyDescent="1.25">
      <c r="A10" s="593" t="s">
        <v>654</v>
      </c>
      <c r="B10" s="287" t="s">
        <v>657</v>
      </c>
      <c r="C10" s="577" t="s">
        <v>33</v>
      </c>
      <c r="D10" s="578">
        <v>24</v>
      </c>
      <c r="E10" s="578">
        <f>54*D10</f>
        <v>1296</v>
      </c>
      <c r="F10" s="578">
        <v>1500</v>
      </c>
      <c r="G10" s="288">
        <v>0</v>
      </c>
      <c r="H10" s="576">
        <f>I10-G10</f>
        <v>0</v>
      </c>
      <c r="I10" s="288">
        <v>0</v>
      </c>
      <c r="J10" s="576">
        <f>I10*F10</f>
        <v>0</v>
      </c>
      <c r="K10" s="289">
        <v>0.5</v>
      </c>
      <c r="L10" s="576">
        <f>J10*(1-K10)</f>
        <v>0</v>
      </c>
      <c r="M10" s="290">
        <f>J10-L10</f>
        <v>0</v>
      </c>
      <c r="N10" s="592"/>
      <c r="O10" s="159"/>
      <c r="GA10" s="110">
        <f>M10*0.97*0.75</f>
        <v>0</v>
      </c>
      <c r="GB10" s="155">
        <f t="shared" si="0"/>
        <v>0</v>
      </c>
      <c r="GC10" s="155"/>
      <c r="GD10" s="156"/>
      <c r="GF10" s="319"/>
      <c r="GG10" s="318"/>
      <c r="GH10" s="318"/>
      <c r="GI10" s="318"/>
      <c r="GJ10" s="318"/>
    </row>
    <row r="11" spans="1:192" ht="130.15" customHeight="1" thickBot="1" x14ac:dyDescent="1.25">
      <c r="A11" s="593" t="s">
        <v>655</v>
      </c>
      <c r="B11" s="287" t="s">
        <v>658</v>
      </c>
      <c r="C11" s="577" t="s">
        <v>33</v>
      </c>
      <c r="D11" s="578">
        <v>24</v>
      </c>
      <c r="E11" s="578">
        <f>54*D11</f>
        <v>1296</v>
      </c>
      <c r="F11" s="578">
        <v>1400</v>
      </c>
      <c r="G11" s="288">
        <v>0</v>
      </c>
      <c r="H11" s="576">
        <f>I11-G11</f>
        <v>0</v>
      </c>
      <c r="I11" s="288">
        <v>0</v>
      </c>
      <c r="J11" s="576">
        <f>I11*F11</f>
        <v>0</v>
      </c>
      <c r="K11" s="289">
        <v>0.5</v>
      </c>
      <c r="L11" s="576">
        <f>J11*(1-K11)</f>
        <v>0</v>
      </c>
      <c r="M11" s="290">
        <f>J11-L11</f>
        <v>0</v>
      </c>
      <c r="N11" s="594"/>
      <c r="O11" s="159"/>
      <c r="GA11" s="110">
        <f>M11*0.97*0.75</f>
        <v>0</v>
      </c>
      <c r="GB11" s="155">
        <f t="shared" si="0"/>
        <v>0</v>
      </c>
      <c r="GC11" s="155"/>
      <c r="GD11" s="156"/>
      <c r="GF11" s="319"/>
      <c r="GG11" s="318"/>
      <c r="GH11" s="318"/>
      <c r="GI11" s="318"/>
      <c r="GJ11" s="318"/>
    </row>
    <row r="12" spans="1:192" ht="130.15" customHeight="1" thickBot="1" x14ac:dyDescent="1.25">
      <c r="A12" s="593" t="s">
        <v>740</v>
      </c>
      <c r="B12" s="287" t="s">
        <v>741</v>
      </c>
      <c r="C12" s="577" t="s">
        <v>22</v>
      </c>
      <c r="D12" s="578">
        <v>220</v>
      </c>
      <c r="E12" s="578">
        <f>D12*54</f>
        <v>11880</v>
      </c>
      <c r="F12" s="578">
        <v>140</v>
      </c>
      <c r="G12" s="288">
        <v>6600</v>
      </c>
      <c r="H12" s="576">
        <f>I12-G12</f>
        <v>0</v>
      </c>
      <c r="I12" s="288">
        <f>30*220</f>
        <v>6600</v>
      </c>
      <c r="J12" s="576">
        <f>I12*F12</f>
        <v>924000</v>
      </c>
      <c r="K12" s="289">
        <v>0.6</v>
      </c>
      <c r="L12" s="576">
        <f>J12*(1-K12)</f>
        <v>369600</v>
      </c>
      <c r="M12" s="290">
        <f>J12-L12</f>
        <v>554400</v>
      </c>
      <c r="N12" s="594"/>
      <c r="O12" s="159"/>
      <c r="GA12" s="110">
        <f>M12*0.97*0.75</f>
        <v>403326</v>
      </c>
      <c r="GB12" s="155">
        <f t="shared" si="0"/>
        <v>403326</v>
      </c>
      <c r="GC12" s="155"/>
      <c r="GD12" s="156"/>
      <c r="GF12" s="580"/>
      <c r="GG12" s="581"/>
      <c r="GH12" s="581"/>
      <c r="GI12" s="581"/>
      <c r="GJ12" s="581"/>
    </row>
    <row r="13" spans="1:192" ht="171" customHeight="1" thickBot="1" x14ac:dyDescent="0.3">
      <c r="A13" s="1242" t="s">
        <v>748</v>
      </c>
      <c r="B13" s="1243"/>
      <c r="C13" s="1243"/>
      <c r="D13" s="1243"/>
      <c r="E13" s="1243"/>
      <c r="F13" s="1243"/>
      <c r="G13" s="1243"/>
      <c r="H13" s="1243"/>
      <c r="I13" s="1243"/>
      <c r="J13" s="579">
        <f>SUM(J9:J12)</f>
        <v>924000</v>
      </c>
      <c r="K13" s="292"/>
      <c r="L13" s="293">
        <f>SUM(L9:L12)</f>
        <v>369600</v>
      </c>
      <c r="M13" s="293">
        <f>SUM(M9:M12)</f>
        <v>554400</v>
      </c>
      <c r="N13" s="595"/>
      <c r="GA13" s="110"/>
      <c r="GB13" s="155">
        <f>SUM(GB9:GB12)</f>
        <v>403326</v>
      </c>
      <c r="GC13" s="155"/>
      <c r="GD13" s="1185"/>
      <c r="GE13" s="1185"/>
      <c r="GF13" s="1185"/>
      <c r="GG13" s="1185"/>
      <c r="GH13" s="1185"/>
      <c r="GI13" s="1185"/>
      <c r="GJ13" s="1185"/>
    </row>
    <row r="14" spans="1:192" s="8" customFormat="1" ht="61.5" customHeight="1" x14ac:dyDescent="1.2">
      <c r="A14" s="1244" t="s">
        <v>24</v>
      </c>
      <c r="B14" s="1245"/>
      <c r="C14" s="1245"/>
      <c r="D14" s="1245"/>
      <c r="E14" s="1245"/>
      <c r="F14" s="1245"/>
      <c r="G14" s="1245"/>
      <c r="H14" s="596"/>
      <c r="I14" s="596"/>
      <c r="J14" s="597"/>
      <c r="K14" s="597"/>
      <c r="L14" s="597"/>
      <c r="M14" s="785"/>
      <c r="N14" s="599"/>
      <c r="O14" s="294"/>
      <c r="GA14" s="109"/>
      <c r="GB14" s="109"/>
      <c r="GD14" s="1185"/>
      <c r="GE14" s="1185"/>
      <c r="GF14" s="1185"/>
      <c r="GG14" s="1185"/>
      <c r="GH14" s="1185"/>
      <c r="GI14" s="1185"/>
      <c r="GJ14" s="1185"/>
    </row>
    <row r="15" spans="1:192" s="18" customFormat="1" ht="41.45" customHeight="1" x14ac:dyDescent="1.2">
      <c r="A15" s="600"/>
      <c r="B15" s="601"/>
      <c r="C15" s="1207" t="s">
        <v>480</v>
      </c>
      <c r="D15" s="1207"/>
      <c r="E15" s="1207"/>
      <c r="F15" s="1207"/>
      <c r="G15" s="1207"/>
      <c r="H15" s="1207"/>
      <c r="I15" s="1207"/>
      <c r="J15" s="1207"/>
      <c r="K15" s="1207"/>
      <c r="L15" s="1207"/>
      <c r="M15" s="1207"/>
      <c r="N15" s="1208"/>
      <c r="O15" s="294"/>
      <c r="P15" s="295"/>
      <c r="GA15" s="296"/>
      <c r="GB15" s="296"/>
      <c r="GD15" s="1185"/>
      <c r="GE15" s="1185"/>
      <c r="GF15" s="1185"/>
      <c r="GG15" s="1185"/>
      <c r="GH15" s="1185"/>
      <c r="GI15" s="1185"/>
      <c r="GJ15" s="1185"/>
    </row>
    <row r="16" spans="1:192" s="298" customFormat="1" ht="54" customHeight="1" x14ac:dyDescent="1.2">
      <c r="A16" s="602"/>
      <c r="B16" s="603"/>
      <c r="C16" s="604"/>
      <c r="D16" s="604"/>
      <c r="E16" s="604"/>
      <c r="F16" s="604"/>
      <c r="G16" s="605"/>
      <c r="H16" s="605"/>
      <c r="I16" s="605"/>
      <c r="J16" s="604"/>
      <c r="K16" s="606"/>
      <c r="L16" s="604"/>
      <c r="M16" s="604"/>
      <c r="N16" s="607"/>
      <c r="O16" s="17"/>
      <c r="P16" s="297"/>
      <c r="GA16" s="296"/>
      <c r="GB16" s="296"/>
      <c r="GD16" s="1185"/>
      <c r="GE16" s="1185"/>
      <c r="GF16" s="1185"/>
      <c r="GG16" s="1185"/>
      <c r="GH16" s="1185"/>
      <c r="GI16" s="1185"/>
      <c r="GJ16" s="1185"/>
    </row>
    <row r="17" spans="1:192" s="18" customFormat="1" ht="150" customHeight="1" x14ac:dyDescent="1.2">
      <c r="A17" s="1239" t="s">
        <v>27</v>
      </c>
      <c r="B17" s="1240"/>
      <c r="C17" s="1193" t="s">
        <v>61</v>
      </c>
      <c r="D17" s="1241"/>
      <c r="E17" s="1241"/>
      <c r="F17" s="1241"/>
      <c r="G17" s="1241"/>
      <c r="H17" s="1241"/>
      <c r="I17" s="1240"/>
      <c r="J17" s="1192" t="s">
        <v>62</v>
      </c>
      <c r="K17" s="1192"/>
      <c r="L17" s="1192"/>
      <c r="M17" s="1192"/>
      <c r="N17" s="1192"/>
      <c r="O17" s="7"/>
      <c r="P17" s="295"/>
      <c r="GA17" s="296"/>
      <c r="GB17" s="296"/>
      <c r="GD17" s="1185"/>
      <c r="GE17" s="1185"/>
      <c r="GF17" s="1185"/>
      <c r="GG17" s="1185"/>
      <c r="GH17" s="1185"/>
      <c r="GI17" s="1185"/>
      <c r="GJ17" s="1185"/>
    </row>
    <row r="18" spans="1:192" s="18" customFormat="1" ht="150" customHeight="1" x14ac:dyDescent="1.2">
      <c r="A18" s="1248" t="s">
        <v>754</v>
      </c>
      <c r="B18" s="1249"/>
      <c r="C18" s="1193" t="s">
        <v>28</v>
      </c>
      <c r="D18" s="1240"/>
      <c r="E18" s="1219" t="s">
        <v>63</v>
      </c>
      <c r="F18" s="1219"/>
      <c r="G18" s="1192" t="s">
        <v>557</v>
      </c>
      <c r="H18" s="1192"/>
      <c r="I18" s="1192"/>
      <c r="J18" s="774" t="s">
        <v>793</v>
      </c>
      <c r="K18" s="775" t="s">
        <v>512</v>
      </c>
      <c r="L18" s="1246" t="s">
        <v>795</v>
      </c>
      <c r="M18" s="1247"/>
      <c r="N18" s="760" t="s">
        <v>69</v>
      </c>
      <c r="O18" s="7"/>
      <c r="GA18" s="296"/>
      <c r="GB18" s="296"/>
      <c r="GD18" s="1185"/>
      <c r="GE18" s="1185"/>
      <c r="GF18" s="1185"/>
      <c r="GG18" s="1185"/>
      <c r="GH18" s="1185"/>
      <c r="GI18" s="1185"/>
      <c r="GJ18" s="1185"/>
    </row>
    <row r="19" spans="1:192" s="18" customFormat="1" ht="150" customHeight="1" x14ac:dyDescent="1.2">
      <c r="A19" s="1252" t="s">
        <v>805</v>
      </c>
      <c r="B19" s="1253"/>
      <c r="C19" s="1190" t="s">
        <v>707</v>
      </c>
      <c r="D19" s="1191"/>
      <c r="E19" s="1192" t="s">
        <v>515</v>
      </c>
      <c r="F19" s="1192"/>
      <c r="G19" s="1192" t="s">
        <v>152</v>
      </c>
      <c r="H19" s="1192"/>
      <c r="I19" s="1193"/>
      <c r="J19" s="776" t="s">
        <v>322</v>
      </c>
      <c r="K19" s="777" t="s">
        <v>794</v>
      </c>
      <c r="L19" s="1193" t="s">
        <v>796</v>
      </c>
      <c r="M19" s="1240"/>
      <c r="N19" s="761" t="s">
        <v>739</v>
      </c>
      <c r="O19" s="8"/>
      <c r="GA19" s="296"/>
      <c r="GB19" s="296"/>
      <c r="GD19" s="1185"/>
      <c r="GE19" s="1185"/>
      <c r="GF19" s="1185"/>
      <c r="GG19" s="1185"/>
      <c r="GH19" s="1185"/>
      <c r="GI19" s="1185"/>
      <c r="GJ19" s="1185"/>
    </row>
    <row r="20" spans="1:192" s="8" customFormat="1" ht="150" customHeight="1" x14ac:dyDescent="1.2">
      <c r="A20" s="1254" t="s">
        <v>753</v>
      </c>
      <c r="B20" s="1255"/>
      <c r="C20" s="147" t="s">
        <v>74</v>
      </c>
      <c r="D20" s="147"/>
      <c r="E20" s="608"/>
      <c r="F20" s="609"/>
      <c r="G20" s="147" t="s">
        <v>64</v>
      </c>
      <c r="H20" s="610"/>
      <c r="I20" s="608"/>
      <c r="J20" s="778" t="s">
        <v>64</v>
      </c>
      <c r="K20" s="608" t="s">
        <v>64</v>
      </c>
      <c r="L20" s="147" t="s">
        <v>70</v>
      </c>
      <c r="M20" s="779"/>
      <c r="N20" s="779" t="s">
        <v>70</v>
      </c>
      <c r="O20" s="7"/>
      <c r="GA20" s="109"/>
      <c r="GB20" s="109"/>
      <c r="GD20" s="1185"/>
      <c r="GE20" s="1185"/>
      <c r="GF20" s="1185"/>
      <c r="GG20" s="1185"/>
      <c r="GH20" s="1185"/>
      <c r="GI20" s="1185"/>
      <c r="GJ20" s="1185"/>
    </row>
    <row r="21" spans="1:192" s="10" customFormat="1" ht="150" customHeight="1" x14ac:dyDescent="0.8">
      <c r="A21" s="611"/>
      <c r="B21" s="612"/>
      <c r="C21" s="610"/>
      <c r="D21" s="610"/>
      <c r="E21" s="610"/>
      <c r="F21" s="610"/>
      <c r="G21" s="610"/>
      <c r="H21" s="610"/>
      <c r="I21" s="610"/>
      <c r="J21" s="1201"/>
      <c r="K21" s="1201"/>
      <c r="L21" s="780"/>
      <c r="M21" s="1202" t="s">
        <v>65</v>
      </c>
      <c r="N21" s="1202"/>
      <c r="O21" s="9"/>
      <c r="GA21" s="128"/>
      <c r="GB21" s="128"/>
      <c r="GD21" s="1185"/>
      <c r="GE21" s="1185"/>
      <c r="GF21" s="1185"/>
      <c r="GG21" s="1185"/>
      <c r="GH21" s="1185"/>
      <c r="GI21" s="1185"/>
      <c r="GJ21" s="1185"/>
    </row>
    <row r="22" spans="1:192" s="12" customFormat="1" ht="150" customHeight="1" x14ac:dyDescent="1.2">
      <c r="A22" s="611"/>
      <c r="B22" s="612"/>
      <c r="C22" s="610"/>
      <c r="D22" s="1179" t="s">
        <v>558</v>
      </c>
      <c r="E22" s="1179"/>
      <c r="F22" s="1179"/>
      <c r="G22" s="1179"/>
      <c r="H22" s="610"/>
      <c r="I22" s="610"/>
      <c r="J22" s="1180" t="s">
        <v>560</v>
      </c>
      <c r="K22" s="1181"/>
      <c r="L22" s="1182"/>
      <c r="M22" s="1183" t="s">
        <v>67</v>
      </c>
      <c r="N22" s="1220"/>
      <c r="O22" s="11"/>
      <c r="GA22" s="109"/>
      <c r="GB22" s="109"/>
      <c r="GD22" s="1185"/>
      <c r="GE22" s="1185"/>
      <c r="GF22" s="1185"/>
      <c r="GG22" s="1185"/>
      <c r="GH22" s="1185"/>
      <c r="GI22" s="1185"/>
      <c r="GJ22" s="1185"/>
    </row>
    <row r="23" spans="1:192" s="12" customFormat="1" ht="150" customHeight="1" x14ac:dyDescent="1.2">
      <c r="A23" s="613"/>
      <c r="B23" s="614"/>
      <c r="C23" s="615"/>
      <c r="D23" s="1179" t="s">
        <v>153</v>
      </c>
      <c r="E23" s="1179"/>
      <c r="F23" s="1179"/>
      <c r="G23" s="1179"/>
      <c r="H23" s="147"/>
      <c r="I23" s="610"/>
      <c r="J23" s="1180" t="s">
        <v>797</v>
      </c>
      <c r="K23" s="1181"/>
      <c r="L23" s="1182"/>
      <c r="M23" s="1250" t="s">
        <v>481</v>
      </c>
      <c r="N23" s="1251"/>
      <c r="O23" s="11"/>
      <c r="GA23" s="109"/>
      <c r="GB23" s="109"/>
      <c r="GD23" s="1185"/>
      <c r="GE23" s="1185"/>
      <c r="GF23" s="1185"/>
      <c r="GG23" s="1185"/>
      <c r="GH23" s="1185"/>
      <c r="GI23" s="1185"/>
      <c r="GJ23" s="1185"/>
    </row>
    <row r="24" spans="1:192" s="12" customFormat="1" ht="150" customHeight="1" x14ac:dyDescent="1.2">
      <c r="A24" s="613"/>
      <c r="B24" s="614"/>
      <c r="C24" s="615"/>
      <c r="D24" s="773"/>
      <c r="E24" s="773"/>
      <c r="F24" s="773"/>
      <c r="G24" s="773"/>
      <c r="H24" s="147"/>
      <c r="I24" s="610"/>
      <c r="J24" s="779" t="s">
        <v>231</v>
      </c>
      <c r="K24" s="781"/>
      <c r="L24" s="782"/>
      <c r="M24" s="783" t="s">
        <v>232</v>
      </c>
      <c r="N24" s="784"/>
      <c r="O24" s="11"/>
      <c r="GA24" s="109"/>
      <c r="GB24" s="109"/>
      <c r="GD24" s="759"/>
      <c r="GE24" s="759"/>
      <c r="GF24" s="759"/>
      <c r="GG24" s="759"/>
      <c r="GH24" s="759"/>
      <c r="GI24" s="759"/>
      <c r="GJ24" s="759"/>
    </row>
    <row r="25" spans="1:192" s="14" customFormat="1" ht="150" customHeight="1" thickBot="1" x14ac:dyDescent="0.85">
      <c r="A25" s="616"/>
      <c r="B25" s="617"/>
      <c r="C25" s="618"/>
      <c r="D25" s="619" t="s">
        <v>233</v>
      </c>
      <c r="E25" s="620"/>
      <c r="F25" s="621"/>
      <c r="G25" s="622"/>
      <c r="H25" s="621"/>
      <c r="I25" s="623"/>
      <c r="J25" s="779"/>
      <c r="K25" s="781"/>
      <c r="L25" s="782"/>
      <c r="M25" s="783"/>
      <c r="N25" s="784"/>
      <c r="O25" s="13"/>
      <c r="GA25" s="111"/>
      <c r="GB25" s="111"/>
      <c r="GD25" s="1185"/>
      <c r="GE25" s="1185"/>
      <c r="GF25" s="1185"/>
      <c r="GG25" s="1185"/>
      <c r="GH25" s="1185"/>
      <c r="GI25" s="1185"/>
      <c r="GJ25" s="1185"/>
    </row>
    <row r="26" spans="1:192" ht="165.75" customHeight="1" thickTop="1" thickBot="1" x14ac:dyDescent="1.25">
      <c r="A26" s="1256" t="s">
        <v>746</v>
      </c>
      <c r="B26" s="1257"/>
      <c r="C26" s="1257"/>
      <c r="D26" s="1257"/>
      <c r="E26" s="1257"/>
      <c r="F26" s="1257"/>
      <c r="G26" s="1257"/>
      <c r="H26" s="1257"/>
      <c r="I26" s="1258"/>
      <c r="J26" s="671">
        <f>J13</f>
        <v>924000</v>
      </c>
      <c r="K26" s="671"/>
      <c r="L26" s="671">
        <f>L13</f>
        <v>369600</v>
      </c>
      <c r="M26" s="671">
        <f>M13</f>
        <v>554400</v>
      </c>
      <c r="N26" s="671"/>
      <c r="O26" s="1"/>
      <c r="GD26" s="1185"/>
      <c r="GE26" s="1185"/>
      <c r="GF26" s="1185"/>
      <c r="GG26" s="1185"/>
      <c r="GH26" s="1185"/>
      <c r="GI26" s="1185"/>
      <c r="GJ26" s="1185"/>
    </row>
    <row r="27" spans="1:192" ht="165.75" customHeight="1" x14ac:dyDescent="1.2">
      <c r="A27" s="1259" t="s">
        <v>752</v>
      </c>
      <c r="B27" s="1260"/>
      <c r="C27" s="1260"/>
      <c r="D27" s="1260"/>
      <c r="E27" s="1260"/>
      <c r="F27" s="1260"/>
      <c r="G27" s="1260"/>
      <c r="H27" s="1260"/>
      <c r="I27" s="1261"/>
      <c r="J27" s="638"/>
      <c r="K27" s="299"/>
      <c r="L27" s="638"/>
      <c r="M27" s="638"/>
      <c r="N27" s="291"/>
      <c r="O27" s="15">
        <f>E27-I27</f>
        <v>0</v>
      </c>
      <c r="GB27" s="108">
        <f>M30*0.97*0.75</f>
        <v>612846</v>
      </c>
      <c r="GD27" s="1185"/>
      <c r="GE27" s="1185"/>
      <c r="GF27" s="1185"/>
      <c r="GG27" s="1185"/>
      <c r="GH27" s="1185"/>
      <c r="GI27" s="1185"/>
      <c r="GJ27" s="1185"/>
    </row>
    <row r="28" spans="1:192" ht="165.75" customHeight="1" x14ac:dyDescent="1.2">
      <c r="A28" s="634" t="s">
        <v>732</v>
      </c>
      <c r="B28" s="635" t="s">
        <v>747</v>
      </c>
      <c r="C28" s="636" t="s">
        <v>33</v>
      </c>
      <c r="D28" s="637">
        <v>4</v>
      </c>
      <c r="E28" s="637">
        <f>D28*54</f>
        <v>216</v>
      </c>
      <c r="F28" s="637">
        <v>7200</v>
      </c>
      <c r="G28" s="288">
        <v>0</v>
      </c>
      <c r="H28" s="638">
        <f>I28-G28</f>
        <v>0</v>
      </c>
      <c r="I28" s="288">
        <v>0</v>
      </c>
      <c r="J28" s="638">
        <f>I28*F28</f>
        <v>0</v>
      </c>
      <c r="K28" s="299">
        <v>0.5</v>
      </c>
      <c r="L28" s="638">
        <f>J28*( 1-K28)</f>
        <v>0</v>
      </c>
      <c r="M28" s="638">
        <f>J28-L28</f>
        <v>0</v>
      </c>
      <c r="N28" s="291"/>
      <c r="O28" s="16">
        <f t="shared" ref="O28" si="1">E28-I28</f>
        <v>216</v>
      </c>
      <c r="GA28" s="672">
        <f>M28*0.97*0.75</f>
        <v>0</v>
      </c>
      <c r="GD28" s="1185"/>
      <c r="GE28" s="1185"/>
      <c r="GF28" s="1185"/>
      <c r="GG28" s="1185"/>
      <c r="GH28" s="1185"/>
      <c r="GI28" s="1185"/>
      <c r="GJ28" s="1185"/>
    </row>
    <row r="29" spans="1:192" ht="165.75" customHeight="1" x14ac:dyDescent="1.2">
      <c r="A29" s="634" t="s">
        <v>763</v>
      </c>
      <c r="B29" s="635" t="s">
        <v>764</v>
      </c>
      <c r="C29" s="636" t="s">
        <v>765</v>
      </c>
      <c r="D29" s="637">
        <v>80</v>
      </c>
      <c r="E29" s="637">
        <f>54*D29</f>
        <v>4320</v>
      </c>
      <c r="F29" s="637">
        <v>160</v>
      </c>
      <c r="G29" s="288">
        <v>3000</v>
      </c>
      <c r="H29" s="638">
        <f>I29-G29</f>
        <v>0</v>
      </c>
      <c r="I29" s="288">
        <v>3000</v>
      </c>
      <c r="J29" s="638">
        <f>I29*F29</f>
        <v>480000</v>
      </c>
      <c r="K29" s="299">
        <v>0.6</v>
      </c>
      <c r="L29" s="638">
        <f>J29*( 1-K29)</f>
        <v>192000</v>
      </c>
      <c r="M29" s="638">
        <f>J29-L29</f>
        <v>288000</v>
      </c>
      <c r="N29" s="291"/>
      <c r="O29" s="16"/>
      <c r="GA29" s="672">
        <f>M29*0.97*0.75</f>
        <v>209520</v>
      </c>
      <c r="GD29" s="695"/>
      <c r="GE29" s="695"/>
      <c r="GF29" s="695"/>
      <c r="GG29" s="695"/>
      <c r="GH29" s="695"/>
      <c r="GI29" s="695"/>
      <c r="GJ29" s="695"/>
    </row>
    <row r="30" spans="1:192" ht="165.75" customHeight="1" x14ac:dyDescent="1.2">
      <c r="A30" s="1262" t="s">
        <v>749</v>
      </c>
      <c r="B30" s="1262"/>
      <c r="C30" s="1262"/>
      <c r="D30" s="633"/>
      <c r="E30" s="633"/>
      <c r="F30" s="633"/>
      <c r="G30" s="633"/>
      <c r="H30" s="633"/>
      <c r="I30" s="633"/>
      <c r="J30" s="633">
        <f>SUM(J26:J29)</f>
        <v>1404000</v>
      </c>
      <c r="K30" s="633"/>
      <c r="L30" s="633">
        <f>SUM(L26:L29)</f>
        <v>561600</v>
      </c>
      <c r="M30" s="633">
        <f>SUM(M26:M29)</f>
        <v>842400</v>
      </c>
      <c r="N30" s="633"/>
      <c r="O30" s="16"/>
      <c r="GA30" s="672">
        <f>SUM(GA2:GA29)</f>
        <v>612846</v>
      </c>
      <c r="GD30" s="1185"/>
      <c r="GE30" s="1185"/>
      <c r="GF30" s="1185"/>
      <c r="GG30" s="1185"/>
      <c r="GH30" s="1185"/>
      <c r="GI30" s="1185"/>
      <c r="GJ30" s="1185"/>
    </row>
    <row r="31" spans="1:192" s="677" customFormat="1" ht="150" customHeight="1" x14ac:dyDescent="0.75">
      <c r="A31" s="1263" t="s">
        <v>24</v>
      </c>
      <c r="B31" s="1264"/>
      <c r="C31" s="1264"/>
      <c r="D31" s="1264"/>
      <c r="E31" s="1264"/>
      <c r="F31" s="1264"/>
      <c r="G31" s="1264"/>
      <c r="H31" s="1264"/>
      <c r="I31" s="1264"/>
      <c r="J31" s="673"/>
      <c r="K31" s="673"/>
      <c r="L31" s="674"/>
      <c r="M31" s="673"/>
      <c r="N31" s="674"/>
      <c r="O31" s="674"/>
      <c r="P31" s="675"/>
      <c r="Q31" s="676"/>
    </row>
    <row r="32" spans="1:192" s="681" customFormat="1" ht="83.45" customHeight="1" x14ac:dyDescent="0.75">
      <c r="A32" s="678"/>
      <c r="B32" s="679" t="s">
        <v>25</v>
      </c>
      <c r="C32" s="679"/>
      <c r="D32" s="1265" t="s">
        <v>26</v>
      </c>
      <c r="E32" s="1265"/>
      <c r="F32" s="1265"/>
      <c r="G32" s="1265"/>
      <c r="H32" s="1265"/>
      <c r="I32" s="1265"/>
      <c r="J32" s="1265"/>
      <c r="K32" s="1265"/>
      <c r="L32" s="1265"/>
      <c r="M32" s="1265"/>
      <c r="N32" s="1265"/>
      <c r="O32" s="1265"/>
      <c r="P32" s="1266"/>
      <c r="Q32" s="676">
        <f>SUM(K12:K13)</f>
        <v>0.6</v>
      </c>
      <c r="R32" s="680"/>
    </row>
    <row r="33" spans="1:192" s="681" customFormat="1" ht="48" customHeight="1" x14ac:dyDescent="0.75">
      <c r="A33" s="682"/>
      <c r="B33" s="683"/>
      <c r="C33" s="683"/>
      <c r="D33" s="684"/>
      <c r="E33" s="684"/>
      <c r="F33" s="684"/>
      <c r="G33" s="684"/>
      <c r="H33" s="685"/>
      <c r="I33" s="684"/>
      <c r="J33" s="684"/>
      <c r="K33" s="684"/>
      <c r="L33" s="686"/>
      <c r="M33" s="684"/>
      <c r="N33" s="686"/>
      <c r="O33" s="686"/>
      <c r="P33" s="687"/>
      <c r="Q33" s="676"/>
      <c r="R33" s="680"/>
    </row>
    <row r="34" spans="1:192" s="8" customFormat="1" ht="61.5" customHeight="1" x14ac:dyDescent="1.2">
      <c r="A34" s="1244" t="s">
        <v>24</v>
      </c>
      <c r="B34" s="1245"/>
      <c r="C34" s="1245"/>
      <c r="D34" s="1245"/>
      <c r="E34" s="1245"/>
      <c r="F34" s="1245"/>
      <c r="G34" s="1245"/>
      <c r="H34" s="596"/>
      <c r="I34" s="596"/>
      <c r="J34" s="597"/>
      <c r="K34" s="597"/>
      <c r="L34" s="597"/>
      <c r="M34" s="598"/>
      <c r="N34" s="599"/>
      <c r="O34" s="294"/>
      <c r="GA34" s="109"/>
      <c r="GB34" s="109"/>
      <c r="GD34" s="1185"/>
      <c r="GE34" s="1185"/>
      <c r="GF34" s="1185"/>
      <c r="GG34" s="1185"/>
      <c r="GH34" s="1185"/>
      <c r="GI34" s="1185"/>
      <c r="GJ34" s="1185"/>
    </row>
    <row r="35" spans="1:192" s="18" customFormat="1" ht="41.45" customHeight="1" x14ac:dyDescent="1.2">
      <c r="A35" s="600"/>
      <c r="B35" s="601"/>
      <c r="C35" s="1207" t="s">
        <v>480</v>
      </c>
      <c r="D35" s="1207"/>
      <c r="E35" s="1207"/>
      <c r="F35" s="1207"/>
      <c r="G35" s="1207"/>
      <c r="H35" s="1207"/>
      <c r="I35" s="1207"/>
      <c r="J35" s="1207"/>
      <c r="K35" s="1207"/>
      <c r="L35" s="1207"/>
      <c r="M35" s="1207"/>
      <c r="N35" s="1208"/>
      <c r="O35" s="294"/>
      <c r="P35" s="295"/>
      <c r="GA35" s="296"/>
      <c r="GB35" s="296"/>
      <c r="GD35" s="1185"/>
      <c r="GE35" s="1185"/>
      <c r="GF35" s="1185"/>
      <c r="GG35" s="1185"/>
      <c r="GH35" s="1185"/>
      <c r="GI35" s="1185"/>
      <c r="GJ35" s="1185"/>
    </row>
    <row r="36" spans="1:192" s="298" customFormat="1" ht="54" customHeight="1" x14ac:dyDescent="1.2">
      <c r="A36" s="602"/>
      <c r="B36" s="603"/>
      <c r="C36" s="604"/>
      <c r="D36" s="604"/>
      <c r="E36" s="604"/>
      <c r="F36" s="604"/>
      <c r="G36" s="605"/>
      <c r="H36" s="605"/>
      <c r="I36" s="605"/>
      <c r="J36" s="604"/>
      <c r="K36" s="606"/>
      <c r="L36" s="604"/>
      <c r="M36" s="604"/>
      <c r="N36" s="607"/>
      <c r="O36" s="17"/>
      <c r="P36" s="297"/>
      <c r="GA36" s="296"/>
      <c r="GB36" s="296"/>
      <c r="GD36" s="1185"/>
      <c r="GE36" s="1185"/>
      <c r="GF36" s="1185"/>
      <c r="GG36" s="1185"/>
      <c r="GH36" s="1185"/>
      <c r="GI36" s="1185"/>
      <c r="GJ36" s="1185"/>
    </row>
    <row r="37" spans="1:192" s="18" customFormat="1" ht="150" customHeight="1" x14ac:dyDescent="1.2">
      <c r="A37" s="1239" t="s">
        <v>27</v>
      </c>
      <c r="B37" s="1240"/>
      <c r="C37" s="1193" t="s">
        <v>61</v>
      </c>
      <c r="D37" s="1241"/>
      <c r="E37" s="1241"/>
      <c r="F37" s="1241"/>
      <c r="G37" s="1241"/>
      <c r="H37" s="1241"/>
      <c r="I37" s="1240"/>
      <c r="J37" s="1195" t="s">
        <v>750</v>
      </c>
      <c r="K37" s="1196"/>
      <c r="L37" s="1196"/>
      <c r="M37" s="1196"/>
      <c r="N37" s="1197"/>
      <c r="O37" s="7"/>
      <c r="P37" s="295"/>
      <c r="GA37" s="296"/>
      <c r="GB37" s="296"/>
      <c r="GD37" s="1185"/>
      <c r="GE37" s="1185"/>
      <c r="GF37" s="1185"/>
      <c r="GG37" s="1185"/>
      <c r="GH37" s="1185"/>
      <c r="GI37" s="1185"/>
      <c r="GJ37" s="1185"/>
    </row>
    <row r="38" spans="1:192" s="18" customFormat="1" ht="150" customHeight="1" x14ac:dyDescent="1.2">
      <c r="A38" s="1248" t="s">
        <v>754</v>
      </c>
      <c r="B38" s="1249"/>
      <c r="C38" s="1193" t="s">
        <v>712</v>
      </c>
      <c r="D38" s="1240"/>
      <c r="E38" s="1219" t="s">
        <v>63</v>
      </c>
      <c r="F38" s="1219"/>
      <c r="G38" s="1192" t="s">
        <v>557</v>
      </c>
      <c r="H38" s="1192"/>
      <c r="I38" s="1192"/>
      <c r="J38" s="1198"/>
      <c r="K38" s="1199"/>
      <c r="L38" s="1199"/>
      <c r="M38" s="1199"/>
      <c r="N38" s="1200"/>
      <c r="O38" s="7"/>
      <c r="GA38" s="296"/>
      <c r="GB38" s="296"/>
      <c r="GD38" s="1185"/>
      <c r="GE38" s="1185"/>
      <c r="GF38" s="1185"/>
      <c r="GG38" s="1185"/>
      <c r="GH38" s="1185"/>
      <c r="GI38" s="1185"/>
      <c r="GJ38" s="1185"/>
    </row>
    <row r="39" spans="1:192" s="18" customFormat="1" ht="150" customHeight="1" x14ac:dyDescent="0.4">
      <c r="A39" s="1252" t="s">
        <v>805</v>
      </c>
      <c r="B39" s="1253"/>
      <c r="C39" s="1190" t="s">
        <v>707</v>
      </c>
      <c r="D39" s="1191"/>
      <c r="E39" s="1192" t="s">
        <v>515</v>
      </c>
      <c r="F39" s="1192"/>
      <c r="G39" s="1192" t="s">
        <v>152</v>
      </c>
      <c r="H39" s="1192"/>
      <c r="I39" s="1193"/>
      <c r="J39" s="1186" t="s">
        <v>804</v>
      </c>
      <c r="K39" s="1187"/>
      <c r="L39" s="1187"/>
      <c r="M39" s="1187"/>
      <c r="N39" s="1188"/>
      <c r="O39" s="8"/>
      <c r="GA39" s="1194" t="s">
        <v>806</v>
      </c>
      <c r="GB39" s="1194"/>
      <c r="GD39" s="1185"/>
      <c r="GE39" s="1185"/>
      <c r="GF39" s="1185"/>
      <c r="GG39" s="1185"/>
      <c r="GH39" s="1185"/>
      <c r="GI39" s="1185"/>
      <c r="GJ39" s="1185"/>
    </row>
    <row r="40" spans="1:192" s="8" customFormat="1" ht="150" customHeight="1" x14ac:dyDescent="0.8">
      <c r="A40" s="1254" t="s">
        <v>753</v>
      </c>
      <c r="B40" s="1255"/>
      <c r="C40" s="147" t="s">
        <v>74</v>
      </c>
      <c r="D40" s="147"/>
      <c r="E40" s="608"/>
      <c r="F40" s="609"/>
      <c r="G40" s="147" t="s">
        <v>64</v>
      </c>
      <c r="H40" s="610"/>
      <c r="I40" s="608"/>
      <c r="J40" s="688" t="s">
        <v>64</v>
      </c>
      <c r="K40" s="689" t="s">
        <v>30</v>
      </c>
      <c r="L40" s="1189" t="s">
        <v>276</v>
      </c>
      <c r="M40" s="1189"/>
      <c r="N40" s="690" t="s">
        <v>479</v>
      </c>
      <c r="O40" s="7"/>
      <c r="GA40" s="1194"/>
      <c r="GB40" s="1194"/>
      <c r="GD40" s="1185"/>
      <c r="GE40" s="1185"/>
      <c r="GF40" s="1185"/>
      <c r="GG40" s="1185"/>
      <c r="GH40" s="1185"/>
      <c r="GI40" s="1185"/>
      <c r="GJ40" s="1185"/>
    </row>
    <row r="41" spans="1:192" s="10" customFormat="1" ht="150" customHeight="1" x14ac:dyDescent="0.8">
      <c r="A41" s="611"/>
      <c r="B41" s="612"/>
      <c r="C41" s="610"/>
      <c r="D41" s="610"/>
      <c r="E41" s="610"/>
      <c r="F41" s="610"/>
      <c r="G41" s="610"/>
      <c r="H41" s="610"/>
      <c r="I41" s="610"/>
      <c r="J41" s="1201"/>
      <c r="K41" s="1201"/>
      <c r="L41" s="610"/>
      <c r="M41" s="1202" t="s">
        <v>65</v>
      </c>
      <c r="N41" s="1203"/>
      <c r="O41" s="9"/>
      <c r="GA41" s="1194"/>
      <c r="GB41" s="1194"/>
      <c r="GD41" s="1185"/>
      <c r="GE41" s="1185"/>
      <c r="GF41" s="1185"/>
      <c r="GG41" s="1185"/>
      <c r="GH41" s="1185"/>
      <c r="GI41" s="1185"/>
      <c r="GJ41" s="1185"/>
    </row>
    <row r="42" spans="1:192" s="12" customFormat="1" ht="150" customHeight="1" x14ac:dyDescent="1.2">
      <c r="A42" s="611"/>
      <c r="B42" s="612"/>
      <c r="C42" s="610"/>
      <c r="D42" s="1179" t="s">
        <v>558</v>
      </c>
      <c r="E42" s="1179"/>
      <c r="F42" s="1179"/>
      <c r="G42" s="1179"/>
      <c r="H42" s="610"/>
      <c r="I42" s="610"/>
      <c r="J42" s="1180" t="s">
        <v>66</v>
      </c>
      <c r="K42" s="1181"/>
      <c r="L42" s="1182"/>
      <c r="M42" s="1183" t="s">
        <v>67</v>
      </c>
      <c r="N42" s="1184"/>
      <c r="O42" s="11"/>
      <c r="GA42" s="109"/>
      <c r="GB42" s="109"/>
      <c r="GD42" s="1185"/>
      <c r="GE42" s="1185"/>
      <c r="GF42" s="1185"/>
      <c r="GG42" s="1185"/>
      <c r="GH42" s="1185"/>
      <c r="GI42" s="1185"/>
      <c r="GJ42" s="1185"/>
    </row>
    <row r="43" spans="1:192" s="12" customFormat="1" ht="150" customHeight="1" x14ac:dyDescent="1.2">
      <c r="A43" s="613"/>
      <c r="B43" s="614"/>
      <c r="C43" s="615"/>
      <c r="D43" s="1179" t="s">
        <v>153</v>
      </c>
      <c r="E43" s="1179"/>
      <c r="F43" s="1179"/>
      <c r="G43" s="1179"/>
      <c r="H43" s="147"/>
      <c r="I43" s="610"/>
      <c r="J43" s="1270" t="s">
        <v>803</v>
      </c>
      <c r="K43" s="1271"/>
      <c r="L43" s="1272"/>
      <c r="M43" s="1250" t="s">
        <v>481</v>
      </c>
      <c r="N43" s="1273"/>
      <c r="O43" s="11"/>
      <c r="GA43" s="109"/>
      <c r="GB43" s="109"/>
      <c r="GD43" s="1185"/>
      <c r="GE43" s="1185"/>
      <c r="GF43" s="1185"/>
      <c r="GG43" s="1185"/>
      <c r="GH43" s="1185"/>
      <c r="GI43" s="1185"/>
      <c r="GJ43" s="1185"/>
    </row>
    <row r="44" spans="1:192" s="14" customFormat="1" ht="190.15" customHeight="1" x14ac:dyDescent="0.25">
      <c r="A44" s="1267"/>
      <c r="B44" s="1268"/>
      <c r="C44" s="691"/>
      <c r="D44" s="1274" t="s">
        <v>751</v>
      </c>
      <c r="E44" s="1275"/>
      <c r="F44" s="1275"/>
      <c r="G44" s="1276"/>
      <c r="H44" s="1280"/>
      <c r="I44" s="1281"/>
      <c r="J44" s="1277" t="s">
        <v>64</v>
      </c>
      <c r="K44" s="1278"/>
      <c r="L44" s="1279"/>
      <c r="M44" s="1269" t="s">
        <v>64</v>
      </c>
      <c r="N44" s="1269"/>
      <c r="O44" s="13"/>
      <c r="GA44" s="111"/>
      <c r="GB44" s="111"/>
      <c r="GD44" s="1185"/>
      <c r="GE44" s="1185"/>
      <c r="GF44" s="1185"/>
      <c r="GG44" s="1185"/>
      <c r="GH44" s="1185"/>
      <c r="GI44" s="1185"/>
      <c r="GJ44" s="1185"/>
    </row>
    <row r="45" spans="1:192" x14ac:dyDescent="1.2">
      <c r="E45" s="302" t="s">
        <v>777</v>
      </c>
    </row>
  </sheetData>
  <sheetProtection formatCells="0"/>
  <mergeCells count="110">
    <mergeCell ref="A44:B44"/>
    <mergeCell ref="M44:N44"/>
    <mergeCell ref="GD36:GJ36"/>
    <mergeCell ref="GD37:GJ37"/>
    <mergeCell ref="GD38:GJ38"/>
    <mergeCell ref="GD27:GJ27"/>
    <mergeCell ref="GD28:GJ28"/>
    <mergeCell ref="GD30:GJ30"/>
    <mergeCell ref="GD43:GJ43"/>
    <mergeCell ref="GD44:GJ44"/>
    <mergeCell ref="D43:G43"/>
    <mergeCell ref="J43:L43"/>
    <mergeCell ref="M43:N43"/>
    <mergeCell ref="D44:G44"/>
    <mergeCell ref="J44:L44"/>
    <mergeCell ref="H44:I44"/>
    <mergeCell ref="A40:B40"/>
    <mergeCell ref="A37:B37"/>
    <mergeCell ref="C37:I37"/>
    <mergeCell ref="A38:B38"/>
    <mergeCell ref="C38:D38"/>
    <mergeCell ref="E38:F38"/>
    <mergeCell ref="G38:I38"/>
    <mergeCell ref="A39:B39"/>
    <mergeCell ref="GD34:GJ34"/>
    <mergeCell ref="GD35:GJ35"/>
    <mergeCell ref="D23:G23"/>
    <mergeCell ref="A26:I26"/>
    <mergeCell ref="A27:I27"/>
    <mergeCell ref="A30:C30"/>
    <mergeCell ref="A31:I31"/>
    <mergeCell ref="D32:P32"/>
    <mergeCell ref="A34:G34"/>
    <mergeCell ref="C35:N35"/>
    <mergeCell ref="GD19:GJ19"/>
    <mergeCell ref="A18:B18"/>
    <mergeCell ref="C18:D18"/>
    <mergeCell ref="J21:K21"/>
    <mergeCell ref="M21:N21"/>
    <mergeCell ref="GD14:GJ14"/>
    <mergeCell ref="GD26:GJ26"/>
    <mergeCell ref="J23:L23"/>
    <mergeCell ref="M23:N23"/>
    <mergeCell ref="GD23:GJ23"/>
    <mergeCell ref="GD25:GJ25"/>
    <mergeCell ref="A19:B19"/>
    <mergeCell ref="C19:D19"/>
    <mergeCell ref="E19:F19"/>
    <mergeCell ref="G19:I19"/>
    <mergeCell ref="L19:M19"/>
    <mergeCell ref="A20:B20"/>
    <mergeCell ref="J4:N5"/>
    <mergeCell ref="J6:N6"/>
    <mergeCell ref="A17:B17"/>
    <mergeCell ref="C17:I17"/>
    <mergeCell ref="J17:N17"/>
    <mergeCell ref="A13:I13"/>
    <mergeCell ref="A14:G14"/>
    <mergeCell ref="L18:M18"/>
    <mergeCell ref="GD18:GJ18"/>
    <mergeCell ref="A1:B2"/>
    <mergeCell ref="C1:I1"/>
    <mergeCell ref="A3:B4"/>
    <mergeCell ref="C3:I3"/>
    <mergeCell ref="C4:I4"/>
    <mergeCell ref="A5:B6"/>
    <mergeCell ref="A7:A8"/>
    <mergeCell ref="B7:B8"/>
    <mergeCell ref="C7:C8"/>
    <mergeCell ref="D7:D8"/>
    <mergeCell ref="E7:E8"/>
    <mergeCell ref="F7:F8"/>
    <mergeCell ref="C2:I2"/>
    <mergeCell ref="C6:I6"/>
    <mergeCell ref="G7:I7"/>
    <mergeCell ref="C5:I5"/>
    <mergeCell ref="J37:N38"/>
    <mergeCell ref="GD39:GJ39"/>
    <mergeCell ref="GD40:GJ40"/>
    <mergeCell ref="J41:K41"/>
    <mergeCell ref="M41:N41"/>
    <mergeCell ref="GD41:GJ41"/>
    <mergeCell ref="P2:P4"/>
    <mergeCell ref="C15:N15"/>
    <mergeCell ref="GD15:GJ15"/>
    <mergeCell ref="GD16:GJ16"/>
    <mergeCell ref="J1:N3"/>
    <mergeCell ref="K7:K8"/>
    <mergeCell ref="L7:L8"/>
    <mergeCell ref="N7:N8"/>
    <mergeCell ref="J22:L22"/>
    <mergeCell ref="E18:F18"/>
    <mergeCell ref="G18:I18"/>
    <mergeCell ref="GD17:GJ17"/>
    <mergeCell ref="GD13:GJ13"/>
    <mergeCell ref="D22:G22"/>
    <mergeCell ref="GD20:GJ20"/>
    <mergeCell ref="GD21:GJ21"/>
    <mergeCell ref="M22:N22"/>
    <mergeCell ref="GD22:GJ22"/>
    <mergeCell ref="D42:G42"/>
    <mergeCell ref="J42:L42"/>
    <mergeCell ref="M42:N42"/>
    <mergeCell ref="GD42:GJ42"/>
    <mergeCell ref="J39:N39"/>
    <mergeCell ref="L40:M40"/>
    <mergeCell ref="C39:D39"/>
    <mergeCell ref="E39:F39"/>
    <mergeCell ref="G39:I39"/>
    <mergeCell ref="GA39:GB41"/>
  </mergeCells>
  <phoneticPr fontId="55" type="noConversion"/>
  <printOptions horizontalCentered="1" verticalCentered="1"/>
  <pageMargins left="0.25" right="0.25" top="0.75" bottom="0.75" header="0.3" footer="0.3"/>
  <pageSetup paperSize="8" scale="17" fitToHeight="0" orientation="landscape" r:id="rId1"/>
  <rowBreaks count="1" manualBreakCount="1">
    <brk id="25" max="14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pageSetUpPr fitToPage="1"/>
  </sheetPr>
  <dimension ref="E8:J33"/>
  <sheetViews>
    <sheetView rightToLeft="1" workbookViewId="0"/>
  </sheetViews>
  <sheetFormatPr defaultRowHeight="15" x14ac:dyDescent="0.25"/>
  <cols>
    <col min="5" max="5" width="9.5703125" bestFit="1" customWidth="1"/>
    <col min="6" max="6" width="28.7109375" bestFit="1" customWidth="1"/>
    <col min="7" max="7" width="40" bestFit="1" customWidth="1"/>
    <col min="8" max="8" width="14.85546875" customWidth="1"/>
    <col min="9" max="9" width="14.42578125" bestFit="1" customWidth="1"/>
    <col min="10" max="10" width="24.42578125" bestFit="1" customWidth="1"/>
  </cols>
  <sheetData>
    <row r="8" spans="5:10" ht="23.25" x14ac:dyDescent="0.35">
      <c r="E8" s="1283" t="s">
        <v>389</v>
      </c>
      <c r="F8" s="1283"/>
      <c r="G8" s="1283"/>
      <c r="H8" s="1283"/>
      <c r="I8" s="1283"/>
      <c r="J8" s="1283"/>
    </row>
    <row r="9" spans="5:10" ht="21" x14ac:dyDescent="0.25">
      <c r="E9" s="123" t="s">
        <v>380</v>
      </c>
      <c r="F9" s="123" t="s">
        <v>315</v>
      </c>
      <c r="G9" s="123" t="s">
        <v>385</v>
      </c>
      <c r="H9" s="123" t="s">
        <v>383</v>
      </c>
      <c r="I9" s="123" t="s">
        <v>12</v>
      </c>
      <c r="J9" s="123" t="s">
        <v>384</v>
      </c>
    </row>
    <row r="10" spans="5:10" ht="21" x14ac:dyDescent="0.25">
      <c r="E10" s="125"/>
      <c r="F10" s="125" t="s">
        <v>407</v>
      </c>
      <c r="G10" s="125">
        <v>51120</v>
      </c>
      <c r="H10" s="125">
        <v>90</v>
      </c>
      <c r="I10" s="126">
        <v>0.05</v>
      </c>
      <c r="J10" s="125">
        <f>I10*H10*G10</f>
        <v>230040</v>
      </c>
    </row>
    <row r="11" spans="5:10" ht="21" x14ac:dyDescent="0.25">
      <c r="E11" s="120">
        <v>1</v>
      </c>
      <c r="F11" s="120" t="s">
        <v>381</v>
      </c>
      <c r="G11" s="120">
        <f>مستخلص!H21</f>
        <v>0</v>
      </c>
      <c r="H11" s="120">
        <f>مستخلص!F21</f>
        <v>5700</v>
      </c>
      <c r="I11" s="121">
        <v>0.98</v>
      </c>
      <c r="J11" s="122">
        <f>I11*H11*G11</f>
        <v>0</v>
      </c>
    </row>
    <row r="12" spans="5:10" ht="21" x14ac:dyDescent="0.25">
      <c r="E12" s="120">
        <v>2</v>
      </c>
      <c r="F12" s="120" t="s">
        <v>382</v>
      </c>
      <c r="G12" s="120">
        <f>مستخلص!H22</f>
        <v>0</v>
      </c>
      <c r="H12" s="120">
        <f>مستخلص!F22</f>
        <v>8450</v>
      </c>
      <c r="I12" s="121">
        <v>0.98</v>
      </c>
      <c r="J12" s="122">
        <f>I12*H12*G12</f>
        <v>0</v>
      </c>
    </row>
    <row r="13" spans="5:10" ht="21" x14ac:dyDescent="0.25">
      <c r="E13" s="120">
        <v>3</v>
      </c>
      <c r="F13" s="120" t="s">
        <v>390</v>
      </c>
      <c r="G13" s="120">
        <v>139</v>
      </c>
      <c r="H13" s="120">
        <v>810</v>
      </c>
      <c r="I13" s="121">
        <v>0.95</v>
      </c>
      <c r="J13" s="122">
        <f>I13*H13*G13</f>
        <v>106960.5</v>
      </c>
    </row>
    <row r="14" spans="5:10" ht="21" x14ac:dyDescent="0.25">
      <c r="E14" s="120">
        <v>4</v>
      </c>
      <c r="F14" s="120" t="s">
        <v>391</v>
      </c>
      <c r="G14" s="120">
        <v>2514</v>
      </c>
      <c r="H14" s="120">
        <v>85</v>
      </c>
      <c r="I14" s="121">
        <v>0.95</v>
      </c>
      <c r="J14" s="122">
        <f t="shared" ref="J14:J25" si="0">I14*H14*G14</f>
        <v>203005.5</v>
      </c>
    </row>
    <row r="15" spans="5:10" ht="21" x14ac:dyDescent="0.25">
      <c r="E15" s="120">
        <v>5</v>
      </c>
      <c r="F15" s="120" t="s">
        <v>392</v>
      </c>
      <c r="G15" s="120">
        <v>1396</v>
      </c>
      <c r="H15" s="120">
        <v>110</v>
      </c>
      <c r="I15" s="121">
        <v>0.95</v>
      </c>
      <c r="J15" s="122">
        <f t="shared" si="0"/>
        <v>145882</v>
      </c>
    </row>
    <row r="16" spans="5:10" ht="21" x14ac:dyDescent="0.25">
      <c r="E16" s="120">
        <v>6</v>
      </c>
      <c r="F16" s="120" t="s">
        <v>393</v>
      </c>
      <c r="G16" s="120">
        <v>3243</v>
      </c>
      <c r="H16" s="120">
        <v>50</v>
      </c>
      <c r="I16" s="121">
        <v>0.9</v>
      </c>
      <c r="J16" s="122">
        <f t="shared" si="0"/>
        <v>145935</v>
      </c>
    </row>
    <row r="17" spans="5:10" ht="21" x14ac:dyDescent="0.25">
      <c r="E17" s="120">
        <v>7</v>
      </c>
      <c r="F17" s="120" t="s">
        <v>394</v>
      </c>
      <c r="G17" s="120">
        <v>1339</v>
      </c>
      <c r="H17" s="120">
        <v>40</v>
      </c>
      <c r="I17" s="121">
        <v>0.9</v>
      </c>
      <c r="J17" s="122">
        <f t="shared" si="0"/>
        <v>48204</v>
      </c>
    </row>
    <row r="18" spans="5:10" ht="21" x14ac:dyDescent="0.25">
      <c r="E18" s="120">
        <v>8</v>
      </c>
      <c r="F18" s="120" t="s">
        <v>395</v>
      </c>
      <c r="G18" s="120">
        <v>2967</v>
      </c>
      <c r="H18" s="120">
        <v>100</v>
      </c>
      <c r="I18" s="121">
        <v>0.9</v>
      </c>
      <c r="J18" s="122">
        <f t="shared" si="0"/>
        <v>267030</v>
      </c>
    </row>
    <row r="19" spans="5:10" ht="21" x14ac:dyDescent="0.25">
      <c r="E19" s="120"/>
      <c r="F19" s="120" t="s">
        <v>396</v>
      </c>
      <c r="G19" s="120">
        <v>20</v>
      </c>
      <c r="H19" s="120">
        <v>3850</v>
      </c>
      <c r="I19" s="121">
        <v>0.2</v>
      </c>
      <c r="J19" s="122">
        <f t="shared" si="0"/>
        <v>15400</v>
      </c>
    </row>
    <row r="20" spans="5:10" ht="21" x14ac:dyDescent="0.25">
      <c r="E20" s="120"/>
      <c r="F20" s="120" t="s">
        <v>397</v>
      </c>
      <c r="G20" s="120">
        <v>60</v>
      </c>
      <c r="H20" s="120">
        <v>2300</v>
      </c>
      <c r="I20" s="121">
        <v>0.2</v>
      </c>
      <c r="J20" s="122">
        <f t="shared" si="0"/>
        <v>27600</v>
      </c>
    </row>
    <row r="21" spans="5:10" ht="21" x14ac:dyDescent="0.25">
      <c r="E21" s="120"/>
      <c r="F21" s="120" t="s">
        <v>398</v>
      </c>
      <c r="G21" s="120">
        <v>35</v>
      </c>
      <c r="H21" s="120">
        <v>23474</v>
      </c>
      <c r="I21" s="121">
        <v>0.95</v>
      </c>
      <c r="J21" s="122">
        <f t="shared" si="0"/>
        <v>780510.5</v>
      </c>
    </row>
    <row r="22" spans="5:10" ht="21" x14ac:dyDescent="0.25">
      <c r="E22" s="120"/>
      <c r="F22" s="120" t="s">
        <v>399</v>
      </c>
      <c r="G22" s="120">
        <v>2000</v>
      </c>
      <c r="H22" s="120">
        <v>208</v>
      </c>
      <c r="I22" s="121">
        <v>0.15</v>
      </c>
      <c r="J22" s="122">
        <f t="shared" si="0"/>
        <v>62400</v>
      </c>
    </row>
    <row r="23" spans="5:10" ht="21" x14ac:dyDescent="0.25">
      <c r="E23" s="120"/>
      <c r="F23" s="120" t="s">
        <v>400</v>
      </c>
      <c r="G23" s="120">
        <v>1500</v>
      </c>
      <c r="H23" s="120">
        <v>208</v>
      </c>
      <c r="I23" s="121">
        <v>0.15</v>
      </c>
      <c r="J23" s="122">
        <f t="shared" si="0"/>
        <v>46800</v>
      </c>
    </row>
    <row r="24" spans="5:10" ht="21" x14ac:dyDescent="0.25">
      <c r="E24" s="120"/>
      <c r="F24" s="120" t="s">
        <v>401</v>
      </c>
      <c r="G24" s="120">
        <v>1700</v>
      </c>
      <c r="H24" s="120">
        <v>208</v>
      </c>
      <c r="I24" s="121">
        <v>0.15</v>
      </c>
      <c r="J24" s="122">
        <f t="shared" si="0"/>
        <v>53040</v>
      </c>
    </row>
    <row r="25" spans="5:10" ht="21" x14ac:dyDescent="0.25">
      <c r="E25" s="120"/>
      <c r="F25" s="120" t="s">
        <v>402</v>
      </c>
      <c r="G25" s="120">
        <v>1400</v>
      </c>
      <c r="H25" s="120">
        <v>208</v>
      </c>
      <c r="I25" s="121">
        <v>0.15</v>
      </c>
      <c r="J25" s="122">
        <f t="shared" si="0"/>
        <v>43680</v>
      </c>
    </row>
    <row r="26" spans="5:10" ht="21" x14ac:dyDescent="0.25">
      <c r="E26" s="1282" t="s">
        <v>405</v>
      </c>
      <c r="F26" s="1282"/>
      <c r="G26" s="1282"/>
      <c r="H26" s="1282"/>
      <c r="I26" s="1282"/>
      <c r="J26" s="122">
        <f>SUM(J10:J25)</f>
        <v>2176487.5</v>
      </c>
    </row>
    <row r="27" spans="5:10" ht="21" x14ac:dyDescent="0.25">
      <c r="E27" s="1282" t="s">
        <v>403</v>
      </c>
      <c r="F27" s="1282"/>
      <c r="G27" s="1282"/>
      <c r="H27" s="1282"/>
      <c r="I27" s="1282"/>
      <c r="J27" s="124">
        <f>J26*0.97</f>
        <v>2111192.875</v>
      </c>
    </row>
    <row r="28" spans="5:10" ht="21" x14ac:dyDescent="0.25">
      <c r="E28" s="1282" t="s">
        <v>406</v>
      </c>
      <c r="F28" s="1282"/>
      <c r="G28" s="1282"/>
      <c r="H28" s="1282"/>
      <c r="I28" s="1282"/>
      <c r="J28" s="124">
        <v>296405.34999999998</v>
      </c>
    </row>
    <row r="29" spans="5:10" ht="21" x14ac:dyDescent="0.25">
      <c r="E29" s="1282" t="s">
        <v>404</v>
      </c>
      <c r="F29" s="1282"/>
      <c r="G29" s="1282"/>
      <c r="H29" s="1282"/>
      <c r="I29" s="1282"/>
      <c r="J29" s="124">
        <f>J28*0.97</f>
        <v>287513.18949999998</v>
      </c>
    </row>
    <row r="30" spans="5:10" ht="21" x14ac:dyDescent="0.25">
      <c r="E30" s="120">
        <v>1</v>
      </c>
      <c r="F30" s="120" t="s">
        <v>386</v>
      </c>
      <c r="G30" s="120">
        <v>-300</v>
      </c>
      <c r="H30" s="120">
        <v>28000</v>
      </c>
      <c r="I30" s="121">
        <v>0.75</v>
      </c>
      <c r="J30" s="122">
        <f>I30*H30*G30</f>
        <v>-6300000</v>
      </c>
    </row>
    <row r="31" spans="5:10" ht="21" x14ac:dyDescent="0.25">
      <c r="E31" s="120"/>
      <c r="F31" s="120"/>
      <c r="G31" s="120"/>
      <c r="H31" s="120"/>
      <c r="I31" s="120"/>
      <c r="J31" s="122"/>
    </row>
    <row r="32" spans="5:10" ht="21" x14ac:dyDescent="0.25">
      <c r="E32" s="1284" t="s">
        <v>387</v>
      </c>
      <c r="F32" s="1285"/>
      <c r="G32" s="1285"/>
      <c r="H32" s="1285"/>
      <c r="I32" s="1286"/>
      <c r="J32" s="122">
        <f>J26+J30+J29</f>
        <v>-3835999.3105000001</v>
      </c>
    </row>
    <row r="33" spans="5:10" ht="28.5" x14ac:dyDescent="0.25">
      <c r="E33" s="1287" t="s">
        <v>388</v>
      </c>
      <c r="F33" s="1288"/>
      <c r="G33" s="1288"/>
      <c r="H33" s="1288"/>
      <c r="I33" s="1289"/>
      <c r="J33" s="127">
        <f>'اجمالى تفصيلة '!C36</f>
        <v>-3502472.1181533784</v>
      </c>
    </row>
  </sheetData>
  <mergeCells count="7">
    <mergeCell ref="E26:I26"/>
    <mergeCell ref="E27:I27"/>
    <mergeCell ref="E8:J8"/>
    <mergeCell ref="E32:I32"/>
    <mergeCell ref="E33:I33"/>
    <mergeCell ref="E29:I29"/>
    <mergeCell ref="E28:I28"/>
  </mergeCells>
  <printOptions horizontalCentered="1" verticalCentered="1"/>
  <pageMargins left="0.7" right="0.7" top="0.75" bottom="0.75" header="0.3" footer="0.3"/>
  <pageSetup paperSize="9" scale="88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theme="4" tint="-0.249977111117893"/>
    <pageSetUpPr fitToPage="1"/>
  </sheetPr>
  <dimension ref="A1:AB178"/>
  <sheetViews>
    <sheetView rightToLeft="1" workbookViewId="0">
      <selection sqref="A1:D1"/>
    </sheetView>
  </sheetViews>
  <sheetFormatPr defaultColWidth="9.140625" defaultRowHeight="76.5" x14ac:dyDescent="1.1000000000000001"/>
  <cols>
    <col min="1" max="1" width="125.7109375" style="41" customWidth="1"/>
    <col min="2" max="2" width="112.140625" style="19" customWidth="1"/>
    <col min="3" max="3" width="104.5703125" style="19" customWidth="1"/>
    <col min="4" max="4" width="101.85546875" style="19" customWidth="1"/>
    <col min="5" max="5" width="78.140625" style="19" customWidth="1"/>
    <col min="6" max="6" width="12.85546875" style="19" bestFit="1" customWidth="1"/>
    <col min="7" max="7" width="81" style="19" customWidth="1"/>
    <col min="8" max="8" width="51" style="19" customWidth="1"/>
    <col min="9" max="9" width="59.28515625" style="19" bestFit="1" customWidth="1"/>
    <col min="10" max="10" width="9.140625" style="19"/>
    <col min="11" max="17" width="32.7109375" style="19" customWidth="1"/>
    <col min="18" max="21" width="16.7109375" style="19" customWidth="1"/>
    <col min="22" max="16384" width="9.140625" style="19"/>
  </cols>
  <sheetData>
    <row r="1" spans="1:28" ht="130.9" customHeight="1" thickTop="1" thickBot="1" x14ac:dyDescent="1.4">
      <c r="A1" s="1307" t="s">
        <v>338</v>
      </c>
      <c r="B1" s="1308"/>
      <c r="C1" s="1308"/>
      <c r="D1" s="1309"/>
      <c r="E1" s="107"/>
      <c r="F1" s="107"/>
      <c r="G1" s="107"/>
      <c r="H1" s="107"/>
      <c r="I1" s="107"/>
      <c r="J1" s="107"/>
    </row>
    <row r="2" spans="1:28" s="23" customFormat="1" ht="141.75" customHeight="1" thickTop="1" thickBot="1" x14ac:dyDescent="1.4">
      <c r="A2" s="20" t="s">
        <v>79</v>
      </c>
      <c r="B2" s="21" t="s">
        <v>16</v>
      </c>
      <c r="C2" s="21" t="s">
        <v>80</v>
      </c>
      <c r="D2" s="22" t="s">
        <v>81</v>
      </c>
      <c r="E2" s="107"/>
      <c r="F2" s="107"/>
      <c r="G2" s="107"/>
      <c r="H2" s="107"/>
      <c r="I2" s="107"/>
      <c r="J2" s="107"/>
    </row>
    <row r="3" spans="1:28" s="27" customFormat="1" ht="129.75" customHeight="1" thickTop="1" thickBot="1" x14ac:dyDescent="0.75">
      <c r="A3" s="20" t="s">
        <v>82</v>
      </c>
      <c r="B3" s="24">
        <v>0</v>
      </c>
      <c r="C3" s="24">
        <f>مستخلص!M200*0.97</f>
        <v>411190389.50849992</v>
      </c>
      <c r="D3" s="25">
        <f>'تفصيلة المستخلص'!J27</f>
        <v>2111192.875</v>
      </c>
      <c r="E3" s="26"/>
      <c r="I3" s="28"/>
    </row>
    <row r="4" spans="1:28" s="27" customFormat="1" ht="120" customHeight="1" thickTop="1" thickBot="1" x14ac:dyDescent="0.95">
      <c r="A4" s="20" t="s">
        <v>83</v>
      </c>
      <c r="B4" s="24">
        <v>0</v>
      </c>
      <c r="C4" s="24">
        <f>0.97*'كهرباء 54'!O38</f>
        <v>18242977.112999998</v>
      </c>
      <c r="D4" s="25">
        <f>'تفصيلة المستخلص'!J29</f>
        <v>287513.18949999998</v>
      </c>
      <c r="E4" s="26">
        <f>SUM(D3:D4)</f>
        <v>2398706.0644999999</v>
      </c>
      <c r="I4" s="29"/>
    </row>
    <row r="5" spans="1:28" s="27" customFormat="1" ht="120" customHeight="1" thickTop="1" thickBot="1" x14ac:dyDescent="0.75">
      <c r="A5" s="20" t="s">
        <v>84</v>
      </c>
      <c r="B5" s="24">
        <v>0</v>
      </c>
      <c r="C5" s="24">
        <f>تشوينات!GA13</f>
        <v>0</v>
      </c>
      <c r="D5" s="25">
        <f>'تفصيلة المستخلص'!J30</f>
        <v>-6300000</v>
      </c>
      <c r="E5" s="26">
        <f>C3+C5</f>
        <v>411190389.50849992</v>
      </c>
      <c r="H5" s="28"/>
      <c r="I5" s="28"/>
      <c r="N5" s="1304"/>
      <c r="O5" s="1304"/>
      <c r="P5" s="1304"/>
      <c r="Q5" s="1304"/>
      <c r="R5" s="1304"/>
      <c r="S5" s="1304"/>
      <c r="T5" s="1304"/>
      <c r="U5" s="1310"/>
      <c r="V5" s="1310"/>
      <c r="W5" s="1310"/>
      <c r="X5" s="1310"/>
      <c r="Y5" s="1310"/>
    </row>
    <row r="6" spans="1:28" s="27" customFormat="1" ht="120" customHeight="1" thickTop="1" thickBot="1" x14ac:dyDescent="0.95">
      <c r="A6" s="20" t="s">
        <v>85</v>
      </c>
      <c r="B6" s="30">
        <f>SUM(B3:B5)</f>
        <v>0</v>
      </c>
      <c r="C6" s="30">
        <f>C5+C4+C3</f>
        <v>429433366.6214999</v>
      </c>
      <c r="D6" s="31">
        <f>D3+D4+D5</f>
        <v>-3901293.9355000001</v>
      </c>
      <c r="E6" s="26"/>
      <c r="I6" s="28">
        <v>31931397</v>
      </c>
      <c r="N6" s="1304"/>
      <c r="O6" s="1304"/>
      <c r="P6" s="1304"/>
      <c r="Q6" s="1304"/>
      <c r="R6" s="1304"/>
      <c r="S6" s="1304"/>
      <c r="T6" s="1304"/>
      <c r="W6" s="1311"/>
      <c r="X6" s="1311"/>
      <c r="Y6" s="1311"/>
      <c r="Z6" s="1311"/>
      <c r="AA6" s="1311"/>
      <c r="AB6" s="1311"/>
    </row>
    <row r="7" spans="1:28" s="27" customFormat="1" ht="120" customHeight="1" thickTop="1" thickBot="1" x14ac:dyDescent="0.95">
      <c r="A7" s="1312" t="s">
        <v>86</v>
      </c>
      <c r="B7" s="1313"/>
      <c r="C7" s="1314"/>
      <c r="D7" s="32">
        <f>D3+D4</f>
        <v>2398706.0644999999</v>
      </c>
      <c r="E7" s="26"/>
      <c r="H7" s="28"/>
      <c r="I7" s="28"/>
      <c r="N7" s="33"/>
      <c r="O7" s="33"/>
      <c r="P7" s="33"/>
      <c r="Q7" s="33"/>
      <c r="R7" s="33"/>
      <c r="S7" s="33"/>
      <c r="T7" s="33"/>
      <c r="W7" s="34"/>
      <c r="X7" s="34"/>
      <c r="Y7" s="34"/>
      <c r="Z7" s="34"/>
      <c r="AA7" s="34"/>
      <c r="AB7" s="34"/>
    </row>
    <row r="8" spans="1:28" s="27" customFormat="1" ht="120" customHeight="1" thickTop="1" thickBot="1" x14ac:dyDescent="0.95">
      <c r="A8" s="1312" t="s">
        <v>163</v>
      </c>
      <c r="B8" s="1313"/>
      <c r="C8" s="1314"/>
      <c r="D8" s="32">
        <f>D7/1.05</f>
        <v>2284481.966190476</v>
      </c>
      <c r="E8" s="26">
        <f>D7*0.95</f>
        <v>2278770.7612749999</v>
      </c>
      <c r="H8" s="28"/>
      <c r="I8" s="28"/>
      <c r="N8" s="33"/>
      <c r="O8" s="33"/>
      <c r="P8" s="33"/>
      <c r="Q8" s="33"/>
      <c r="R8" s="33"/>
      <c r="S8" s="33"/>
      <c r="T8" s="33"/>
      <c r="W8" s="34"/>
      <c r="X8" s="34"/>
      <c r="Y8" s="34"/>
      <c r="Z8" s="34"/>
      <c r="AA8" s="34"/>
      <c r="AB8" s="34"/>
    </row>
    <row r="9" spans="1:28" s="27" customFormat="1" ht="120" customHeight="1" thickTop="1" thickBot="1" x14ac:dyDescent="0.95">
      <c r="A9" s="1312" t="s">
        <v>87</v>
      </c>
      <c r="B9" s="1313"/>
      <c r="C9" s="1314"/>
      <c r="D9" s="32">
        <f>D8+D5</f>
        <v>-4015518.033809524</v>
      </c>
      <c r="E9" s="26"/>
      <c r="H9" s="28"/>
      <c r="I9" s="28"/>
      <c r="N9" s="33"/>
      <c r="O9" s="33"/>
      <c r="P9" s="33"/>
      <c r="Q9" s="33"/>
      <c r="R9" s="33"/>
      <c r="S9" s="33"/>
      <c r="T9" s="33"/>
      <c r="W9" s="34"/>
      <c r="X9" s="34"/>
      <c r="Y9" s="34"/>
      <c r="Z9" s="34"/>
      <c r="AA9" s="34"/>
      <c r="AB9" s="34"/>
    </row>
    <row r="10" spans="1:28" s="27" customFormat="1" ht="120" customHeight="1" thickTop="1" thickBot="1" x14ac:dyDescent="0.95">
      <c r="A10" s="1312" t="s">
        <v>234</v>
      </c>
      <c r="B10" s="1313"/>
      <c r="C10" s="1314"/>
      <c r="D10" s="58">
        <f>D3+D4+D5</f>
        <v>-3901293.9355000001</v>
      </c>
      <c r="E10" s="26"/>
      <c r="H10" s="28"/>
      <c r="I10" s="28"/>
      <c r="N10" s="33"/>
      <c r="O10" s="33"/>
      <c r="P10" s="33"/>
      <c r="Q10" s="33"/>
      <c r="R10" s="33"/>
      <c r="S10" s="33"/>
      <c r="T10" s="33"/>
      <c r="W10" s="34"/>
      <c r="X10" s="34"/>
      <c r="Y10" s="34"/>
      <c r="Z10" s="34"/>
      <c r="AA10" s="34"/>
      <c r="AB10" s="34"/>
    </row>
    <row r="11" spans="1:28" ht="103.9" customHeight="1" thickTop="1" thickBot="1" x14ac:dyDescent="0.75">
      <c r="A11" s="35" t="s">
        <v>88</v>
      </c>
      <c r="B11" s="36" t="s">
        <v>89</v>
      </c>
      <c r="C11" s="1315" t="s">
        <v>90</v>
      </c>
      <c r="D11" s="1316"/>
      <c r="E11" s="26"/>
      <c r="H11" s="37"/>
      <c r="I11" s="1317">
        <v>47457350.899999999</v>
      </c>
      <c r="J11" s="1318"/>
      <c r="K11" s="1318"/>
      <c r="N11" s="1304"/>
      <c r="O11" s="1304"/>
      <c r="P11" s="1304"/>
      <c r="Q11" s="1304"/>
      <c r="R11" s="1304"/>
      <c r="S11" s="1304"/>
      <c r="T11" s="1304"/>
    </row>
    <row r="12" spans="1:28" ht="100.15" customHeight="1" thickTop="1" thickBot="1" x14ac:dyDescent="1.4">
      <c r="A12" s="38" t="s">
        <v>91</v>
      </c>
      <c r="B12" s="39">
        <v>0.05</v>
      </c>
      <c r="C12" s="1305">
        <f>B12*D7</f>
        <v>119935.303225</v>
      </c>
      <c r="D12" s="1306"/>
      <c r="E12" s="26"/>
      <c r="G12" s="105"/>
      <c r="H12" s="37"/>
      <c r="I12" s="37"/>
      <c r="N12" s="1304"/>
      <c r="O12" s="1304"/>
      <c r="P12" s="1304"/>
      <c r="Q12" s="1304"/>
      <c r="R12" s="1304"/>
      <c r="S12" s="1304"/>
      <c r="T12" s="1304"/>
    </row>
    <row r="13" spans="1:28" ht="100.15" customHeight="1" thickTop="1" thickBot="1" x14ac:dyDescent="0.75">
      <c r="A13" s="38" t="s">
        <v>92</v>
      </c>
      <c r="B13" s="112">
        <v>2.5686688497485802E-3</v>
      </c>
      <c r="C13" s="1302">
        <f>B13*D9</f>
        <v>-10314.536089050191</v>
      </c>
      <c r="D13" s="1303"/>
      <c r="E13" s="103">
        <v>46769.2</v>
      </c>
      <c r="G13" s="106">
        <f>E13/D9</f>
        <v>-1.1647114919225012E-2</v>
      </c>
      <c r="H13" s="104"/>
      <c r="I13" s="37"/>
      <c r="N13" s="1304"/>
      <c r="O13" s="1304"/>
      <c r="P13" s="1304"/>
      <c r="Q13" s="1304"/>
      <c r="R13" s="1304"/>
      <c r="S13" s="1304"/>
      <c r="T13" s="1304"/>
    </row>
    <row r="14" spans="1:28" ht="100.15" customHeight="1" thickTop="1" thickBot="1" x14ac:dyDescent="0.75">
      <c r="A14" s="38" t="s">
        <v>164</v>
      </c>
      <c r="B14" s="113">
        <v>6.0000000000000001E-3</v>
      </c>
      <c r="C14" s="1302">
        <f>B14*D9</f>
        <v>-24093.108202857144</v>
      </c>
      <c r="D14" s="1303"/>
      <c r="E14" s="26"/>
      <c r="G14" s="106"/>
      <c r="H14" s="104"/>
      <c r="I14" s="37"/>
      <c r="N14" s="1304"/>
      <c r="O14" s="1304"/>
      <c r="P14" s="1304"/>
      <c r="Q14" s="1304"/>
      <c r="R14" s="1304"/>
      <c r="S14" s="1304"/>
      <c r="T14" s="1304"/>
    </row>
    <row r="15" spans="1:28" ht="100.15" customHeight="1" thickTop="1" thickBot="1" x14ac:dyDescent="0.75">
      <c r="A15" s="38" t="s">
        <v>165</v>
      </c>
      <c r="B15" s="113">
        <v>1.7999999999999999E-2</v>
      </c>
      <c r="C15" s="1302">
        <f>B15*D9</f>
        <v>-72279.32460857142</v>
      </c>
      <c r="D15" s="1303"/>
      <c r="E15" s="26"/>
      <c r="H15" s="37"/>
      <c r="I15" s="37"/>
      <c r="N15" s="1304"/>
      <c r="O15" s="1304"/>
      <c r="P15" s="1304"/>
      <c r="Q15" s="1304"/>
      <c r="R15" s="1304"/>
      <c r="S15" s="1304"/>
      <c r="T15" s="1304"/>
    </row>
    <row r="16" spans="1:28" ht="100.15" customHeight="1" thickTop="1" thickBot="1" x14ac:dyDescent="0.75">
      <c r="A16" s="38" t="s">
        <v>93</v>
      </c>
      <c r="B16" s="113">
        <v>4.4999999999999997E-3</v>
      </c>
      <c r="C16" s="1302">
        <f>B16*D9</f>
        <v>-18069.831152142855</v>
      </c>
      <c r="D16" s="1303"/>
      <c r="E16" s="26"/>
      <c r="H16" s="37"/>
      <c r="I16" s="37"/>
      <c r="N16" s="1304"/>
      <c r="O16" s="1304"/>
      <c r="P16" s="1304"/>
      <c r="Q16" s="1304"/>
      <c r="R16" s="1304"/>
      <c r="S16" s="1304"/>
      <c r="T16" s="1304"/>
    </row>
    <row r="17" spans="1:20" ht="100.15" customHeight="1" thickTop="1" thickBot="1" x14ac:dyDescent="0.75">
      <c r="A17" s="38" t="s">
        <v>94</v>
      </c>
      <c r="B17" s="39">
        <v>0</v>
      </c>
      <c r="C17" s="1290">
        <v>0</v>
      </c>
      <c r="D17" s="1291"/>
      <c r="E17" s="26"/>
      <c r="H17" s="37"/>
      <c r="I17" s="37"/>
      <c r="N17" s="1304"/>
      <c r="O17" s="1304"/>
      <c r="P17" s="1304"/>
      <c r="Q17" s="1304"/>
      <c r="R17" s="1304"/>
      <c r="S17" s="1304"/>
      <c r="T17" s="1304"/>
    </row>
    <row r="18" spans="1:20" s="27" customFormat="1" ht="100.15" customHeight="1" thickTop="1" thickBot="1" x14ac:dyDescent="0.75">
      <c r="A18" s="40" t="s">
        <v>95</v>
      </c>
      <c r="B18" s="113">
        <v>2.1899999999999999E-2</v>
      </c>
      <c r="C18" s="1302">
        <f>B18*D9</f>
        <v>-87939.844940428578</v>
      </c>
      <c r="D18" s="1303"/>
      <c r="E18" s="26"/>
      <c r="I18" s="28"/>
      <c r="N18" s="1304"/>
      <c r="O18" s="1304"/>
      <c r="P18" s="1304"/>
      <c r="Q18" s="1304"/>
      <c r="R18" s="1304"/>
      <c r="S18" s="1304"/>
      <c r="T18" s="1304"/>
    </row>
    <row r="19" spans="1:20" s="27" customFormat="1" ht="100.15" customHeight="1" thickTop="1" thickBot="1" x14ac:dyDescent="0.75">
      <c r="A19" s="40" t="s">
        <v>96</v>
      </c>
      <c r="B19" s="39">
        <v>0</v>
      </c>
      <c r="C19" s="1290">
        <f>B19*D9</f>
        <v>0</v>
      </c>
      <c r="D19" s="1291"/>
      <c r="E19" s="26"/>
      <c r="I19" s="28"/>
      <c r="N19" s="1304"/>
      <c r="O19" s="1304"/>
      <c r="P19" s="1304"/>
      <c r="Q19" s="1304"/>
      <c r="R19" s="1304"/>
      <c r="S19" s="1304"/>
      <c r="T19" s="1304"/>
    </row>
    <row r="20" spans="1:20" s="27" customFormat="1" ht="100.15" customHeight="1" thickTop="1" thickBot="1" x14ac:dyDescent="0.75">
      <c r="A20" s="40" t="s">
        <v>97</v>
      </c>
      <c r="B20" s="39">
        <v>0.05</v>
      </c>
      <c r="C20" s="1290">
        <f>B20*D8</f>
        <v>114224.0983095238</v>
      </c>
      <c r="D20" s="1291"/>
      <c r="E20" s="26"/>
      <c r="I20" s="28"/>
      <c r="N20" s="1304"/>
      <c r="O20" s="1304"/>
      <c r="P20" s="1304"/>
      <c r="Q20" s="1304"/>
      <c r="R20" s="1304"/>
      <c r="S20" s="1304"/>
      <c r="T20" s="1304"/>
    </row>
    <row r="21" spans="1:20" s="27" customFormat="1" ht="100.15" customHeight="1" thickTop="1" thickBot="1" x14ac:dyDescent="0.75">
      <c r="A21" s="40" t="s">
        <v>98</v>
      </c>
      <c r="B21" s="39">
        <v>0</v>
      </c>
      <c r="C21" s="1290">
        <v>0</v>
      </c>
      <c r="D21" s="1291"/>
      <c r="I21" s="28"/>
      <c r="N21" s="28"/>
      <c r="O21" s="28"/>
      <c r="P21" s="28"/>
      <c r="Q21" s="28"/>
      <c r="R21" s="28"/>
      <c r="S21" s="28"/>
      <c r="T21" s="28"/>
    </row>
    <row r="22" spans="1:20" ht="100.15" customHeight="1" thickTop="1" thickBot="1" x14ac:dyDescent="0.75">
      <c r="A22" s="38" t="s">
        <v>99</v>
      </c>
      <c r="B22" s="39">
        <v>0.01</v>
      </c>
      <c r="C22" s="1290">
        <f>B22*D9</f>
        <v>-40155.180338095241</v>
      </c>
      <c r="D22" s="1291"/>
      <c r="I22" s="37"/>
      <c r="N22" s="37"/>
      <c r="O22" s="37"/>
      <c r="P22" s="37"/>
      <c r="Q22" s="37"/>
      <c r="R22" s="37"/>
      <c r="S22" s="37"/>
      <c r="T22" s="37"/>
    </row>
    <row r="23" spans="1:20" ht="100.15" customHeight="1" thickTop="1" thickBot="1" x14ac:dyDescent="0.75">
      <c r="A23" s="38" t="s">
        <v>100</v>
      </c>
      <c r="B23" s="39">
        <v>0</v>
      </c>
      <c r="C23" s="1290">
        <v>10000</v>
      </c>
      <c r="D23" s="1291"/>
      <c r="I23" s="37"/>
      <c r="N23" s="37"/>
      <c r="O23" s="37"/>
      <c r="P23" s="37"/>
      <c r="Q23" s="37"/>
      <c r="R23" s="37"/>
      <c r="S23" s="37"/>
      <c r="T23" s="37"/>
    </row>
    <row r="24" spans="1:20" ht="100.15" customHeight="1" thickTop="1" thickBot="1" x14ac:dyDescent="0.75">
      <c r="A24" s="38" t="s">
        <v>101</v>
      </c>
      <c r="B24" s="39">
        <v>0</v>
      </c>
      <c r="C24" s="1290">
        <v>0</v>
      </c>
      <c r="D24" s="1291"/>
      <c r="I24" s="37"/>
      <c r="N24" s="37"/>
      <c r="O24" s="37"/>
      <c r="P24" s="37"/>
      <c r="Q24" s="37"/>
      <c r="R24" s="37"/>
      <c r="S24" s="37"/>
      <c r="T24" s="37"/>
    </row>
    <row r="25" spans="1:20" ht="100.15" customHeight="1" thickTop="1" thickBot="1" x14ac:dyDescent="0.75">
      <c r="A25" s="38" t="s">
        <v>166</v>
      </c>
      <c r="B25" s="39">
        <v>0</v>
      </c>
      <c r="C25" s="1290">
        <v>0</v>
      </c>
      <c r="D25" s="1291"/>
      <c r="I25" s="37"/>
    </row>
    <row r="26" spans="1:20" ht="100.15" customHeight="1" thickTop="1" thickBot="1" x14ac:dyDescent="0.75">
      <c r="A26" s="38" t="s">
        <v>102</v>
      </c>
      <c r="B26" s="39">
        <v>0</v>
      </c>
      <c r="C26" s="1290">
        <v>0</v>
      </c>
      <c r="D26" s="1291"/>
      <c r="I26" s="37"/>
    </row>
    <row r="27" spans="1:20" ht="100.15" customHeight="1" thickTop="1" thickBot="1" x14ac:dyDescent="0.75">
      <c r="A27" s="38" t="s">
        <v>167</v>
      </c>
      <c r="B27" s="39">
        <v>0</v>
      </c>
      <c r="C27" s="1290">
        <v>0</v>
      </c>
      <c r="D27" s="1291"/>
      <c r="I27" s="37"/>
    </row>
    <row r="28" spans="1:20" s="27" customFormat="1" ht="100.15" customHeight="1" thickTop="1" thickBot="1" x14ac:dyDescent="0.75">
      <c r="A28" s="40" t="s">
        <v>168</v>
      </c>
      <c r="B28" s="39">
        <v>0</v>
      </c>
      <c r="C28" s="1290">
        <v>0</v>
      </c>
      <c r="D28" s="1291"/>
      <c r="I28" s="28"/>
    </row>
    <row r="29" spans="1:20" s="27" customFormat="1" ht="100.15" customHeight="1" thickTop="1" thickBot="1" x14ac:dyDescent="0.3">
      <c r="A29" s="40" t="s">
        <v>169</v>
      </c>
      <c r="B29" s="39">
        <v>0.1</v>
      </c>
      <c r="C29" s="1290">
        <f>0.1*D10</f>
        <v>-390129.39355000004</v>
      </c>
      <c r="D29" s="1291"/>
      <c r="E29" s="27">
        <v>0.15</v>
      </c>
    </row>
    <row r="30" spans="1:20" s="27" customFormat="1" ht="100.15" customHeight="1" thickTop="1" thickBot="1" x14ac:dyDescent="0.3">
      <c r="A30" s="40" t="s">
        <v>103</v>
      </c>
      <c r="B30" s="39">
        <v>0</v>
      </c>
      <c r="C30" s="1290">
        <v>0</v>
      </c>
      <c r="D30" s="1291"/>
      <c r="E30" s="27">
        <f>0.05*112720000</f>
        <v>5636000</v>
      </c>
    </row>
    <row r="31" spans="1:20" s="27" customFormat="1" ht="100.15" customHeight="1" thickTop="1" thickBot="1" x14ac:dyDescent="0.3">
      <c r="A31" s="40" t="s">
        <v>104</v>
      </c>
      <c r="B31" s="39">
        <v>0.1</v>
      </c>
      <c r="C31" s="1290">
        <v>0</v>
      </c>
      <c r="D31" s="1291"/>
    </row>
    <row r="32" spans="1:20" s="27" customFormat="1" ht="100.15" customHeight="1" thickTop="1" thickBot="1" x14ac:dyDescent="0.3">
      <c r="A32" s="40" t="s">
        <v>105</v>
      </c>
      <c r="B32" s="39">
        <v>0</v>
      </c>
      <c r="C32" s="1290">
        <v>0</v>
      </c>
      <c r="D32" s="1291"/>
      <c r="I32" s="27">
        <v>2</v>
      </c>
    </row>
    <row r="33" spans="1:8" s="27" customFormat="1" ht="100.15" customHeight="1" thickTop="1" thickBot="1" x14ac:dyDescent="0.3">
      <c r="A33" s="40" t="s">
        <v>106</v>
      </c>
      <c r="B33" s="39">
        <v>0</v>
      </c>
      <c r="C33" s="1290">
        <v>0</v>
      </c>
      <c r="D33" s="1291"/>
    </row>
    <row r="34" spans="1:8" ht="100.15" customHeight="1" thickTop="1" thickBot="1" x14ac:dyDescent="0.3">
      <c r="A34" s="38" t="s">
        <v>107</v>
      </c>
      <c r="B34" s="39">
        <v>0</v>
      </c>
      <c r="C34" s="1290">
        <v>0</v>
      </c>
      <c r="D34" s="1291"/>
    </row>
    <row r="35" spans="1:8" ht="140.44999999999999" customHeight="1" thickTop="1" thickBot="1" x14ac:dyDescent="0.3">
      <c r="A35" s="1292" t="s">
        <v>108</v>
      </c>
      <c r="B35" s="1293"/>
      <c r="C35" s="1294">
        <f>SUM(C12:D32)</f>
        <v>-398821.81734662165</v>
      </c>
      <c r="D35" s="1295"/>
    </row>
    <row r="36" spans="1:8" ht="77.45" customHeight="1" thickTop="1" thickBot="1" x14ac:dyDescent="0.3">
      <c r="A36" s="1292" t="s">
        <v>109</v>
      </c>
      <c r="B36" s="1293"/>
      <c r="C36" s="1298">
        <f>D6-C35</f>
        <v>-3502472.1181533784</v>
      </c>
      <c r="D36" s="1299"/>
    </row>
    <row r="37" spans="1:8" ht="94.5" customHeight="1" thickTop="1" thickBot="1" x14ac:dyDescent="0.3">
      <c r="A37" s="1292"/>
      <c r="B37" s="1293"/>
      <c r="C37" s="1298"/>
      <c r="D37" s="1299"/>
      <c r="E37" s="102" t="s">
        <v>313</v>
      </c>
      <c r="F37" s="101"/>
      <c r="G37" s="101"/>
      <c r="H37" s="101">
        <v>13154928.482818369</v>
      </c>
    </row>
    <row r="38" spans="1:8" ht="76.900000000000006" hidden="1" customHeight="1" thickBot="1" x14ac:dyDescent="0.3">
      <c r="A38" s="1296"/>
      <c r="B38" s="1297"/>
      <c r="C38" s="1300"/>
      <c r="D38" s="1301"/>
    </row>
    <row r="39" spans="1:8" ht="78" customHeight="1" thickTop="1" x14ac:dyDescent="1.1000000000000001"/>
    <row r="41" spans="1:8" ht="92.25" x14ac:dyDescent="1.35">
      <c r="B41" s="107"/>
      <c r="C41" s="107"/>
    </row>
    <row r="42" spans="1:8" ht="92.25" x14ac:dyDescent="1.35">
      <c r="B42" s="107"/>
      <c r="C42" s="107">
        <f>C36-H37</f>
        <v>-16657400.600971747</v>
      </c>
    </row>
    <row r="43" spans="1:8" ht="92.25" x14ac:dyDescent="1.35">
      <c r="B43" s="107"/>
      <c r="C43" s="107"/>
    </row>
    <row r="55" spans="1:1" s="27" customFormat="1" x14ac:dyDescent="1.1000000000000001">
      <c r="A55" s="42"/>
    </row>
    <row r="56" spans="1:1" s="27" customFormat="1" x14ac:dyDescent="1.1000000000000001">
      <c r="A56" s="42"/>
    </row>
    <row r="57" spans="1:1" s="27" customFormat="1" x14ac:dyDescent="1.1000000000000001">
      <c r="A57" s="42"/>
    </row>
    <row r="58" spans="1:1" s="27" customFormat="1" x14ac:dyDescent="1.1000000000000001">
      <c r="A58" s="42"/>
    </row>
    <row r="65" spans="1:1" s="27" customFormat="1" x14ac:dyDescent="1.1000000000000001">
      <c r="A65" s="42"/>
    </row>
    <row r="66" spans="1:1" s="27" customFormat="1" x14ac:dyDescent="1.1000000000000001">
      <c r="A66" s="42"/>
    </row>
    <row r="67" spans="1:1" s="27" customFormat="1" x14ac:dyDescent="1.1000000000000001">
      <c r="A67" s="42"/>
    </row>
    <row r="68" spans="1:1" s="27" customFormat="1" x14ac:dyDescent="1.1000000000000001">
      <c r="A68" s="42"/>
    </row>
    <row r="69" spans="1:1" s="27" customFormat="1" x14ac:dyDescent="1.1000000000000001">
      <c r="A69" s="42"/>
    </row>
    <row r="70" spans="1:1" s="27" customFormat="1" x14ac:dyDescent="1.1000000000000001">
      <c r="A70" s="42"/>
    </row>
    <row r="82" spans="1:5" ht="77.25" thickBot="1" x14ac:dyDescent="1.1499999999999999"/>
    <row r="83" spans="1:5" x14ac:dyDescent="1.1000000000000001">
      <c r="E83" s="43"/>
    </row>
    <row r="85" spans="1:5" ht="77.25" thickBot="1" x14ac:dyDescent="1.1499999999999999">
      <c r="E85" s="44"/>
    </row>
    <row r="87" spans="1:5" x14ac:dyDescent="1.1000000000000001">
      <c r="A87" s="41" t="s">
        <v>44</v>
      </c>
    </row>
    <row r="88" spans="1:5" x14ac:dyDescent="1.1000000000000001">
      <c r="A88" s="41" t="s">
        <v>45</v>
      </c>
    </row>
    <row r="89" spans="1:5" x14ac:dyDescent="1.1000000000000001">
      <c r="A89" s="41" t="s">
        <v>59</v>
      </c>
    </row>
    <row r="96" spans="1:5" s="27" customFormat="1" x14ac:dyDescent="1.1000000000000001">
      <c r="A96" s="42"/>
    </row>
    <row r="97" spans="1:1" s="27" customFormat="1" x14ac:dyDescent="1.1000000000000001">
      <c r="A97" s="42"/>
    </row>
    <row r="98" spans="1:1" s="27" customFormat="1" x14ac:dyDescent="1.1000000000000001">
      <c r="A98" s="42"/>
    </row>
    <row r="99" spans="1:1" s="27" customFormat="1" x14ac:dyDescent="1.1000000000000001">
      <c r="A99" s="42"/>
    </row>
    <row r="106" spans="1:1" s="27" customFormat="1" x14ac:dyDescent="1.1000000000000001">
      <c r="A106" s="42"/>
    </row>
    <row r="107" spans="1:1" s="27" customFormat="1" x14ac:dyDescent="1.1000000000000001">
      <c r="A107" s="42"/>
    </row>
    <row r="108" spans="1:1" s="27" customFormat="1" x14ac:dyDescent="1.1000000000000001">
      <c r="A108" s="42"/>
    </row>
    <row r="109" spans="1:1" s="27" customFormat="1" x14ac:dyDescent="1.1000000000000001">
      <c r="A109" s="42"/>
    </row>
    <row r="110" spans="1:1" s="27" customFormat="1" x14ac:dyDescent="1.1000000000000001">
      <c r="A110" s="42"/>
    </row>
    <row r="111" spans="1:1" s="27" customFormat="1" x14ac:dyDescent="1.1000000000000001">
      <c r="A111" s="42"/>
    </row>
    <row r="116" spans="1:5" ht="77.25" thickBot="1" x14ac:dyDescent="1.1499999999999999"/>
    <row r="117" spans="1:5" x14ac:dyDescent="1.1000000000000001">
      <c r="D117" s="45"/>
      <c r="E117" s="46"/>
    </row>
    <row r="118" spans="1:5" x14ac:dyDescent="1.1000000000000001">
      <c r="D118" s="45"/>
      <c r="E118" s="47"/>
    </row>
    <row r="119" spans="1:5" ht="77.25" thickBot="1" x14ac:dyDescent="1.1499999999999999">
      <c r="D119" s="45"/>
      <c r="E119" s="48"/>
    </row>
    <row r="120" spans="1:5" ht="82.5" customHeight="1" thickBot="1" x14ac:dyDescent="1.1000000000000001">
      <c r="A120" s="49" t="s">
        <v>60</v>
      </c>
      <c r="B120" s="49"/>
      <c r="C120" s="49"/>
      <c r="D120" s="49"/>
    </row>
    <row r="121" spans="1:5" x14ac:dyDescent="1.1000000000000001">
      <c r="E121" s="50"/>
    </row>
    <row r="122" spans="1:5" x14ac:dyDescent="1.1000000000000001">
      <c r="E122" s="51"/>
    </row>
    <row r="123" spans="1:5" x14ac:dyDescent="1.1000000000000001">
      <c r="E123" s="51"/>
    </row>
    <row r="124" spans="1:5" ht="77.25" thickBot="1" x14ac:dyDescent="1.1499999999999999">
      <c r="E124" s="52"/>
    </row>
    <row r="125" spans="1:5" ht="93.75" customHeight="1" thickBot="1" x14ac:dyDescent="1.1000000000000001">
      <c r="A125" s="49" t="s">
        <v>110</v>
      </c>
      <c r="B125" s="49"/>
      <c r="C125" s="49"/>
      <c r="D125" s="49"/>
      <c r="E125" s="47"/>
    </row>
    <row r="126" spans="1:5" x14ac:dyDescent="1.1000000000000001">
      <c r="E126" s="50"/>
    </row>
    <row r="127" spans="1:5" x14ac:dyDescent="1.1000000000000001">
      <c r="E127" s="51"/>
    </row>
    <row r="128" spans="1:5" x14ac:dyDescent="1.1000000000000001">
      <c r="E128" s="51"/>
    </row>
    <row r="129" spans="1:5" x14ac:dyDescent="1.1000000000000001">
      <c r="E129" s="51"/>
    </row>
    <row r="130" spans="1:5" ht="77.25" thickBot="1" x14ac:dyDescent="1.1499999999999999">
      <c r="E130" s="52"/>
    </row>
    <row r="132" spans="1:5" ht="124.5" customHeight="1" x14ac:dyDescent="1.1000000000000001"/>
    <row r="137" spans="1:5" s="27" customFormat="1" x14ac:dyDescent="1.1000000000000001">
      <c r="A137" s="42"/>
    </row>
    <row r="138" spans="1:5" s="27" customFormat="1" x14ac:dyDescent="1.1000000000000001">
      <c r="A138" s="42"/>
    </row>
    <row r="139" spans="1:5" s="27" customFormat="1" x14ac:dyDescent="1.1000000000000001">
      <c r="A139" s="42"/>
    </row>
    <row r="140" spans="1:5" s="27" customFormat="1" x14ac:dyDescent="1.1000000000000001">
      <c r="A140" s="42"/>
    </row>
    <row r="146" spans="1:5" s="27" customFormat="1" x14ac:dyDescent="1.1000000000000001">
      <c r="A146" s="42"/>
    </row>
    <row r="147" spans="1:5" s="27" customFormat="1" x14ac:dyDescent="1.1000000000000001">
      <c r="A147" s="42"/>
    </row>
    <row r="148" spans="1:5" s="27" customFormat="1" x14ac:dyDescent="1.1000000000000001">
      <c r="A148" s="42"/>
    </row>
    <row r="149" spans="1:5" s="27" customFormat="1" x14ac:dyDescent="1.1000000000000001">
      <c r="A149" s="42"/>
    </row>
    <row r="150" spans="1:5" s="27" customFormat="1" x14ac:dyDescent="1.1000000000000001">
      <c r="A150" s="42"/>
    </row>
    <row r="151" spans="1:5" s="27" customFormat="1" x14ac:dyDescent="1.1000000000000001">
      <c r="A151" s="42"/>
    </row>
    <row r="155" spans="1:5" ht="103.5" customHeight="1" x14ac:dyDescent="1.1000000000000001"/>
    <row r="156" spans="1:5" ht="77.25" thickBot="1" x14ac:dyDescent="1.1499999999999999">
      <c r="A156" s="41" t="s">
        <v>39</v>
      </c>
    </row>
    <row r="157" spans="1:5" ht="77.25" thickBot="1" x14ac:dyDescent="1.1499999999999999">
      <c r="E157" s="53"/>
    </row>
    <row r="158" spans="1:5" ht="77.25" thickBot="1" x14ac:dyDescent="1.1499999999999999">
      <c r="E158" s="49"/>
    </row>
    <row r="159" spans="1:5" ht="77.25" thickBot="1" x14ac:dyDescent="1.1499999999999999">
      <c r="E159" s="53"/>
    </row>
    <row r="160" spans="1:5" x14ac:dyDescent="1.1000000000000001">
      <c r="E160" s="49"/>
    </row>
    <row r="161" spans="1:5" ht="77.25" thickBot="1" x14ac:dyDescent="1.1499999999999999">
      <c r="E161" s="49"/>
    </row>
    <row r="162" spans="1:5" x14ac:dyDescent="1.1000000000000001">
      <c r="E162" s="54"/>
    </row>
    <row r="163" spans="1:5" ht="77.25" thickBot="1" x14ac:dyDescent="1.1499999999999999">
      <c r="E163" s="55"/>
    </row>
    <row r="164" spans="1:5" x14ac:dyDescent="1.1000000000000001">
      <c r="E164" s="54"/>
    </row>
    <row r="165" spans="1:5" ht="77.25" thickBot="1" x14ac:dyDescent="1.1499999999999999">
      <c r="E165" s="55"/>
    </row>
    <row r="166" spans="1:5" x14ac:dyDescent="1.1000000000000001">
      <c r="E166" s="54"/>
    </row>
    <row r="167" spans="1:5" ht="77.25" thickBot="1" x14ac:dyDescent="1.1499999999999999">
      <c r="E167" s="55"/>
    </row>
    <row r="168" spans="1:5" x14ac:dyDescent="1.1000000000000001">
      <c r="E168" s="54"/>
    </row>
    <row r="169" spans="1:5" ht="77.25" thickBot="1" x14ac:dyDescent="1.1499999999999999">
      <c r="E169" s="55"/>
    </row>
    <row r="170" spans="1:5" ht="77.25" thickBot="1" x14ac:dyDescent="1.1499999999999999">
      <c r="E170" s="49"/>
    </row>
    <row r="171" spans="1:5" ht="77.25" thickBot="1" x14ac:dyDescent="1.1499999999999999">
      <c r="E171" s="54"/>
    </row>
    <row r="172" spans="1:5" ht="180.75" customHeight="1" thickTop="1" thickBot="1" x14ac:dyDescent="1.4">
      <c r="A172" s="56"/>
      <c r="B172" s="57"/>
      <c r="C172" s="57"/>
      <c r="D172" s="57"/>
      <c r="E172" s="57"/>
    </row>
    <row r="173" spans="1:5" ht="77.25" thickTop="1" x14ac:dyDescent="1.1000000000000001"/>
    <row r="175" spans="1:5" s="27" customFormat="1" x14ac:dyDescent="1.1000000000000001">
      <c r="A175" s="42"/>
    </row>
    <row r="176" spans="1:5" s="27" customFormat="1" x14ac:dyDescent="1.1000000000000001">
      <c r="A176" s="42"/>
    </row>
    <row r="177" spans="1:1" s="27" customFormat="1" x14ac:dyDescent="1.1000000000000001">
      <c r="A177" s="42"/>
    </row>
    <row r="178" spans="1:1" s="27" customFormat="1" x14ac:dyDescent="1.1000000000000001">
      <c r="A178" s="42"/>
    </row>
  </sheetData>
  <mergeCells count="48">
    <mergeCell ref="N11:T11"/>
    <mergeCell ref="A1:D1"/>
    <mergeCell ref="N5:T5"/>
    <mergeCell ref="U5:Y5"/>
    <mergeCell ref="N6:T6"/>
    <mergeCell ref="W6:AB6"/>
    <mergeCell ref="A7:C7"/>
    <mergeCell ref="A8:C8"/>
    <mergeCell ref="A9:C9"/>
    <mergeCell ref="A10:C10"/>
    <mergeCell ref="C11:D11"/>
    <mergeCell ref="I11:K11"/>
    <mergeCell ref="C12:D12"/>
    <mergeCell ref="N12:T12"/>
    <mergeCell ref="C13:D13"/>
    <mergeCell ref="N13:T13"/>
    <mergeCell ref="C14:D14"/>
    <mergeCell ref="N14:T14"/>
    <mergeCell ref="C15:D15"/>
    <mergeCell ref="N15:T15"/>
    <mergeCell ref="C16:D16"/>
    <mergeCell ref="N16:T16"/>
    <mergeCell ref="C17:D17"/>
    <mergeCell ref="N17:T17"/>
    <mergeCell ref="C18:D18"/>
    <mergeCell ref="N18:T18"/>
    <mergeCell ref="C19:D19"/>
    <mergeCell ref="N19:T19"/>
    <mergeCell ref="C20:D20"/>
    <mergeCell ref="N20:T20"/>
    <mergeCell ref="C32:D32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3:D33"/>
    <mergeCell ref="C34:D34"/>
    <mergeCell ref="A35:B35"/>
    <mergeCell ref="C35:D35"/>
    <mergeCell ref="A36:B38"/>
    <mergeCell ref="C36:D38"/>
  </mergeCells>
  <printOptions horizontalCentered="1" verticalCentered="1"/>
  <pageMargins left="0" right="0" top="0.31496062992125984" bottom="0" header="0" footer="0"/>
  <pageSetup paperSize="9" scale="2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theme="5" tint="-0.499984740745262"/>
    <pageSetUpPr fitToPage="1"/>
  </sheetPr>
  <dimension ref="B1:Y51"/>
  <sheetViews>
    <sheetView rightToLeft="1" view="pageBreakPreview" topLeftCell="A24" zoomScale="60" zoomScaleNormal="100" workbookViewId="0">
      <selection activeCell="S40" sqref="S40"/>
    </sheetView>
  </sheetViews>
  <sheetFormatPr defaultRowHeight="15" x14ac:dyDescent="0.25"/>
  <cols>
    <col min="1" max="1" width="3" style="114" customWidth="1"/>
    <col min="2" max="2" width="13.85546875" style="114" customWidth="1"/>
    <col min="3" max="3" width="7.28515625" style="114" customWidth="1"/>
    <col min="4" max="4" width="8.42578125" style="114" customWidth="1"/>
    <col min="5" max="5" width="10.42578125" style="114" customWidth="1"/>
    <col min="6" max="6" width="9.28515625" style="114" customWidth="1"/>
    <col min="7" max="7" width="6.5703125" style="114" customWidth="1"/>
    <col min="8" max="8" width="9.7109375" style="114" customWidth="1"/>
    <col min="9" max="9" width="2.85546875" style="114" customWidth="1"/>
    <col min="10" max="10" width="12.28515625" style="114" customWidth="1"/>
    <col min="11" max="11" width="7.5703125" style="114" customWidth="1"/>
    <col min="12" max="12" width="10.42578125" style="114" customWidth="1"/>
    <col min="13" max="13" width="7.140625" style="114" customWidth="1"/>
    <col min="14" max="14" width="5.5703125" style="114" customWidth="1"/>
    <col min="15" max="16" width="6.5703125" style="114" customWidth="1"/>
    <col min="17" max="17" width="14.140625" style="114" customWidth="1"/>
    <col min="18" max="18" width="2.28515625" style="114" customWidth="1"/>
    <col min="19" max="19" width="33" style="114" customWidth="1"/>
    <col min="20" max="20" width="25.28515625" style="114" customWidth="1"/>
    <col min="21" max="21" width="12.140625" style="114" bestFit="1" customWidth="1"/>
    <col min="22" max="22" width="8.85546875" style="114"/>
    <col min="23" max="23" width="11.140625" style="114" bestFit="1" customWidth="1"/>
    <col min="24" max="24" width="8.85546875" style="114"/>
    <col min="25" max="25" width="15.7109375" style="114" customWidth="1"/>
    <col min="26" max="256" width="8.85546875" style="114"/>
    <col min="257" max="257" width="3" style="114" customWidth="1"/>
    <col min="258" max="258" width="13.85546875" style="114" customWidth="1"/>
    <col min="259" max="259" width="7.28515625" style="114" customWidth="1"/>
    <col min="260" max="260" width="8.42578125" style="114" customWidth="1"/>
    <col min="261" max="261" width="6.5703125" style="114" customWidth="1"/>
    <col min="262" max="262" width="6.7109375" style="114" customWidth="1"/>
    <col min="263" max="263" width="6.5703125" style="114" customWidth="1"/>
    <col min="264" max="264" width="9.7109375" style="114" customWidth="1"/>
    <col min="265" max="265" width="2.85546875" style="114" customWidth="1"/>
    <col min="266" max="266" width="7.140625" style="114" customWidth="1"/>
    <col min="267" max="267" width="6.7109375" style="114" customWidth="1"/>
    <col min="268" max="268" width="6.85546875" style="114" customWidth="1"/>
    <col min="269" max="269" width="7.140625" style="114" customWidth="1"/>
    <col min="270" max="270" width="5.5703125" style="114" customWidth="1"/>
    <col min="271" max="272" width="6.5703125" style="114" customWidth="1"/>
    <col min="273" max="273" width="14.140625" style="114" customWidth="1"/>
    <col min="274" max="274" width="2.28515625" style="114" customWidth="1"/>
    <col min="275" max="512" width="8.85546875" style="114"/>
    <col min="513" max="513" width="3" style="114" customWidth="1"/>
    <col min="514" max="514" width="13.85546875" style="114" customWidth="1"/>
    <col min="515" max="515" width="7.28515625" style="114" customWidth="1"/>
    <col min="516" max="516" width="8.42578125" style="114" customWidth="1"/>
    <col min="517" max="517" width="6.5703125" style="114" customWidth="1"/>
    <col min="518" max="518" width="6.7109375" style="114" customWidth="1"/>
    <col min="519" max="519" width="6.5703125" style="114" customWidth="1"/>
    <col min="520" max="520" width="9.7109375" style="114" customWidth="1"/>
    <col min="521" max="521" width="2.85546875" style="114" customWidth="1"/>
    <col min="522" max="522" width="7.140625" style="114" customWidth="1"/>
    <col min="523" max="523" width="6.7109375" style="114" customWidth="1"/>
    <col min="524" max="524" width="6.85546875" style="114" customWidth="1"/>
    <col min="525" max="525" width="7.140625" style="114" customWidth="1"/>
    <col min="526" max="526" width="5.5703125" style="114" customWidth="1"/>
    <col min="527" max="528" width="6.5703125" style="114" customWidth="1"/>
    <col min="529" max="529" width="14.140625" style="114" customWidth="1"/>
    <col min="530" max="530" width="2.28515625" style="114" customWidth="1"/>
    <col min="531" max="768" width="8.85546875" style="114"/>
    <col min="769" max="769" width="3" style="114" customWidth="1"/>
    <col min="770" max="770" width="13.85546875" style="114" customWidth="1"/>
    <col min="771" max="771" width="7.28515625" style="114" customWidth="1"/>
    <col min="772" max="772" width="8.42578125" style="114" customWidth="1"/>
    <col min="773" max="773" width="6.5703125" style="114" customWidth="1"/>
    <col min="774" max="774" width="6.7109375" style="114" customWidth="1"/>
    <col min="775" max="775" width="6.5703125" style="114" customWidth="1"/>
    <col min="776" max="776" width="9.7109375" style="114" customWidth="1"/>
    <col min="777" max="777" width="2.85546875" style="114" customWidth="1"/>
    <col min="778" max="778" width="7.140625" style="114" customWidth="1"/>
    <col min="779" max="779" width="6.7109375" style="114" customWidth="1"/>
    <col min="780" max="780" width="6.85546875" style="114" customWidth="1"/>
    <col min="781" max="781" width="7.140625" style="114" customWidth="1"/>
    <col min="782" max="782" width="5.5703125" style="114" customWidth="1"/>
    <col min="783" max="784" width="6.5703125" style="114" customWidth="1"/>
    <col min="785" max="785" width="14.140625" style="114" customWidth="1"/>
    <col min="786" max="786" width="2.28515625" style="114" customWidth="1"/>
    <col min="787" max="1024" width="8.85546875" style="114"/>
    <col min="1025" max="1025" width="3" style="114" customWidth="1"/>
    <col min="1026" max="1026" width="13.85546875" style="114" customWidth="1"/>
    <col min="1027" max="1027" width="7.28515625" style="114" customWidth="1"/>
    <col min="1028" max="1028" width="8.42578125" style="114" customWidth="1"/>
    <col min="1029" max="1029" width="6.5703125" style="114" customWidth="1"/>
    <col min="1030" max="1030" width="6.7109375" style="114" customWidth="1"/>
    <col min="1031" max="1031" width="6.5703125" style="114" customWidth="1"/>
    <col min="1032" max="1032" width="9.7109375" style="114" customWidth="1"/>
    <col min="1033" max="1033" width="2.85546875" style="114" customWidth="1"/>
    <col min="1034" max="1034" width="7.140625" style="114" customWidth="1"/>
    <col min="1035" max="1035" width="6.7109375" style="114" customWidth="1"/>
    <col min="1036" max="1036" width="6.85546875" style="114" customWidth="1"/>
    <col min="1037" max="1037" width="7.140625" style="114" customWidth="1"/>
    <col min="1038" max="1038" width="5.5703125" style="114" customWidth="1"/>
    <col min="1039" max="1040" width="6.5703125" style="114" customWidth="1"/>
    <col min="1041" max="1041" width="14.140625" style="114" customWidth="1"/>
    <col min="1042" max="1042" width="2.28515625" style="114" customWidth="1"/>
    <col min="1043" max="1280" width="8.85546875" style="114"/>
    <col min="1281" max="1281" width="3" style="114" customWidth="1"/>
    <col min="1282" max="1282" width="13.85546875" style="114" customWidth="1"/>
    <col min="1283" max="1283" width="7.28515625" style="114" customWidth="1"/>
    <col min="1284" max="1284" width="8.42578125" style="114" customWidth="1"/>
    <col min="1285" max="1285" width="6.5703125" style="114" customWidth="1"/>
    <col min="1286" max="1286" width="6.7109375" style="114" customWidth="1"/>
    <col min="1287" max="1287" width="6.5703125" style="114" customWidth="1"/>
    <col min="1288" max="1288" width="9.7109375" style="114" customWidth="1"/>
    <col min="1289" max="1289" width="2.85546875" style="114" customWidth="1"/>
    <col min="1290" max="1290" width="7.140625" style="114" customWidth="1"/>
    <col min="1291" max="1291" width="6.7109375" style="114" customWidth="1"/>
    <col min="1292" max="1292" width="6.85546875" style="114" customWidth="1"/>
    <col min="1293" max="1293" width="7.140625" style="114" customWidth="1"/>
    <col min="1294" max="1294" width="5.5703125" style="114" customWidth="1"/>
    <col min="1295" max="1296" width="6.5703125" style="114" customWidth="1"/>
    <col min="1297" max="1297" width="14.140625" style="114" customWidth="1"/>
    <col min="1298" max="1298" width="2.28515625" style="114" customWidth="1"/>
    <col min="1299" max="1536" width="8.85546875" style="114"/>
    <col min="1537" max="1537" width="3" style="114" customWidth="1"/>
    <col min="1538" max="1538" width="13.85546875" style="114" customWidth="1"/>
    <col min="1539" max="1539" width="7.28515625" style="114" customWidth="1"/>
    <col min="1540" max="1540" width="8.42578125" style="114" customWidth="1"/>
    <col min="1541" max="1541" width="6.5703125" style="114" customWidth="1"/>
    <col min="1542" max="1542" width="6.7109375" style="114" customWidth="1"/>
    <col min="1543" max="1543" width="6.5703125" style="114" customWidth="1"/>
    <col min="1544" max="1544" width="9.7109375" style="114" customWidth="1"/>
    <col min="1545" max="1545" width="2.85546875" style="114" customWidth="1"/>
    <col min="1546" max="1546" width="7.140625" style="114" customWidth="1"/>
    <col min="1547" max="1547" width="6.7109375" style="114" customWidth="1"/>
    <col min="1548" max="1548" width="6.85546875" style="114" customWidth="1"/>
    <col min="1549" max="1549" width="7.140625" style="114" customWidth="1"/>
    <col min="1550" max="1550" width="5.5703125" style="114" customWidth="1"/>
    <col min="1551" max="1552" width="6.5703125" style="114" customWidth="1"/>
    <col min="1553" max="1553" width="14.140625" style="114" customWidth="1"/>
    <col min="1554" max="1554" width="2.28515625" style="114" customWidth="1"/>
    <col min="1555" max="1792" width="8.85546875" style="114"/>
    <col min="1793" max="1793" width="3" style="114" customWidth="1"/>
    <col min="1794" max="1794" width="13.85546875" style="114" customWidth="1"/>
    <col min="1795" max="1795" width="7.28515625" style="114" customWidth="1"/>
    <col min="1796" max="1796" width="8.42578125" style="114" customWidth="1"/>
    <col min="1797" max="1797" width="6.5703125" style="114" customWidth="1"/>
    <col min="1798" max="1798" width="6.7109375" style="114" customWidth="1"/>
    <col min="1799" max="1799" width="6.5703125" style="114" customWidth="1"/>
    <col min="1800" max="1800" width="9.7109375" style="114" customWidth="1"/>
    <col min="1801" max="1801" width="2.85546875" style="114" customWidth="1"/>
    <col min="1802" max="1802" width="7.140625" style="114" customWidth="1"/>
    <col min="1803" max="1803" width="6.7109375" style="114" customWidth="1"/>
    <col min="1804" max="1804" width="6.85546875" style="114" customWidth="1"/>
    <col min="1805" max="1805" width="7.140625" style="114" customWidth="1"/>
    <col min="1806" max="1806" width="5.5703125" style="114" customWidth="1"/>
    <col min="1807" max="1808" width="6.5703125" style="114" customWidth="1"/>
    <col min="1809" max="1809" width="14.140625" style="114" customWidth="1"/>
    <col min="1810" max="1810" width="2.28515625" style="114" customWidth="1"/>
    <col min="1811" max="2048" width="8.85546875" style="114"/>
    <col min="2049" max="2049" width="3" style="114" customWidth="1"/>
    <col min="2050" max="2050" width="13.85546875" style="114" customWidth="1"/>
    <col min="2051" max="2051" width="7.28515625" style="114" customWidth="1"/>
    <col min="2052" max="2052" width="8.42578125" style="114" customWidth="1"/>
    <col min="2053" max="2053" width="6.5703125" style="114" customWidth="1"/>
    <col min="2054" max="2054" width="6.7109375" style="114" customWidth="1"/>
    <col min="2055" max="2055" width="6.5703125" style="114" customWidth="1"/>
    <col min="2056" max="2056" width="9.7109375" style="114" customWidth="1"/>
    <col min="2057" max="2057" width="2.85546875" style="114" customWidth="1"/>
    <col min="2058" max="2058" width="7.140625" style="114" customWidth="1"/>
    <col min="2059" max="2059" width="6.7109375" style="114" customWidth="1"/>
    <col min="2060" max="2060" width="6.85546875" style="114" customWidth="1"/>
    <col min="2061" max="2061" width="7.140625" style="114" customWidth="1"/>
    <col min="2062" max="2062" width="5.5703125" style="114" customWidth="1"/>
    <col min="2063" max="2064" width="6.5703125" style="114" customWidth="1"/>
    <col min="2065" max="2065" width="14.140625" style="114" customWidth="1"/>
    <col min="2066" max="2066" width="2.28515625" style="114" customWidth="1"/>
    <col min="2067" max="2304" width="8.85546875" style="114"/>
    <col min="2305" max="2305" width="3" style="114" customWidth="1"/>
    <col min="2306" max="2306" width="13.85546875" style="114" customWidth="1"/>
    <col min="2307" max="2307" width="7.28515625" style="114" customWidth="1"/>
    <col min="2308" max="2308" width="8.42578125" style="114" customWidth="1"/>
    <col min="2309" max="2309" width="6.5703125" style="114" customWidth="1"/>
    <col min="2310" max="2310" width="6.7109375" style="114" customWidth="1"/>
    <col min="2311" max="2311" width="6.5703125" style="114" customWidth="1"/>
    <col min="2312" max="2312" width="9.7109375" style="114" customWidth="1"/>
    <col min="2313" max="2313" width="2.85546875" style="114" customWidth="1"/>
    <col min="2314" max="2314" width="7.140625" style="114" customWidth="1"/>
    <col min="2315" max="2315" width="6.7109375" style="114" customWidth="1"/>
    <col min="2316" max="2316" width="6.85546875" style="114" customWidth="1"/>
    <col min="2317" max="2317" width="7.140625" style="114" customWidth="1"/>
    <col min="2318" max="2318" width="5.5703125" style="114" customWidth="1"/>
    <col min="2319" max="2320" width="6.5703125" style="114" customWidth="1"/>
    <col min="2321" max="2321" width="14.140625" style="114" customWidth="1"/>
    <col min="2322" max="2322" width="2.28515625" style="114" customWidth="1"/>
    <col min="2323" max="2560" width="8.85546875" style="114"/>
    <col min="2561" max="2561" width="3" style="114" customWidth="1"/>
    <col min="2562" max="2562" width="13.85546875" style="114" customWidth="1"/>
    <col min="2563" max="2563" width="7.28515625" style="114" customWidth="1"/>
    <col min="2564" max="2564" width="8.42578125" style="114" customWidth="1"/>
    <col min="2565" max="2565" width="6.5703125" style="114" customWidth="1"/>
    <col min="2566" max="2566" width="6.7109375" style="114" customWidth="1"/>
    <col min="2567" max="2567" width="6.5703125" style="114" customWidth="1"/>
    <col min="2568" max="2568" width="9.7109375" style="114" customWidth="1"/>
    <col min="2569" max="2569" width="2.85546875" style="114" customWidth="1"/>
    <col min="2570" max="2570" width="7.140625" style="114" customWidth="1"/>
    <col min="2571" max="2571" width="6.7109375" style="114" customWidth="1"/>
    <col min="2572" max="2572" width="6.85546875" style="114" customWidth="1"/>
    <col min="2573" max="2573" width="7.140625" style="114" customWidth="1"/>
    <col min="2574" max="2574" width="5.5703125" style="114" customWidth="1"/>
    <col min="2575" max="2576" width="6.5703125" style="114" customWidth="1"/>
    <col min="2577" max="2577" width="14.140625" style="114" customWidth="1"/>
    <col min="2578" max="2578" width="2.28515625" style="114" customWidth="1"/>
    <col min="2579" max="2816" width="8.85546875" style="114"/>
    <col min="2817" max="2817" width="3" style="114" customWidth="1"/>
    <col min="2818" max="2818" width="13.85546875" style="114" customWidth="1"/>
    <col min="2819" max="2819" width="7.28515625" style="114" customWidth="1"/>
    <col min="2820" max="2820" width="8.42578125" style="114" customWidth="1"/>
    <col min="2821" max="2821" width="6.5703125" style="114" customWidth="1"/>
    <col min="2822" max="2822" width="6.7109375" style="114" customWidth="1"/>
    <col min="2823" max="2823" width="6.5703125" style="114" customWidth="1"/>
    <col min="2824" max="2824" width="9.7109375" style="114" customWidth="1"/>
    <col min="2825" max="2825" width="2.85546875" style="114" customWidth="1"/>
    <col min="2826" max="2826" width="7.140625" style="114" customWidth="1"/>
    <col min="2827" max="2827" width="6.7109375" style="114" customWidth="1"/>
    <col min="2828" max="2828" width="6.85546875" style="114" customWidth="1"/>
    <col min="2829" max="2829" width="7.140625" style="114" customWidth="1"/>
    <col min="2830" max="2830" width="5.5703125" style="114" customWidth="1"/>
    <col min="2831" max="2832" width="6.5703125" style="114" customWidth="1"/>
    <col min="2833" max="2833" width="14.140625" style="114" customWidth="1"/>
    <col min="2834" max="2834" width="2.28515625" style="114" customWidth="1"/>
    <col min="2835" max="3072" width="8.85546875" style="114"/>
    <col min="3073" max="3073" width="3" style="114" customWidth="1"/>
    <col min="3074" max="3074" width="13.85546875" style="114" customWidth="1"/>
    <col min="3075" max="3075" width="7.28515625" style="114" customWidth="1"/>
    <col min="3076" max="3076" width="8.42578125" style="114" customWidth="1"/>
    <col min="3077" max="3077" width="6.5703125" style="114" customWidth="1"/>
    <col min="3078" max="3078" width="6.7109375" style="114" customWidth="1"/>
    <col min="3079" max="3079" width="6.5703125" style="114" customWidth="1"/>
    <col min="3080" max="3080" width="9.7109375" style="114" customWidth="1"/>
    <col min="3081" max="3081" width="2.85546875" style="114" customWidth="1"/>
    <col min="3082" max="3082" width="7.140625" style="114" customWidth="1"/>
    <col min="3083" max="3083" width="6.7109375" style="114" customWidth="1"/>
    <col min="3084" max="3084" width="6.85546875" style="114" customWidth="1"/>
    <col min="3085" max="3085" width="7.140625" style="114" customWidth="1"/>
    <col min="3086" max="3086" width="5.5703125" style="114" customWidth="1"/>
    <col min="3087" max="3088" width="6.5703125" style="114" customWidth="1"/>
    <col min="3089" max="3089" width="14.140625" style="114" customWidth="1"/>
    <col min="3090" max="3090" width="2.28515625" style="114" customWidth="1"/>
    <col min="3091" max="3328" width="8.85546875" style="114"/>
    <col min="3329" max="3329" width="3" style="114" customWidth="1"/>
    <col min="3330" max="3330" width="13.85546875" style="114" customWidth="1"/>
    <col min="3331" max="3331" width="7.28515625" style="114" customWidth="1"/>
    <col min="3332" max="3332" width="8.42578125" style="114" customWidth="1"/>
    <col min="3333" max="3333" width="6.5703125" style="114" customWidth="1"/>
    <col min="3334" max="3334" width="6.7109375" style="114" customWidth="1"/>
    <col min="3335" max="3335" width="6.5703125" style="114" customWidth="1"/>
    <col min="3336" max="3336" width="9.7109375" style="114" customWidth="1"/>
    <col min="3337" max="3337" width="2.85546875" style="114" customWidth="1"/>
    <col min="3338" max="3338" width="7.140625" style="114" customWidth="1"/>
    <col min="3339" max="3339" width="6.7109375" style="114" customWidth="1"/>
    <col min="3340" max="3340" width="6.85546875" style="114" customWidth="1"/>
    <col min="3341" max="3341" width="7.140625" style="114" customWidth="1"/>
    <col min="3342" max="3342" width="5.5703125" style="114" customWidth="1"/>
    <col min="3343" max="3344" width="6.5703125" style="114" customWidth="1"/>
    <col min="3345" max="3345" width="14.140625" style="114" customWidth="1"/>
    <col min="3346" max="3346" width="2.28515625" style="114" customWidth="1"/>
    <col min="3347" max="3584" width="8.85546875" style="114"/>
    <col min="3585" max="3585" width="3" style="114" customWidth="1"/>
    <col min="3586" max="3586" width="13.85546875" style="114" customWidth="1"/>
    <col min="3587" max="3587" width="7.28515625" style="114" customWidth="1"/>
    <col min="3588" max="3588" width="8.42578125" style="114" customWidth="1"/>
    <col min="3589" max="3589" width="6.5703125" style="114" customWidth="1"/>
    <col min="3590" max="3590" width="6.7109375" style="114" customWidth="1"/>
    <col min="3591" max="3591" width="6.5703125" style="114" customWidth="1"/>
    <col min="3592" max="3592" width="9.7109375" style="114" customWidth="1"/>
    <col min="3593" max="3593" width="2.85546875" style="114" customWidth="1"/>
    <col min="3594" max="3594" width="7.140625" style="114" customWidth="1"/>
    <col min="3595" max="3595" width="6.7109375" style="114" customWidth="1"/>
    <col min="3596" max="3596" width="6.85546875" style="114" customWidth="1"/>
    <col min="3597" max="3597" width="7.140625" style="114" customWidth="1"/>
    <col min="3598" max="3598" width="5.5703125" style="114" customWidth="1"/>
    <col min="3599" max="3600" width="6.5703125" style="114" customWidth="1"/>
    <col min="3601" max="3601" width="14.140625" style="114" customWidth="1"/>
    <col min="3602" max="3602" width="2.28515625" style="114" customWidth="1"/>
    <col min="3603" max="3840" width="8.85546875" style="114"/>
    <col min="3841" max="3841" width="3" style="114" customWidth="1"/>
    <col min="3842" max="3842" width="13.85546875" style="114" customWidth="1"/>
    <col min="3843" max="3843" width="7.28515625" style="114" customWidth="1"/>
    <col min="3844" max="3844" width="8.42578125" style="114" customWidth="1"/>
    <col min="3845" max="3845" width="6.5703125" style="114" customWidth="1"/>
    <col min="3846" max="3846" width="6.7109375" style="114" customWidth="1"/>
    <col min="3847" max="3847" width="6.5703125" style="114" customWidth="1"/>
    <col min="3848" max="3848" width="9.7109375" style="114" customWidth="1"/>
    <col min="3849" max="3849" width="2.85546875" style="114" customWidth="1"/>
    <col min="3850" max="3850" width="7.140625" style="114" customWidth="1"/>
    <col min="3851" max="3851" width="6.7109375" style="114" customWidth="1"/>
    <col min="3852" max="3852" width="6.85546875" style="114" customWidth="1"/>
    <col min="3853" max="3853" width="7.140625" style="114" customWidth="1"/>
    <col min="3854" max="3854" width="5.5703125" style="114" customWidth="1"/>
    <col min="3855" max="3856" width="6.5703125" style="114" customWidth="1"/>
    <col min="3857" max="3857" width="14.140625" style="114" customWidth="1"/>
    <col min="3858" max="3858" width="2.28515625" style="114" customWidth="1"/>
    <col min="3859" max="4096" width="8.85546875" style="114"/>
    <col min="4097" max="4097" width="3" style="114" customWidth="1"/>
    <col min="4098" max="4098" width="13.85546875" style="114" customWidth="1"/>
    <col min="4099" max="4099" width="7.28515625" style="114" customWidth="1"/>
    <col min="4100" max="4100" width="8.42578125" style="114" customWidth="1"/>
    <col min="4101" max="4101" width="6.5703125" style="114" customWidth="1"/>
    <col min="4102" max="4102" width="6.7109375" style="114" customWidth="1"/>
    <col min="4103" max="4103" width="6.5703125" style="114" customWidth="1"/>
    <col min="4104" max="4104" width="9.7109375" style="114" customWidth="1"/>
    <col min="4105" max="4105" width="2.85546875" style="114" customWidth="1"/>
    <col min="4106" max="4106" width="7.140625" style="114" customWidth="1"/>
    <col min="4107" max="4107" width="6.7109375" style="114" customWidth="1"/>
    <col min="4108" max="4108" width="6.85546875" style="114" customWidth="1"/>
    <col min="4109" max="4109" width="7.140625" style="114" customWidth="1"/>
    <col min="4110" max="4110" width="5.5703125" style="114" customWidth="1"/>
    <col min="4111" max="4112" width="6.5703125" style="114" customWidth="1"/>
    <col min="4113" max="4113" width="14.140625" style="114" customWidth="1"/>
    <col min="4114" max="4114" width="2.28515625" style="114" customWidth="1"/>
    <col min="4115" max="4352" width="8.85546875" style="114"/>
    <col min="4353" max="4353" width="3" style="114" customWidth="1"/>
    <col min="4354" max="4354" width="13.85546875" style="114" customWidth="1"/>
    <col min="4355" max="4355" width="7.28515625" style="114" customWidth="1"/>
    <col min="4356" max="4356" width="8.42578125" style="114" customWidth="1"/>
    <col min="4357" max="4357" width="6.5703125" style="114" customWidth="1"/>
    <col min="4358" max="4358" width="6.7109375" style="114" customWidth="1"/>
    <col min="4359" max="4359" width="6.5703125" style="114" customWidth="1"/>
    <col min="4360" max="4360" width="9.7109375" style="114" customWidth="1"/>
    <col min="4361" max="4361" width="2.85546875" style="114" customWidth="1"/>
    <col min="4362" max="4362" width="7.140625" style="114" customWidth="1"/>
    <col min="4363" max="4363" width="6.7109375" style="114" customWidth="1"/>
    <col min="4364" max="4364" width="6.85546875" style="114" customWidth="1"/>
    <col min="4365" max="4365" width="7.140625" style="114" customWidth="1"/>
    <col min="4366" max="4366" width="5.5703125" style="114" customWidth="1"/>
    <col min="4367" max="4368" width="6.5703125" style="114" customWidth="1"/>
    <col min="4369" max="4369" width="14.140625" style="114" customWidth="1"/>
    <col min="4370" max="4370" width="2.28515625" style="114" customWidth="1"/>
    <col min="4371" max="4608" width="8.85546875" style="114"/>
    <col min="4609" max="4609" width="3" style="114" customWidth="1"/>
    <col min="4610" max="4610" width="13.85546875" style="114" customWidth="1"/>
    <col min="4611" max="4611" width="7.28515625" style="114" customWidth="1"/>
    <col min="4612" max="4612" width="8.42578125" style="114" customWidth="1"/>
    <col min="4613" max="4613" width="6.5703125" style="114" customWidth="1"/>
    <col min="4614" max="4614" width="6.7109375" style="114" customWidth="1"/>
    <col min="4615" max="4615" width="6.5703125" style="114" customWidth="1"/>
    <col min="4616" max="4616" width="9.7109375" style="114" customWidth="1"/>
    <col min="4617" max="4617" width="2.85546875" style="114" customWidth="1"/>
    <col min="4618" max="4618" width="7.140625" style="114" customWidth="1"/>
    <col min="4619" max="4619" width="6.7109375" style="114" customWidth="1"/>
    <col min="4620" max="4620" width="6.85546875" style="114" customWidth="1"/>
    <col min="4621" max="4621" width="7.140625" style="114" customWidth="1"/>
    <col min="4622" max="4622" width="5.5703125" style="114" customWidth="1"/>
    <col min="4623" max="4624" width="6.5703125" style="114" customWidth="1"/>
    <col min="4625" max="4625" width="14.140625" style="114" customWidth="1"/>
    <col min="4626" max="4626" width="2.28515625" style="114" customWidth="1"/>
    <col min="4627" max="4864" width="8.85546875" style="114"/>
    <col min="4865" max="4865" width="3" style="114" customWidth="1"/>
    <col min="4866" max="4866" width="13.85546875" style="114" customWidth="1"/>
    <col min="4867" max="4867" width="7.28515625" style="114" customWidth="1"/>
    <col min="4868" max="4868" width="8.42578125" style="114" customWidth="1"/>
    <col min="4869" max="4869" width="6.5703125" style="114" customWidth="1"/>
    <col min="4870" max="4870" width="6.7109375" style="114" customWidth="1"/>
    <col min="4871" max="4871" width="6.5703125" style="114" customWidth="1"/>
    <col min="4872" max="4872" width="9.7109375" style="114" customWidth="1"/>
    <col min="4873" max="4873" width="2.85546875" style="114" customWidth="1"/>
    <col min="4874" max="4874" width="7.140625" style="114" customWidth="1"/>
    <col min="4875" max="4875" width="6.7109375" style="114" customWidth="1"/>
    <col min="4876" max="4876" width="6.85546875" style="114" customWidth="1"/>
    <col min="4877" max="4877" width="7.140625" style="114" customWidth="1"/>
    <col min="4878" max="4878" width="5.5703125" style="114" customWidth="1"/>
    <col min="4879" max="4880" width="6.5703125" style="114" customWidth="1"/>
    <col min="4881" max="4881" width="14.140625" style="114" customWidth="1"/>
    <col min="4882" max="4882" width="2.28515625" style="114" customWidth="1"/>
    <col min="4883" max="5120" width="8.85546875" style="114"/>
    <col min="5121" max="5121" width="3" style="114" customWidth="1"/>
    <col min="5122" max="5122" width="13.85546875" style="114" customWidth="1"/>
    <col min="5123" max="5123" width="7.28515625" style="114" customWidth="1"/>
    <col min="5124" max="5124" width="8.42578125" style="114" customWidth="1"/>
    <col min="5125" max="5125" width="6.5703125" style="114" customWidth="1"/>
    <col min="5126" max="5126" width="6.7109375" style="114" customWidth="1"/>
    <col min="5127" max="5127" width="6.5703125" style="114" customWidth="1"/>
    <col min="5128" max="5128" width="9.7109375" style="114" customWidth="1"/>
    <col min="5129" max="5129" width="2.85546875" style="114" customWidth="1"/>
    <col min="5130" max="5130" width="7.140625" style="114" customWidth="1"/>
    <col min="5131" max="5131" width="6.7109375" style="114" customWidth="1"/>
    <col min="5132" max="5132" width="6.85546875" style="114" customWidth="1"/>
    <col min="5133" max="5133" width="7.140625" style="114" customWidth="1"/>
    <col min="5134" max="5134" width="5.5703125" style="114" customWidth="1"/>
    <col min="5135" max="5136" width="6.5703125" style="114" customWidth="1"/>
    <col min="5137" max="5137" width="14.140625" style="114" customWidth="1"/>
    <col min="5138" max="5138" width="2.28515625" style="114" customWidth="1"/>
    <col min="5139" max="5376" width="8.85546875" style="114"/>
    <col min="5377" max="5377" width="3" style="114" customWidth="1"/>
    <col min="5378" max="5378" width="13.85546875" style="114" customWidth="1"/>
    <col min="5379" max="5379" width="7.28515625" style="114" customWidth="1"/>
    <col min="5380" max="5380" width="8.42578125" style="114" customWidth="1"/>
    <col min="5381" max="5381" width="6.5703125" style="114" customWidth="1"/>
    <col min="5382" max="5382" width="6.7109375" style="114" customWidth="1"/>
    <col min="5383" max="5383" width="6.5703125" style="114" customWidth="1"/>
    <col min="5384" max="5384" width="9.7109375" style="114" customWidth="1"/>
    <col min="5385" max="5385" width="2.85546875" style="114" customWidth="1"/>
    <col min="5386" max="5386" width="7.140625" style="114" customWidth="1"/>
    <col min="5387" max="5387" width="6.7109375" style="114" customWidth="1"/>
    <col min="5388" max="5388" width="6.85546875" style="114" customWidth="1"/>
    <col min="5389" max="5389" width="7.140625" style="114" customWidth="1"/>
    <col min="5390" max="5390" width="5.5703125" style="114" customWidth="1"/>
    <col min="5391" max="5392" width="6.5703125" style="114" customWidth="1"/>
    <col min="5393" max="5393" width="14.140625" style="114" customWidth="1"/>
    <col min="5394" max="5394" width="2.28515625" style="114" customWidth="1"/>
    <col min="5395" max="5632" width="8.85546875" style="114"/>
    <col min="5633" max="5633" width="3" style="114" customWidth="1"/>
    <col min="5634" max="5634" width="13.85546875" style="114" customWidth="1"/>
    <col min="5635" max="5635" width="7.28515625" style="114" customWidth="1"/>
    <col min="5636" max="5636" width="8.42578125" style="114" customWidth="1"/>
    <col min="5637" max="5637" width="6.5703125" style="114" customWidth="1"/>
    <col min="5638" max="5638" width="6.7109375" style="114" customWidth="1"/>
    <col min="5639" max="5639" width="6.5703125" style="114" customWidth="1"/>
    <col min="5640" max="5640" width="9.7109375" style="114" customWidth="1"/>
    <col min="5641" max="5641" width="2.85546875" style="114" customWidth="1"/>
    <col min="5642" max="5642" width="7.140625" style="114" customWidth="1"/>
    <col min="5643" max="5643" width="6.7109375" style="114" customWidth="1"/>
    <col min="5644" max="5644" width="6.85546875" style="114" customWidth="1"/>
    <col min="5645" max="5645" width="7.140625" style="114" customWidth="1"/>
    <col min="5646" max="5646" width="5.5703125" style="114" customWidth="1"/>
    <col min="5647" max="5648" width="6.5703125" style="114" customWidth="1"/>
    <col min="5649" max="5649" width="14.140625" style="114" customWidth="1"/>
    <col min="5650" max="5650" width="2.28515625" style="114" customWidth="1"/>
    <col min="5651" max="5888" width="8.85546875" style="114"/>
    <col min="5889" max="5889" width="3" style="114" customWidth="1"/>
    <col min="5890" max="5890" width="13.85546875" style="114" customWidth="1"/>
    <col min="5891" max="5891" width="7.28515625" style="114" customWidth="1"/>
    <col min="5892" max="5892" width="8.42578125" style="114" customWidth="1"/>
    <col min="5893" max="5893" width="6.5703125" style="114" customWidth="1"/>
    <col min="5894" max="5894" width="6.7109375" style="114" customWidth="1"/>
    <col min="5895" max="5895" width="6.5703125" style="114" customWidth="1"/>
    <col min="5896" max="5896" width="9.7109375" style="114" customWidth="1"/>
    <col min="5897" max="5897" width="2.85546875" style="114" customWidth="1"/>
    <col min="5898" max="5898" width="7.140625" style="114" customWidth="1"/>
    <col min="5899" max="5899" width="6.7109375" style="114" customWidth="1"/>
    <col min="5900" max="5900" width="6.85546875" style="114" customWidth="1"/>
    <col min="5901" max="5901" width="7.140625" style="114" customWidth="1"/>
    <col min="5902" max="5902" width="5.5703125" style="114" customWidth="1"/>
    <col min="5903" max="5904" width="6.5703125" style="114" customWidth="1"/>
    <col min="5905" max="5905" width="14.140625" style="114" customWidth="1"/>
    <col min="5906" max="5906" width="2.28515625" style="114" customWidth="1"/>
    <col min="5907" max="6144" width="8.85546875" style="114"/>
    <col min="6145" max="6145" width="3" style="114" customWidth="1"/>
    <col min="6146" max="6146" width="13.85546875" style="114" customWidth="1"/>
    <col min="6147" max="6147" width="7.28515625" style="114" customWidth="1"/>
    <col min="6148" max="6148" width="8.42578125" style="114" customWidth="1"/>
    <col min="6149" max="6149" width="6.5703125" style="114" customWidth="1"/>
    <col min="6150" max="6150" width="6.7109375" style="114" customWidth="1"/>
    <col min="6151" max="6151" width="6.5703125" style="114" customWidth="1"/>
    <col min="6152" max="6152" width="9.7109375" style="114" customWidth="1"/>
    <col min="6153" max="6153" width="2.85546875" style="114" customWidth="1"/>
    <col min="6154" max="6154" width="7.140625" style="114" customWidth="1"/>
    <col min="6155" max="6155" width="6.7109375" style="114" customWidth="1"/>
    <col min="6156" max="6156" width="6.85546875" style="114" customWidth="1"/>
    <col min="6157" max="6157" width="7.140625" style="114" customWidth="1"/>
    <col min="6158" max="6158" width="5.5703125" style="114" customWidth="1"/>
    <col min="6159" max="6160" width="6.5703125" style="114" customWidth="1"/>
    <col min="6161" max="6161" width="14.140625" style="114" customWidth="1"/>
    <col min="6162" max="6162" width="2.28515625" style="114" customWidth="1"/>
    <col min="6163" max="6400" width="8.85546875" style="114"/>
    <col min="6401" max="6401" width="3" style="114" customWidth="1"/>
    <col min="6402" max="6402" width="13.85546875" style="114" customWidth="1"/>
    <col min="6403" max="6403" width="7.28515625" style="114" customWidth="1"/>
    <col min="6404" max="6404" width="8.42578125" style="114" customWidth="1"/>
    <col min="6405" max="6405" width="6.5703125" style="114" customWidth="1"/>
    <col min="6406" max="6406" width="6.7109375" style="114" customWidth="1"/>
    <col min="6407" max="6407" width="6.5703125" style="114" customWidth="1"/>
    <col min="6408" max="6408" width="9.7109375" style="114" customWidth="1"/>
    <col min="6409" max="6409" width="2.85546875" style="114" customWidth="1"/>
    <col min="6410" max="6410" width="7.140625" style="114" customWidth="1"/>
    <col min="6411" max="6411" width="6.7109375" style="114" customWidth="1"/>
    <col min="6412" max="6412" width="6.85546875" style="114" customWidth="1"/>
    <col min="6413" max="6413" width="7.140625" style="114" customWidth="1"/>
    <col min="6414" max="6414" width="5.5703125" style="114" customWidth="1"/>
    <col min="6415" max="6416" width="6.5703125" style="114" customWidth="1"/>
    <col min="6417" max="6417" width="14.140625" style="114" customWidth="1"/>
    <col min="6418" max="6418" width="2.28515625" style="114" customWidth="1"/>
    <col min="6419" max="6656" width="8.85546875" style="114"/>
    <col min="6657" max="6657" width="3" style="114" customWidth="1"/>
    <col min="6658" max="6658" width="13.85546875" style="114" customWidth="1"/>
    <col min="6659" max="6659" width="7.28515625" style="114" customWidth="1"/>
    <col min="6660" max="6660" width="8.42578125" style="114" customWidth="1"/>
    <col min="6661" max="6661" width="6.5703125" style="114" customWidth="1"/>
    <col min="6662" max="6662" width="6.7109375" style="114" customWidth="1"/>
    <col min="6663" max="6663" width="6.5703125" style="114" customWidth="1"/>
    <col min="6664" max="6664" width="9.7109375" style="114" customWidth="1"/>
    <col min="6665" max="6665" width="2.85546875" style="114" customWidth="1"/>
    <col min="6666" max="6666" width="7.140625" style="114" customWidth="1"/>
    <col min="6667" max="6667" width="6.7109375" style="114" customWidth="1"/>
    <col min="6668" max="6668" width="6.85546875" style="114" customWidth="1"/>
    <col min="6669" max="6669" width="7.140625" style="114" customWidth="1"/>
    <col min="6670" max="6670" width="5.5703125" style="114" customWidth="1"/>
    <col min="6671" max="6672" width="6.5703125" style="114" customWidth="1"/>
    <col min="6673" max="6673" width="14.140625" style="114" customWidth="1"/>
    <col min="6674" max="6674" width="2.28515625" style="114" customWidth="1"/>
    <col min="6675" max="6912" width="8.85546875" style="114"/>
    <col min="6913" max="6913" width="3" style="114" customWidth="1"/>
    <col min="6914" max="6914" width="13.85546875" style="114" customWidth="1"/>
    <col min="6915" max="6915" width="7.28515625" style="114" customWidth="1"/>
    <col min="6916" max="6916" width="8.42578125" style="114" customWidth="1"/>
    <col min="6917" max="6917" width="6.5703125" style="114" customWidth="1"/>
    <col min="6918" max="6918" width="6.7109375" style="114" customWidth="1"/>
    <col min="6919" max="6919" width="6.5703125" style="114" customWidth="1"/>
    <col min="6920" max="6920" width="9.7109375" style="114" customWidth="1"/>
    <col min="6921" max="6921" width="2.85546875" style="114" customWidth="1"/>
    <col min="6922" max="6922" width="7.140625" style="114" customWidth="1"/>
    <col min="6923" max="6923" width="6.7109375" style="114" customWidth="1"/>
    <col min="6924" max="6924" width="6.85546875" style="114" customWidth="1"/>
    <col min="6925" max="6925" width="7.140625" style="114" customWidth="1"/>
    <col min="6926" max="6926" width="5.5703125" style="114" customWidth="1"/>
    <col min="6927" max="6928" width="6.5703125" style="114" customWidth="1"/>
    <col min="6929" max="6929" width="14.140625" style="114" customWidth="1"/>
    <col min="6930" max="6930" width="2.28515625" style="114" customWidth="1"/>
    <col min="6931" max="7168" width="8.85546875" style="114"/>
    <col min="7169" max="7169" width="3" style="114" customWidth="1"/>
    <col min="7170" max="7170" width="13.85546875" style="114" customWidth="1"/>
    <col min="7171" max="7171" width="7.28515625" style="114" customWidth="1"/>
    <col min="7172" max="7172" width="8.42578125" style="114" customWidth="1"/>
    <col min="7173" max="7173" width="6.5703125" style="114" customWidth="1"/>
    <col min="7174" max="7174" width="6.7109375" style="114" customWidth="1"/>
    <col min="7175" max="7175" width="6.5703125" style="114" customWidth="1"/>
    <col min="7176" max="7176" width="9.7109375" style="114" customWidth="1"/>
    <col min="7177" max="7177" width="2.85546875" style="114" customWidth="1"/>
    <col min="7178" max="7178" width="7.140625" style="114" customWidth="1"/>
    <col min="7179" max="7179" width="6.7109375" style="114" customWidth="1"/>
    <col min="7180" max="7180" width="6.85546875" style="114" customWidth="1"/>
    <col min="7181" max="7181" width="7.140625" style="114" customWidth="1"/>
    <col min="7182" max="7182" width="5.5703125" style="114" customWidth="1"/>
    <col min="7183" max="7184" width="6.5703125" style="114" customWidth="1"/>
    <col min="7185" max="7185" width="14.140625" style="114" customWidth="1"/>
    <col min="7186" max="7186" width="2.28515625" style="114" customWidth="1"/>
    <col min="7187" max="7424" width="8.85546875" style="114"/>
    <col min="7425" max="7425" width="3" style="114" customWidth="1"/>
    <col min="7426" max="7426" width="13.85546875" style="114" customWidth="1"/>
    <col min="7427" max="7427" width="7.28515625" style="114" customWidth="1"/>
    <col min="7428" max="7428" width="8.42578125" style="114" customWidth="1"/>
    <col min="7429" max="7429" width="6.5703125" style="114" customWidth="1"/>
    <col min="7430" max="7430" width="6.7109375" style="114" customWidth="1"/>
    <col min="7431" max="7431" width="6.5703125" style="114" customWidth="1"/>
    <col min="7432" max="7432" width="9.7109375" style="114" customWidth="1"/>
    <col min="7433" max="7433" width="2.85546875" style="114" customWidth="1"/>
    <col min="7434" max="7434" width="7.140625" style="114" customWidth="1"/>
    <col min="7435" max="7435" width="6.7109375" style="114" customWidth="1"/>
    <col min="7436" max="7436" width="6.85546875" style="114" customWidth="1"/>
    <col min="7437" max="7437" width="7.140625" style="114" customWidth="1"/>
    <col min="7438" max="7438" width="5.5703125" style="114" customWidth="1"/>
    <col min="7439" max="7440" width="6.5703125" style="114" customWidth="1"/>
    <col min="7441" max="7441" width="14.140625" style="114" customWidth="1"/>
    <col min="7442" max="7442" width="2.28515625" style="114" customWidth="1"/>
    <col min="7443" max="7680" width="8.85546875" style="114"/>
    <col min="7681" max="7681" width="3" style="114" customWidth="1"/>
    <col min="7682" max="7682" width="13.85546875" style="114" customWidth="1"/>
    <col min="7683" max="7683" width="7.28515625" style="114" customWidth="1"/>
    <col min="7684" max="7684" width="8.42578125" style="114" customWidth="1"/>
    <col min="7685" max="7685" width="6.5703125" style="114" customWidth="1"/>
    <col min="7686" max="7686" width="6.7109375" style="114" customWidth="1"/>
    <col min="7687" max="7687" width="6.5703125" style="114" customWidth="1"/>
    <col min="7688" max="7688" width="9.7109375" style="114" customWidth="1"/>
    <col min="7689" max="7689" width="2.85546875" style="114" customWidth="1"/>
    <col min="7690" max="7690" width="7.140625" style="114" customWidth="1"/>
    <col min="7691" max="7691" width="6.7109375" style="114" customWidth="1"/>
    <col min="7692" max="7692" width="6.85546875" style="114" customWidth="1"/>
    <col min="7693" max="7693" width="7.140625" style="114" customWidth="1"/>
    <col min="7694" max="7694" width="5.5703125" style="114" customWidth="1"/>
    <col min="7695" max="7696" width="6.5703125" style="114" customWidth="1"/>
    <col min="7697" max="7697" width="14.140625" style="114" customWidth="1"/>
    <col min="7698" max="7698" width="2.28515625" style="114" customWidth="1"/>
    <col min="7699" max="7936" width="8.85546875" style="114"/>
    <col min="7937" max="7937" width="3" style="114" customWidth="1"/>
    <col min="7938" max="7938" width="13.85546875" style="114" customWidth="1"/>
    <col min="7939" max="7939" width="7.28515625" style="114" customWidth="1"/>
    <col min="7940" max="7940" width="8.42578125" style="114" customWidth="1"/>
    <col min="7941" max="7941" width="6.5703125" style="114" customWidth="1"/>
    <col min="7942" max="7942" width="6.7109375" style="114" customWidth="1"/>
    <col min="7943" max="7943" width="6.5703125" style="114" customWidth="1"/>
    <col min="7944" max="7944" width="9.7109375" style="114" customWidth="1"/>
    <col min="7945" max="7945" width="2.85546875" style="114" customWidth="1"/>
    <col min="7946" max="7946" width="7.140625" style="114" customWidth="1"/>
    <col min="7947" max="7947" width="6.7109375" style="114" customWidth="1"/>
    <col min="7948" max="7948" width="6.85546875" style="114" customWidth="1"/>
    <col min="7949" max="7949" width="7.140625" style="114" customWidth="1"/>
    <col min="7950" max="7950" width="5.5703125" style="114" customWidth="1"/>
    <col min="7951" max="7952" width="6.5703125" style="114" customWidth="1"/>
    <col min="7953" max="7953" width="14.140625" style="114" customWidth="1"/>
    <col min="7954" max="7954" width="2.28515625" style="114" customWidth="1"/>
    <col min="7955" max="8192" width="8.85546875" style="114"/>
    <col min="8193" max="8193" width="3" style="114" customWidth="1"/>
    <col min="8194" max="8194" width="13.85546875" style="114" customWidth="1"/>
    <col min="8195" max="8195" width="7.28515625" style="114" customWidth="1"/>
    <col min="8196" max="8196" width="8.42578125" style="114" customWidth="1"/>
    <col min="8197" max="8197" width="6.5703125" style="114" customWidth="1"/>
    <col min="8198" max="8198" width="6.7109375" style="114" customWidth="1"/>
    <col min="8199" max="8199" width="6.5703125" style="114" customWidth="1"/>
    <col min="8200" max="8200" width="9.7109375" style="114" customWidth="1"/>
    <col min="8201" max="8201" width="2.85546875" style="114" customWidth="1"/>
    <col min="8202" max="8202" width="7.140625" style="114" customWidth="1"/>
    <col min="8203" max="8203" width="6.7109375" style="114" customWidth="1"/>
    <col min="8204" max="8204" width="6.85546875" style="114" customWidth="1"/>
    <col min="8205" max="8205" width="7.140625" style="114" customWidth="1"/>
    <col min="8206" max="8206" width="5.5703125" style="114" customWidth="1"/>
    <col min="8207" max="8208" width="6.5703125" style="114" customWidth="1"/>
    <col min="8209" max="8209" width="14.140625" style="114" customWidth="1"/>
    <col min="8210" max="8210" width="2.28515625" style="114" customWidth="1"/>
    <col min="8211" max="8448" width="8.85546875" style="114"/>
    <col min="8449" max="8449" width="3" style="114" customWidth="1"/>
    <col min="8450" max="8450" width="13.85546875" style="114" customWidth="1"/>
    <col min="8451" max="8451" width="7.28515625" style="114" customWidth="1"/>
    <col min="8452" max="8452" width="8.42578125" style="114" customWidth="1"/>
    <col min="8453" max="8453" width="6.5703125" style="114" customWidth="1"/>
    <col min="8454" max="8454" width="6.7109375" style="114" customWidth="1"/>
    <col min="8455" max="8455" width="6.5703125" style="114" customWidth="1"/>
    <col min="8456" max="8456" width="9.7109375" style="114" customWidth="1"/>
    <col min="8457" max="8457" width="2.85546875" style="114" customWidth="1"/>
    <col min="8458" max="8458" width="7.140625" style="114" customWidth="1"/>
    <col min="8459" max="8459" width="6.7109375" style="114" customWidth="1"/>
    <col min="8460" max="8460" width="6.85546875" style="114" customWidth="1"/>
    <col min="8461" max="8461" width="7.140625" style="114" customWidth="1"/>
    <col min="8462" max="8462" width="5.5703125" style="114" customWidth="1"/>
    <col min="8463" max="8464" width="6.5703125" style="114" customWidth="1"/>
    <col min="8465" max="8465" width="14.140625" style="114" customWidth="1"/>
    <col min="8466" max="8466" width="2.28515625" style="114" customWidth="1"/>
    <col min="8467" max="8704" width="8.85546875" style="114"/>
    <col min="8705" max="8705" width="3" style="114" customWidth="1"/>
    <col min="8706" max="8706" width="13.85546875" style="114" customWidth="1"/>
    <col min="8707" max="8707" width="7.28515625" style="114" customWidth="1"/>
    <col min="8708" max="8708" width="8.42578125" style="114" customWidth="1"/>
    <col min="8709" max="8709" width="6.5703125" style="114" customWidth="1"/>
    <col min="8710" max="8710" width="6.7109375" style="114" customWidth="1"/>
    <col min="8711" max="8711" width="6.5703125" style="114" customWidth="1"/>
    <col min="8712" max="8712" width="9.7109375" style="114" customWidth="1"/>
    <col min="8713" max="8713" width="2.85546875" style="114" customWidth="1"/>
    <col min="8714" max="8714" width="7.140625" style="114" customWidth="1"/>
    <col min="8715" max="8715" width="6.7109375" style="114" customWidth="1"/>
    <col min="8716" max="8716" width="6.85546875" style="114" customWidth="1"/>
    <col min="8717" max="8717" width="7.140625" style="114" customWidth="1"/>
    <col min="8718" max="8718" width="5.5703125" style="114" customWidth="1"/>
    <col min="8719" max="8720" width="6.5703125" style="114" customWidth="1"/>
    <col min="8721" max="8721" width="14.140625" style="114" customWidth="1"/>
    <col min="8722" max="8722" width="2.28515625" style="114" customWidth="1"/>
    <col min="8723" max="8960" width="8.85546875" style="114"/>
    <col min="8961" max="8961" width="3" style="114" customWidth="1"/>
    <col min="8962" max="8962" width="13.85546875" style="114" customWidth="1"/>
    <col min="8963" max="8963" width="7.28515625" style="114" customWidth="1"/>
    <col min="8964" max="8964" width="8.42578125" style="114" customWidth="1"/>
    <col min="8965" max="8965" width="6.5703125" style="114" customWidth="1"/>
    <col min="8966" max="8966" width="6.7109375" style="114" customWidth="1"/>
    <col min="8967" max="8967" width="6.5703125" style="114" customWidth="1"/>
    <col min="8968" max="8968" width="9.7109375" style="114" customWidth="1"/>
    <col min="8969" max="8969" width="2.85546875" style="114" customWidth="1"/>
    <col min="8970" max="8970" width="7.140625" style="114" customWidth="1"/>
    <col min="8971" max="8971" width="6.7109375" style="114" customWidth="1"/>
    <col min="8972" max="8972" width="6.85546875" style="114" customWidth="1"/>
    <col min="8973" max="8973" width="7.140625" style="114" customWidth="1"/>
    <col min="8974" max="8974" width="5.5703125" style="114" customWidth="1"/>
    <col min="8975" max="8976" width="6.5703125" style="114" customWidth="1"/>
    <col min="8977" max="8977" width="14.140625" style="114" customWidth="1"/>
    <col min="8978" max="8978" width="2.28515625" style="114" customWidth="1"/>
    <col min="8979" max="9216" width="8.85546875" style="114"/>
    <col min="9217" max="9217" width="3" style="114" customWidth="1"/>
    <col min="9218" max="9218" width="13.85546875" style="114" customWidth="1"/>
    <col min="9219" max="9219" width="7.28515625" style="114" customWidth="1"/>
    <col min="9220" max="9220" width="8.42578125" style="114" customWidth="1"/>
    <col min="9221" max="9221" width="6.5703125" style="114" customWidth="1"/>
    <col min="9222" max="9222" width="6.7109375" style="114" customWidth="1"/>
    <col min="9223" max="9223" width="6.5703125" style="114" customWidth="1"/>
    <col min="9224" max="9224" width="9.7109375" style="114" customWidth="1"/>
    <col min="9225" max="9225" width="2.85546875" style="114" customWidth="1"/>
    <col min="9226" max="9226" width="7.140625" style="114" customWidth="1"/>
    <col min="9227" max="9227" width="6.7109375" style="114" customWidth="1"/>
    <col min="9228" max="9228" width="6.85546875" style="114" customWidth="1"/>
    <col min="9229" max="9229" width="7.140625" style="114" customWidth="1"/>
    <col min="9230" max="9230" width="5.5703125" style="114" customWidth="1"/>
    <col min="9231" max="9232" width="6.5703125" style="114" customWidth="1"/>
    <col min="9233" max="9233" width="14.140625" style="114" customWidth="1"/>
    <col min="9234" max="9234" width="2.28515625" style="114" customWidth="1"/>
    <col min="9235" max="9472" width="8.85546875" style="114"/>
    <col min="9473" max="9473" width="3" style="114" customWidth="1"/>
    <col min="9474" max="9474" width="13.85546875" style="114" customWidth="1"/>
    <col min="9475" max="9475" width="7.28515625" style="114" customWidth="1"/>
    <col min="9476" max="9476" width="8.42578125" style="114" customWidth="1"/>
    <col min="9477" max="9477" width="6.5703125" style="114" customWidth="1"/>
    <col min="9478" max="9478" width="6.7109375" style="114" customWidth="1"/>
    <col min="9479" max="9479" width="6.5703125" style="114" customWidth="1"/>
    <col min="9480" max="9480" width="9.7109375" style="114" customWidth="1"/>
    <col min="9481" max="9481" width="2.85546875" style="114" customWidth="1"/>
    <col min="9482" max="9482" width="7.140625" style="114" customWidth="1"/>
    <col min="9483" max="9483" width="6.7109375" style="114" customWidth="1"/>
    <col min="9484" max="9484" width="6.85546875" style="114" customWidth="1"/>
    <col min="9485" max="9485" width="7.140625" style="114" customWidth="1"/>
    <col min="9486" max="9486" width="5.5703125" style="114" customWidth="1"/>
    <col min="9487" max="9488" width="6.5703125" style="114" customWidth="1"/>
    <col min="9489" max="9489" width="14.140625" style="114" customWidth="1"/>
    <col min="9490" max="9490" width="2.28515625" style="114" customWidth="1"/>
    <col min="9491" max="9728" width="8.85546875" style="114"/>
    <col min="9729" max="9729" width="3" style="114" customWidth="1"/>
    <col min="9730" max="9730" width="13.85546875" style="114" customWidth="1"/>
    <col min="9731" max="9731" width="7.28515625" style="114" customWidth="1"/>
    <col min="9732" max="9732" width="8.42578125" style="114" customWidth="1"/>
    <col min="9733" max="9733" width="6.5703125" style="114" customWidth="1"/>
    <col min="9734" max="9734" width="6.7109375" style="114" customWidth="1"/>
    <col min="9735" max="9735" width="6.5703125" style="114" customWidth="1"/>
    <col min="9736" max="9736" width="9.7109375" style="114" customWidth="1"/>
    <col min="9737" max="9737" width="2.85546875" style="114" customWidth="1"/>
    <col min="9738" max="9738" width="7.140625" style="114" customWidth="1"/>
    <col min="9739" max="9739" width="6.7109375" style="114" customWidth="1"/>
    <col min="9740" max="9740" width="6.85546875" style="114" customWidth="1"/>
    <col min="9741" max="9741" width="7.140625" style="114" customWidth="1"/>
    <col min="9742" max="9742" width="5.5703125" style="114" customWidth="1"/>
    <col min="9743" max="9744" width="6.5703125" style="114" customWidth="1"/>
    <col min="9745" max="9745" width="14.140625" style="114" customWidth="1"/>
    <col min="9746" max="9746" width="2.28515625" style="114" customWidth="1"/>
    <col min="9747" max="9984" width="8.85546875" style="114"/>
    <col min="9985" max="9985" width="3" style="114" customWidth="1"/>
    <col min="9986" max="9986" width="13.85546875" style="114" customWidth="1"/>
    <col min="9987" max="9987" width="7.28515625" style="114" customWidth="1"/>
    <col min="9988" max="9988" width="8.42578125" style="114" customWidth="1"/>
    <col min="9989" max="9989" width="6.5703125" style="114" customWidth="1"/>
    <col min="9990" max="9990" width="6.7109375" style="114" customWidth="1"/>
    <col min="9991" max="9991" width="6.5703125" style="114" customWidth="1"/>
    <col min="9992" max="9992" width="9.7109375" style="114" customWidth="1"/>
    <col min="9993" max="9993" width="2.85546875" style="114" customWidth="1"/>
    <col min="9994" max="9994" width="7.140625" style="114" customWidth="1"/>
    <col min="9995" max="9995" width="6.7109375" style="114" customWidth="1"/>
    <col min="9996" max="9996" width="6.85546875" style="114" customWidth="1"/>
    <col min="9997" max="9997" width="7.140625" style="114" customWidth="1"/>
    <col min="9998" max="9998" width="5.5703125" style="114" customWidth="1"/>
    <col min="9999" max="10000" width="6.5703125" style="114" customWidth="1"/>
    <col min="10001" max="10001" width="14.140625" style="114" customWidth="1"/>
    <col min="10002" max="10002" width="2.28515625" style="114" customWidth="1"/>
    <col min="10003" max="10240" width="8.85546875" style="114"/>
    <col min="10241" max="10241" width="3" style="114" customWidth="1"/>
    <col min="10242" max="10242" width="13.85546875" style="114" customWidth="1"/>
    <col min="10243" max="10243" width="7.28515625" style="114" customWidth="1"/>
    <col min="10244" max="10244" width="8.42578125" style="114" customWidth="1"/>
    <col min="10245" max="10245" width="6.5703125" style="114" customWidth="1"/>
    <col min="10246" max="10246" width="6.7109375" style="114" customWidth="1"/>
    <col min="10247" max="10247" width="6.5703125" style="114" customWidth="1"/>
    <col min="10248" max="10248" width="9.7109375" style="114" customWidth="1"/>
    <col min="10249" max="10249" width="2.85546875" style="114" customWidth="1"/>
    <col min="10250" max="10250" width="7.140625" style="114" customWidth="1"/>
    <col min="10251" max="10251" width="6.7109375" style="114" customWidth="1"/>
    <col min="10252" max="10252" width="6.85546875" style="114" customWidth="1"/>
    <col min="10253" max="10253" width="7.140625" style="114" customWidth="1"/>
    <col min="10254" max="10254" width="5.5703125" style="114" customWidth="1"/>
    <col min="10255" max="10256" width="6.5703125" style="114" customWidth="1"/>
    <col min="10257" max="10257" width="14.140625" style="114" customWidth="1"/>
    <col min="10258" max="10258" width="2.28515625" style="114" customWidth="1"/>
    <col min="10259" max="10496" width="8.85546875" style="114"/>
    <col min="10497" max="10497" width="3" style="114" customWidth="1"/>
    <col min="10498" max="10498" width="13.85546875" style="114" customWidth="1"/>
    <col min="10499" max="10499" width="7.28515625" style="114" customWidth="1"/>
    <col min="10500" max="10500" width="8.42578125" style="114" customWidth="1"/>
    <col min="10501" max="10501" width="6.5703125" style="114" customWidth="1"/>
    <col min="10502" max="10502" width="6.7109375" style="114" customWidth="1"/>
    <col min="10503" max="10503" width="6.5703125" style="114" customWidth="1"/>
    <col min="10504" max="10504" width="9.7109375" style="114" customWidth="1"/>
    <col min="10505" max="10505" width="2.85546875" style="114" customWidth="1"/>
    <col min="10506" max="10506" width="7.140625" style="114" customWidth="1"/>
    <col min="10507" max="10507" width="6.7109375" style="114" customWidth="1"/>
    <col min="10508" max="10508" width="6.85546875" style="114" customWidth="1"/>
    <col min="10509" max="10509" width="7.140625" style="114" customWidth="1"/>
    <col min="10510" max="10510" width="5.5703125" style="114" customWidth="1"/>
    <col min="10511" max="10512" width="6.5703125" style="114" customWidth="1"/>
    <col min="10513" max="10513" width="14.140625" style="114" customWidth="1"/>
    <col min="10514" max="10514" width="2.28515625" style="114" customWidth="1"/>
    <col min="10515" max="10752" width="8.85546875" style="114"/>
    <col min="10753" max="10753" width="3" style="114" customWidth="1"/>
    <col min="10754" max="10754" width="13.85546875" style="114" customWidth="1"/>
    <col min="10755" max="10755" width="7.28515625" style="114" customWidth="1"/>
    <col min="10756" max="10756" width="8.42578125" style="114" customWidth="1"/>
    <col min="10757" max="10757" width="6.5703125" style="114" customWidth="1"/>
    <col min="10758" max="10758" width="6.7109375" style="114" customWidth="1"/>
    <col min="10759" max="10759" width="6.5703125" style="114" customWidth="1"/>
    <col min="10760" max="10760" width="9.7109375" style="114" customWidth="1"/>
    <col min="10761" max="10761" width="2.85546875" style="114" customWidth="1"/>
    <col min="10762" max="10762" width="7.140625" style="114" customWidth="1"/>
    <col min="10763" max="10763" width="6.7109375" style="114" customWidth="1"/>
    <col min="10764" max="10764" width="6.85546875" style="114" customWidth="1"/>
    <col min="10765" max="10765" width="7.140625" style="114" customWidth="1"/>
    <col min="10766" max="10766" width="5.5703125" style="114" customWidth="1"/>
    <col min="10767" max="10768" width="6.5703125" style="114" customWidth="1"/>
    <col min="10769" max="10769" width="14.140625" style="114" customWidth="1"/>
    <col min="10770" max="10770" width="2.28515625" style="114" customWidth="1"/>
    <col min="10771" max="11008" width="8.85546875" style="114"/>
    <col min="11009" max="11009" width="3" style="114" customWidth="1"/>
    <col min="11010" max="11010" width="13.85546875" style="114" customWidth="1"/>
    <col min="11011" max="11011" width="7.28515625" style="114" customWidth="1"/>
    <col min="11012" max="11012" width="8.42578125" style="114" customWidth="1"/>
    <col min="11013" max="11013" width="6.5703125" style="114" customWidth="1"/>
    <col min="11014" max="11014" width="6.7109375" style="114" customWidth="1"/>
    <col min="11015" max="11015" width="6.5703125" style="114" customWidth="1"/>
    <col min="11016" max="11016" width="9.7109375" style="114" customWidth="1"/>
    <col min="11017" max="11017" width="2.85546875" style="114" customWidth="1"/>
    <col min="11018" max="11018" width="7.140625" style="114" customWidth="1"/>
    <col min="11019" max="11019" width="6.7109375" style="114" customWidth="1"/>
    <col min="11020" max="11020" width="6.85546875" style="114" customWidth="1"/>
    <col min="11021" max="11021" width="7.140625" style="114" customWidth="1"/>
    <col min="11022" max="11022" width="5.5703125" style="114" customWidth="1"/>
    <col min="11023" max="11024" width="6.5703125" style="114" customWidth="1"/>
    <col min="11025" max="11025" width="14.140625" style="114" customWidth="1"/>
    <col min="11026" max="11026" width="2.28515625" style="114" customWidth="1"/>
    <col min="11027" max="11264" width="8.85546875" style="114"/>
    <col min="11265" max="11265" width="3" style="114" customWidth="1"/>
    <col min="11266" max="11266" width="13.85546875" style="114" customWidth="1"/>
    <col min="11267" max="11267" width="7.28515625" style="114" customWidth="1"/>
    <col min="11268" max="11268" width="8.42578125" style="114" customWidth="1"/>
    <col min="11269" max="11269" width="6.5703125" style="114" customWidth="1"/>
    <col min="11270" max="11270" width="6.7109375" style="114" customWidth="1"/>
    <col min="11271" max="11271" width="6.5703125" style="114" customWidth="1"/>
    <col min="11272" max="11272" width="9.7109375" style="114" customWidth="1"/>
    <col min="11273" max="11273" width="2.85546875" style="114" customWidth="1"/>
    <col min="11274" max="11274" width="7.140625" style="114" customWidth="1"/>
    <col min="11275" max="11275" width="6.7109375" style="114" customWidth="1"/>
    <col min="11276" max="11276" width="6.85546875" style="114" customWidth="1"/>
    <col min="11277" max="11277" width="7.140625" style="114" customWidth="1"/>
    <col min="11278" max="11278" width="5.5703125" style="114" customWidth="1"/>
    <col min="11279" max="11280" width="6.5703125" style="114" customWidth="1"/>
    <col min="11281" max="11281" width="14.140625" style="114" customWidth="1"/>
    <col min="11282" max="11282" width="2.28515625" style="114" customWidth="1"/>
    <col min="11283" max="11520" width="8.85546875" style="114"/>
    <col min="11521" max="11521" width="3" style="114" customWidth="1"/>
    <col min="11522" max="11522" width="13.85546875" style="114" customWidth="1"/>
    <col min="11523" max="11523" width="7.28515625" style="114" customWidth="1"/>
    <col min="11524" max="11524" width="8.42578125" style="114" customWidth="1"/>
    <col min="11525" max="11525" width="6.5703125" style="114" customWidth="1"/>
    <col min="11526" max="11526" width="6.7109375" style="114" customWidth="1"/>
    <col min="11527" max="11527" width="6.5703125" style="114" customWidth="1"/>
    <col min="11528" max="11528" width="9.7109375" style="114" customWidth="1"/>
    <col min="11529" max="11529" width="2.85546875" style="114" customWidth="1"/>
    <col min="11530" max="11530" width="7.140625" style="114" customWidth="1"/>
    <col min="11531" max="11531" width="6.7109375" style="114" customWidth="1"/>
    <col min="11532" max="11532" width="6.85546875" style="114" customWidth="1"/>
    <col min="11533" max="11533" width="7.140625" style="114" customWidth="1"/>
    <col min="11534" max="11534" width="5.5703125" style="114" customWidth="1"/>
    <col min="11535" max="11536" width="6.5703125" style="114" customWidth="1"/>
    <col min="11537" max="11537" width="14.140625" style="114" customWidth="1"/>
    <col min="11538" max="11538" width="2.28515625" style="114" customWidth="1"/>
    <col min="11539" max="11776" width="8.85546875" style="114"/>
    <col min="11777" max="11777" width="3" style="114" customWidth="1"/>
    <col min="11778" max="11778" width="13.85546875" style="114" customWidth="1"/>
    <col min="11779" max="11779" width="7.28515625" style="114" customWidth="1"/>
    <col min="11780" max="11780" width="8.42578125" style="114" customWidth="1"/>
    <col min="11781" max="11781" width="6.5703125" style="114" customWidth="1"/>
    <col min="11782" max="11782" width="6.7109375" style="114" customWidth="1"/>
    <col min="11783" max="11783" width="6.5703125" style="114" customWidth="1"/>
    <col min="11784" max="11784" width="9.7109375" style="114" customWidth="1"/>
    <col min="11785" max="11785" width="2.85546875" style="114" customWidth="1"/>
    <col min="11786" max="11786" width="7.140625" style="114" customWidth="1"/>
    <col min="11787" max="11787" width="6.7109375" style="114" customWidth="1"/>
    <col min="11788" max="11788" width="6.85546875" style="114" customWidth="1"/>
    <col min="11789" max="11789" width="7.140625" style="114" customWidth="1"/>
    <col min="11790" max="11790" width="5.5703125" style="114" customWidth="1"/>
    <col min="11791" max="11792" width="6.5703125" style="114" customWidth="1"/>
    <col min="11793" max="11793" width="14.140625" style="114" customWidth="1"/>
    <col min="11794" max="11794" width="2.28515625" style="114" customWidth="1"/>
    <col min="11795" max="12032" width="8.85546875" style="114"/>
    <col min="12033" max="12033" width="3" style="114" customWidth="1"/>
    <col min="12034" max="12034" width="13.85546875" style="114" customWidth="1"/>
    <col min="12035" max="12035" width="7.28515625" style="114" customWidth="1"/>
    <col min="12036" max="12036" width="8.42578125" style="114" customWidth="1"/>
    <col min="12037" max="12037" width="6.5703125" style="114" customWidth="1"/>
    <col min="12038" max="12038" width="6.7109375" style="114" customWidth="1"/>
    <col min="12039" max="12039" width="6.5703125" style="114" customWidth="1"/>
    <col min="12040" max="12040" width="9.7109375" style="114" customWidth="1"/>
    <col min="12041" max="12041" width="2.85546875" style="114" customWidth="1"/>
    <col min="12042" max="12042" width="7.140625" style="114" customWidth="1"/>
    <col min="12043" max="12043" width="6.7109375" style="114" customWidth="1"/>
    <col min="12044" max="12044" width="6.85546875" style="114" customWidth="1"/>
    <col min="12045" max="12045" width="7.140625" style="114" customWidth="1"/>
    <col min="12046" max="12046" width="5.5703125" style="114" customWidth="1"/>
    <col min="12047" max="12048" width="6.5703125" style="114" customWidth="1"/>
    <col min="12049" max="12049" width="14.140625" style="114" customWidth="1"/>
    <col min="12050" max="12050" width="2.28515625" style="114" customWidth="1"/>
    <col min="12051" max="12288" width="8.85546875" style="114"/>
    <col min="12289" max="12289" width="3" style="114" customWidth="1"/>
    <col min="12290" max="12290" width="13.85546875" style="114" customWidth="1"/>
    <col min="12291" max="12291" width="7.28515625" style="114" customWidth="1"/>
    <col min="12292" max="12292" width="8.42578125" style="114" customWidth="1"/>
    <col min="12293" max="12293" width="6.5703125" style="114" customWidth="1"/>
    <col min="12294" max="12294" width="6.7109375" style="114" customWidth="1"/>
    <col min="12295" max="12295" width="6.5703125" style="114" customWidth="1"/>
    <col min="12296" max="12296" width="9.7109375" style="114" customWidth="1"/>
    <col min="12297" max="12297" width="2.85546875" style="114" customWidth="1"/>
    <col min="12298" max="12298" width="7.140625" style="114" customWidth="1"/>
    <col min="12299" max="12299" width="6.7109375" style="114" customWidth="1"/>
    <col min="12300" max="12300" width="6.85546875" style="114" customWidth="1"/>
    <col min="12301" max="12301" width="7.140625" style="114" customWidth="1"/>
    <col min="12302" max="12302" width="5.5703125" style="114" customWidth="1"/>
    <col min="12303" max="12304" width="6.5703125" style="114" customWidth="1"/>
    <col min="12305" max="12305" width="14.140625" style="114" customWidth="1"/>
    <col min="12306" max="12306" width="2.28515625" style="114" customWidth="1"/>
    <col min="12307" max="12544" width="8.85546875" style="114"/>
    <col min="12545" max="12545" width="3" style="114" customWidth="1"/>
    <col min="12546" max="12546" width="13.85546875" style="114" customWidth="1"/>
    <col min="12547" max="12547" width="7.28515625" style="114" customWidth="1"/>
    <col min="12548" max="12548" width="8.42578125" style="114" customWidth="1"/>
    <col min="12549" max="12549" width="6.5703125" style="114" customWidth="1"/>
    <col min="12550" max="12550" width="6.7109375" style="114" customWidth="1"/>
    <col min="12551" max="12551" width="6.5703125" style="114" customWidth="1"/>
    <col min="12552" max="12552" width="9.7109375" style="114" customWidth="1"/>
    <col min="12553" max="12553" width="2.85546875" style="114" customWidth="1"/>
    <col min="12554" max="12554" width="7.140625" style="114" customWidth="1"/>
    <col min="12555" max="12555" width="6.7109375" style="114" customWidth="1"/>
    <col min="12556" max="12556" width="6.85546875" style="114" customWidth="1"/>
    <col min="12557" max="12557" width="7.140625" style="114" customWidth="1"/>
    <col min="12558" max="12558" width="5.5703125" style="114" customWidth="1"/>
    <col min="12559" max="12560" width="6.5703125" style="114" customWidth="1"/>
    <col min="12561" max="12561" width="14.140625" style="114" customWidth="1"/>
    <col min="12562" max="12562" width="2.28515625" style="114" customWidth="1"/>
    <col min="12563" max="12800" width="8.85546875" style="114"/>
    <col min="12801" max="12801" width="3" style="114" customWidth="1"/>
    <col min="12802" max="12802" width="13.85546875" style="114" customWidth="1"/>
    <col min="12803" max="12803" width="7.28515625" style="114" customWidth="1"/>
    <col min="12804" max="12804" width="8.42578125" style="114" customWidth="1"/>
    <col min="12805" max="12805" width="6.5703125" style="114" customWidth="1"/>
    <col min="12806" max="12806" width="6.7109375" style="114" customWidth="1"/>
    <col min="12807" max="12807" width="6.5703125" style="114" customWidth="1"/>
    <col min="12808" max="12808" width="9.7109375" style="114" customWidth="1"/>
    <col min="12809" max="12809" width="2.85546875" style="114" customWidth="1"/>
    <col min="12810" max="12810" width="7.140625" style="114" customWidth="1"/>
    <col min="12811" max="12811" width="6.7109375" style="114" customWidth="1"/>
    <col min="12812" max="12812" width="6.85546875" style="114" customWidth="1"/>
    <col min="12813" max="12813" width="7.140625" style="114" customWidth="1"/>
    <col min="12814" max="12814" width="5.5703125" style="114" customWidth="1"/>
    <col min="12815" max="12816" width="6.5703125" style="114" customWidth="1"/>
    <col min="12817" max="12817" width="14.140625" style="114" customWidth="1"/>
    <col min="12818" max="12818" width="2.28515625" style="114" customWidth="1"/>
    <col min="12819" max="13056" width="8.85546875" style="114"/>
    <col min="13057" max="13057" width="3" style="114" customWidth="1"/>
    <col min="13058" max="13058" width="13.85546875" style="114" customWidth="1"/>
    <col min="13059" max="13059" width="7.28515625" style="114" customWidth="1"/>
    <col min="13060" max="13060" width="8.42578125" style="114" customWidth="1"/>
    <col min="13061" max="13061" width="6.5703125" style="114" customWidth="1"/>
    <col min="13062" max="13062" width="6.7109375" style="114" customWidth="1"/>
    <col min="13063" max="13063" width="6.5703125" style="114" customWidth="1"/>
    <col min="13064" max="13064" width="9.7109375" style="114" customWidth="1"/>
    <col min="13065" max="13065" width="2.85546875" style="114" customWidth="1"/>
    <col min="13066" max="13066" width="7.140625" style="114" customWidth="1"/>
    <col min="13067" max="13067" width="6.7109375" style="114" customWidth="1"/>
    <col min="13068" max="13068" width="6.85546875" style="114" customWidth="1"/>
    <col min="13069" max="13069" width="7.140625" style="114" customWidth="1"/>
    <col min="13070" max="13070" width="5.5703125" style="114" customWidth="1"/>
    <col min="13071" max="13072" width="6.5703125" style="114" customWidth="1"/>
    <col min="13073" max="13073" width="14.140625" style="114" customWidth="1"/>
    <col min="13074" max="13074" width="2.28515625" style="114" customWidth="1"/>
    <col min="13075" max="13312" width="8.85546875" style="114"/>
    <col min="13313" max="13313" width="3" style="114" customWidth="1"/>
    <col min="13314" max="13314" width="13.85546875" style="114" customWidth="1"/>
    <col min="13315" max="13315" width="7.28515625" style="114" customWidth="1"/>
    <col min="13316" max="13316" width="8.42578125" style="114" customWidth="1"/>
    <col min="13317" max="13317" width="6.5703125" style="114" customWidth="1"/>
    <col min="13318" max="13318" width="6.7109375" style="114" customWidth="1"/>
    <col min="13319" max="13319" width="6.5703125" style="114" customWidth="1"/>
    <col min="13320" max="13320" width="9.7109375" style="114" customWidth="1"/>
    <col min="13321" max="13321" width="2.85546875" style="114" customWidth="1"/>
    <col min="13322" max="13322" width="7.140625" style="114" customWidth="1"/>
    <col min="13323" max="13323" width="6.7109375" style="114" customWidth="1"/>
    <col min="13324" max="13324" width="6.85546875" style="114" customWidth="1"/>
    <col min="13325" max="13325" width="7.140625" style="114" customWidth="1"/>
    <col min="13326" max="13326" width="5.5703125" style="114" customWidth="1"/>
    <col min="13327" max="13328" width="6.5703125" style="114" customWidth="1"/>
    <col min="13329" max="13329" width="14.140625" style="114" customWidth="1"/>
    <col min="13330" max="13330" width="2.28515625" style="114" customWidth="1"/>
    <col min="13331" max="13568" width="8.85546875" style="114"/>
    <col min="13569" max="13569" width="3" style="114" customWidth="1"/>
    <col min="13570" max="13570" width="13.85546875" style="114" customWidth="1"/>
    <col min="13571" max="13571" width="7.28515625" style="114" customWidth="1"/>
    <col min="13572" max="13572" width="8.42578125" style="114" customWidth="1"/>
    <col min="13573" max="13573" width="6.5703125" style="114" customWidth="1"/>
    <col min="13574" max="13574" width="6.7109375" style="114" customWidth="1"/>
    <col min="13575" max="13575" width="6.5703125" style="114" customWidth="1"/>
    <col min="13576" max="13576" width="9.7109375" style="114" customWidth="1"/>
    <col min="13577" max="13577" width="2.85546875" style="114" customWidth="1"/>
    <col min="13578" max="13578" width="7.140625" style="114" customWidth="1"/>
    <col min="13579" max="13579" width="6.7109375" style="114" customWidth="1"/>
    <col min="13580" max="13580" width="6.85546875" style="114" customWidth="1"/>
    <col min="13581" max="13581" width="7.140625" style="114" customWidth="1"/>
    <col min="13582" max="13582" width="5.5703125" style="114" customWidth="1"/>
    <col min="13583" max="13584" width="6.5703125" style="114" customWidth="1"/>
    <col min="13585" max="13585" width="14.140625" style="114" customWidth="1"/>
    <col min="13586" max="13586" width="2.28515625" style="114" customWidth="1"/>
    <col min="13587" max="13824" width="8.85546875" style="114"/>
    <col min="13825" max="13825" width="3" style="114" customWidth="1"/>
    <col min="13826" max="13826" width="13.85546875" style="114" customWidth="1"/>
    <col min="13827" max="13827" width="7.28515625" style="114" customWidth="1"/>
    <col min="13828" max="13828" width="8.42578125" style="114" customWidth="1"/>
    <col min="13829" max="13829" width="6.5703125" style="114" customWidth="1"/>
    <col min="13830" max="13830" width="6.7109375" style="114" customWidth="1"/>
    <col min="13831" max="13831" width="6.5703125" style="114" customWidth="1"/>
    <col min="13832" max="13832" width="9.7109375" style="114" customWidth="1"/>
    <col min="13833" max="13833" width="2.85546875" style="114" customWidth="1"/>
    <col min="13834" max="13834" width="7.140625" style="114" customWidth="1"/>
    <col min="13835" max="13835" width="6.7109375" style="114" customWidth="1"/>
    <col min="13836" max="13836" width="6.85546875" style="114" customWidth="1"/>
    <col min="13837" max="13837" width="7.140625" style="114" customWidth="1"/>
    <col min="13838" max="13838" width="5.5703125" style="114" customWidth="1"/>
    <col min="13839" max="13840" width="6.5703125" style="114" customWidth="1"/>
    <col min="13841" max="13841" width="14.140625" style="114" customWidth="1"/>
    <col min="13842" max="13842" width="2.28515625" style="114" customWidth="1"/>
    <col min="13843" max="14080" width="8.85546875" style="114"/>
    <col min="14081" max="14081" width="3" style="114" customWidth="1"/>
    <col min="14082" max="14082" width="13.85546875" style="114" customWidth="1"/>
    <col min="14083" max="14083" width="7.28515625" style="114" customWidth="1"/>
    <col min="14084" max="14084" width="8.42578125" style="114" customWidth="1"/>
    <col min="14085" max="14085" width="6.5703125" style="114" customWidth="1"/>
    <col min="14086" max="14086" width="6.7109375" style="114" customWidth="1"/>
    <col min="14087" max="14087" width="6.5703125" style="114" customWidth="1"/>
    <col min="14088" max="14088" width="9.7109375" style="114" customWidth="1"/>
    <col min="14089" max="14089" width="2.85546875" style="114" customWidth="1"/>
    <col min="14090" max="14090" width="7.140625" style="114" customWidth="1"/>
    <col min="14091" max="14091" width="6.7109375" style="114" customWidth="1"/>
    <col min="14092" max="14092" width="6.85546875" style="114" customWidth="1"/>
    <col min="14093" max="14093" width="7.140625" style="114" customWidth="1"/>
    <col min="14094" max="14094" width="5.5703125" style="114" customWidth="1"/>
    <col min="14095" max="14096" width="6.5703125" style="114" customWidth="1"/>
    <col min="14097" max="14097" width="14.140625" style="114" customWidth="1"/>
    <col min="14098" max="14098" width="2.28515625" style="114" customWidth="1"/>
    <col min="14099" max="14336" width="8.85546875" style="114"/>
    <col min="14337" max="14337" width="3" style="114" customWidth="1"/>
    <col min="14338" max="14338" width="13.85546875" style="114" customWidth="1"/>
    <col min="14339" max="14339" width="7.28515625" style="114" customWidth="1"/>
    <col min="14340" max="14340" width="8.42578125" style="114" customWidth="1"/>
    <col min="14341" max="14341" width="6.5703125" style="114" customWidth="1"/>
    <col min="14342" max="14342" width="6.7109375" style="114" customWidth="1"/>
    <col min="14343" max="14343" width="6.5703125" style="114" customWidth="1"/>
    <col min="14344" max="14344" width="9.7109375" style="114" customWidth="1"/>
    <col min="14345" max="14345" width="2.85546875" style="114" customWidth="1"/>
    <col min="14346" max="14346" width="7.140625" style="114" customWidth="1"/>
    <col min="14347" max="14347" width="6.7109375" style="114" customWidth="1"/>
    <col min="14348" max="14348" width="6.85546875" style="114" customWidth="1"/>
    <col min="14349" max="14349" width="7.140625" style="114" customWidth="1"/>
    <col min="14350" max="14350" width="5.5703125" style="114" customWidth="1"/>
    <col min="14351" max="14352" width="6.5703125" style="114" customWidth="1"/>
    <col min="14353" max="14353" width="14.140625" style="114" customWidth="1"/>
    <col min="14354" max="14354" width="2.28515625" style="114" customWidth="1"/>
    <col min="14355" max="14592" width="8.85546875" style="114"/>
    <col min="14593" max="14593" width="3" style="114" customWidth="1"/>
    <col min="14594" max="14594" width="13.85546875" style="114" customWidth="1"/>
    <col min="14595" max="14595" width="7.28515625" style="114" customWidth="1"/>
    <col min="14596" max="14596" width="8.42578125" style="114" customWidth="1"/>
    <col min="14597" max="14597" width="6.5703125" style="114" customWidth="1"/>
    <col min="14598" max="14598" width="6.7109375" style="114" customWidth="1"/>
    <col min="14599" max="14599" width="6.5703125" style="114" customWidth="1"/>
    <col min="14600" max="14600" width="9.7109375" style="114" customWidth="1"/>
    <col min="14601" max="14601" width="2.85546875" style="114" customWidth="1"/>
    <col min="14602" max="14602" width="7.140625" style="114" customWidth="1"/>
    <col min="14603" max="14603" width="6.7109375" style="114" customWidth="1"/>
    <col min="14604" max="14604" width="6.85546875" style="114" customWidth="1"/>
    <col min="14605" max="14605" width="7.140625" style="114" customWidth="1"/>
    <col min="14606" max="14606" width="5.5703125" style="114" customWidth="1"/>
    <col min="14607" max="14608" width="6.5703125" style="114" customWidth="1"/>
    <col min="14609" max="14609" width="14.140625" style="114" customWidth="1"/>
    <col min="14610" max="14610" width="2.28515625" style="114" customWidth="1"/>
    <col min="14611" max="14848" width="8.85546875" style="114"/>
    <col min="14849" max="14849" width="3" style="114" customWidth="1"/>
    <col min="14850" max="14850" width="13.85546875" style="114" customWidth="1"/>
    <col min="14851" max="14851" width="7.28515625" style="114" customWidth="1"/>
    <col min="14852" max="14852" width="8.42578125" style="114" customWidth="1"/>
    <col min="14853" max="14853" width="6.5703125" style="114" customWidth="1"/>
    <col min="14854" max="14854" width="6.7109375" style="114" customWidth="1"/>
    <col min="14855" max="14855" width="6.5703125" style="114" customWidth="1"/>
    <col min="14856" max="14856" width="9.7109375" style="114" customWidth="1"/>
    <col min="14857" max="14857" width="2.85546875" style="114" customWidth="1"/>
    <col min="14858" max="14858" width="7.140625" style="114" customWidth="1"/>
    <col min="14859" max="14859" width="6.7109375" style="114" customWidth="1"/>
    <col min="14860" max="14860" width="6.85546875" style="114" customWidth="1"/>
    <col min="14861" max="14861" width="7.140625" style="114" customWidth="1"/>
    <col min="14862" max="14862" width="5.5703125" style="114" customWidth="1"/>
    <col min="14863" max="14864" width="6.5703125" style="114" customWidth="1"/>
    <col min="14865" max="14865" width="14.140625" style="114" customWidth="1"/>
    <col min="14866" max="14866" width="2.28515625" style="114" customWidth="1"/>
    <col min="14867" max="15104" width="8.85546875" style="114"/>
    <col min="15105" max="15105" width="3" style="114" customWidth="1"/>
    <col min="15106" max="15106" width="13.85546875" style="114" customWidth="1"/>
    <col min="15107" max="15107" width="7.28515625" style="114" customWidth="1"/>
    <col min="15108" max="15108" width="8.42578125" style="114" customWidth="1"/>
    <col min="15109" max="15109" width="6.5703125" style="114" customWidth="1"/>
    <col min="15110" max="15110" width="6.7109375" style="114" customWidth="1"/>
    <col min="15111" max="15111" width="6.5703125" style="114" customWidth="1"/>
    <col min="15112" max="15112" width="9.7109375" style="114" customWidth="1"/>
    <col min="15113" max="15113" width="2.85546875" style="114" customWidth="1"/>
    <col min="15114" max="15114" width="7.140625" style="114" customWidth="1"/>
    <col min="15115" max="15115" width="6.7109375" style="114" customWidth="1"/>
    <col min="15116" max="15116" width="6.85546875" style="114" customWidth="1"/>
    <col min="15117" max="15117" width="7.140625" style="114" customWidth="1"/>
    <col min="15118" max="15118" width="5.5703125" style="114" customWidth="1"/>
    <col min="15119" max="15120" width="6.5703125" style="114" customWidth="1"/>
    <col min="15121" max="15121" width="14.140625" style="114" customWidth="1"/>
    <col min="15122" max="15122" width="2.28515625" style="114" customWidth="1"/>
    <col min="15123" max="15360" width="8.85546875" style="114"/>
    <col min="15361" max="15361" width="3" style="114" customWidth="1"/>
    <col min="15362" max="15362" width="13.85546875" style="114" customWidth="1"/>
    <col min="15363" max="15363" width="7.28515625" style="114" customWidth="1"/>
    <col min="15364" max="15364" width="8.42578125" style="114" customWidth="1"/>
    <col min="15365" max="15365" width="6.5703125" style="114" customWidth="1"/>
    <col min="15366" max="15366" width="6.7109375" style="114" customWidth="1"/>
    <col min="15367" max="15367" width="6.5703125" style="114" customWidth="1"/>
    <col min="15368" max="15368" width="9.7109375" style="114" customWidth="1"/>
    <col min="15369" max="15369" width="2.85546875" style="114" customWidth="1"/>
    <col min="15370" max="15370" width="7.140625" style="114" customWidth="1"/>
    <col min="15371" max="15371" width="6.7109375" style="114" customWidth="1"/>
    <col min="15372" max="15372" width="6.85546875" style="114" customWidth="1"/>
    <col min="15373" max="15373" width="7.140625" style="114" customWidth="1"/>
    <col min="15374" max="15374" width="5.5703125" style="114" customWidth="1"/>
    <col min="15375" max="15376" width="6.5703125" style="114" customWidth="1"/>
    <col min="15377" max="15377" width="14.140625" style="114" customWidth="1"/>
    <col min="15378" max="15378" width="2.28515625" style="114" customWidth="1"/>
    <col min="15379" max="15616" width="8.85546875" style="114"/>
    <col min="15617" max="15617" width="3" style="114" customWidth="1"/>
    <col min="15618" max="15618" width="13.85546875" style="114" customWidth="1"/>
    <col min="15619" max="15619" width="7.28515625" style="114" customWidth="1"/>
    <col min="15620" max="15620" width="8.42578125" style="114" customWidth="1"/>
    <col min="15621" max="15621" width="6.5703125" style="114" customWidth="1"/>
    <col min="15622" max="15622" width="6.7109375" style="114" customWidth="1"/>
    <col min="15623" max="15623" width="6.5703125" style="114" customWidth="1"/>
    <col min="15624" max="15624" width="9.7109375" style="114" customWidth="1"/>
    <col min="15625" max="15625" width="2.85546875" style="114" customWidth="1"/>
    <col min="15626" max="15626" width="7.140625" style="114" customWidth="1"/>
    <col min="15627" max="15627" width="6.7109375" style="114" customWidth="1"/>
    <col min="15628" max="15628" width="6.85546875" style="114" customWidth="1"/>
    <col min="15629" max="15629" width="7.140625" style="114" customWidth="1"/>
    <col min="15630" max="15630" width="5.5703125" style="114" customWidth="1"/>
    <col min="15631" max="15632" width="6.5703125" style="114" customWidth="1"/>
    <col min="15633" max="15633" width="14.140625" style="114" customWidth="1"/>
    <col min="15634" max="15634" width="2.28515625" style="114" customWidth="1"/>
    <col min="15635" max="15872" width="8.85546875" style="114"/>
    <col min="15873" max="15873" width="3" style="114" customWidth="1"/>
    <col min="15874" max="15874" width="13.85546875" style="114" customWidth="1"/>
    <col min="15875" max="15875" width="7.28515625" style="114" customWidth="1"/>
    <col min="15876" max="15876" width="8.42578125" style="114" customWidth="1"/>
    <col min="15877" max="15877" width="6.5703125" style="114" customWidth="1"/>
    <col min="15878" max="15878" width="6.7109375" style="114" customWidth="1"/>
    <col min="15879" max="15879" width="6.5703125" style="114" customWidth="1"/>
    <col min="15880" max="15880" width="9.7109375" style="114" customWidth="1"/>
    <col min="15881" max="15881" width="2.85546875" style="114" customWidth="1"/>
    <col min="15882" max="15882" width="7.140625" style="114" customWidth="1"/>
    <col min="15883" max="15883" width="6.7109375" style="114" customWidth="1"/>
    <col min="15884" max="15884" width="6.85546875" style="114" customWidth="1"/>
    <col min="15885" max="15885" width="7.140625" style="114" customWidth="1"/>
    <col min="15886" max="15886" width="5.5703125" style="114" customWidth="1"/>
    <col min="15887" max="15888" width="6.5703125" style="114" customWidth="1"/>
    <col min="15889" max="15889" width="14.140625" style="114" customWidth="1"/>
    <col min="15890" max="15890" width="2.28515625" style="114" customWidth="1"/>
    <col min="15891" max="16128" width="8.85546875" style="114"/>
    <col min="16129" max="16129" width="3" style="114" customWidth="1"/>
    <col min="16130" max="16130" width="13.85546875" style="114" customWidth="1"/>
    <col min="16131" max="16131" width="7.28515625" style="114" customWidth="1"/>
    <col min="16132" max="16132" width="8.42578125" style="114" customWidth="1"/>
    <col min="16133" max="16133" width="6.5703125" style="114" customWidth="1"/>
    <col min="16134" max="16134" width="6.7109375" style="114" customWidth="1"/>
    <col min="16135" max="16135" width="6.5703125" style="114" customWidth="1"/>
    <col min="16136" max="16136" width="9.7109375" style="114" customWidth="1"/>
    <col min="16137" max="16137" width="2.85546875" style="114" customWidth="1"/>
    <col min="16138" max="16138" width="7.140625" style="114" customWidth="1"/>
    <col min="16139" max="16139" width="6.7109375" style="114" customWidth="1"/>
    <col min="16140" max="16140" width="6.85546875" style="114" customWidth="1"/>
    <col min="16141" max="16141" width="7.140625" style="114" customWidth="1"/>
    <col min="16142" max="16142" width="5.5703125" style="114" customWidth="1"/>
    <col min="16143" max="16144" width="6.5703125" style="114" customWidth="1"/>
    <col min="16145" max="16145" width="14.140625" style="114" customWidth="1"/>
    <col min="16146" max="16146" width="2.28515625" style="114" customWidth="1"/>
    <col min="16147" max="16384" width="8.85546875" style="114"/>
  </cols>
  <sheetData>
    <row r="1" spans="2:23" ht="15.75" thickTop="1" x14ac:dyDescent="0.25">
      <c r="B1" s="639"/>
      <c r="C1" s="640"/>
      <c r="D1" s="640"/>
      <c r="E1" s="640"/>
      <c r="F1" s="640"/>
      <c r="G1" s="640"/>
      <c r="H1" s="640"/>
      <c r="I1" s="640"/>
      <c r="J1" s="640"/>
      <c r="K1" s="640"/>
      <c r="L1" s="640"/>
      <c r="M1" s="640"/>
      <c r="N1" s="640"/>
      <c r="O1" s="640"/>
      <c r="P1" s="640"/>
      <c r="Q1" s="641"/>
    </row>
    <row r="2" spans="2:23" ht="15.75" x14ac:dyDescent="0.25">
      <c r="B2" s="1335" t="s">
        <v>2</v>
      </c>
      <c r="C2" s="1336"/>
      <c r="D2" s="1336"/>
      <c r="E2" s="1336"/>
      <c r="F2" s="642"/>
      <c r="G2" s="642"/>
      <c r="H2" s="642"/>
      <c r="I2" s="642"/>
      <c r="J2" s="642"/>
      <c r="K2" s="642"/>
      <c r="L2" s="642"/>
      <c r="M2" s="642"/>
      <c r="N2" s="642"/>
      <c r="O2" s="642"/>
      <c r="P2" s="642"/>
      <c r="Q2" s="643"/>
    </row>
    <row r="3" spans="2:23" ht="15.75" x14ac:dyDescent="0.25">
      <c r="B3" s="1335" t="s">
        <v>111</v>
      </c>
      <c r="C3" s="1336"/>
      <c r="D3" s="1336"/>
      <c r="E3" s="1336"/>
      <c r="F3" s="642"/>
      <c r="G3" s="642"/>
      <c r="H3" s="642"/>
      <c r="I3" s="642"/>
      <c r="J3" s="642"/>
      <c r="K3" s="642"/>
      <c r="L3" s="642"/>
      <c r="M3" s="642"/>
      <c r="N3" s="642"/>
      <c r="O3" s="642"/>
      <c r="P3" s="642"/>
      <c r="Q3" s="643"/>
    </row>
    <row r="4" spans="2:23" ht="15.75" x14ac:dyDescent="0.25">
      <c r="B4" s="1335" t="s">
        <v>112</v>
      </c>
      <c r="C4" s="1336"/>
      <c r="D4" s="1336"/>
      <c r="E4" s="1336"/>
      <c r="F4" s="642"/>
      <c r="G4" s="642"/>
      <c r="H4" s="642"/>
      <c r="I4" s="642"/>
      <c r="J4" s="642"/>
      <c r="K4" s="642"/>
      <c r="L4" s="642"/>
      <c r="M4" s="642"/>
      <c r="N4" s="642"/>
      <c r="O4" s="642"/>
      <c r="P4" s="642"/>
      <c r="Q4" s="643"/>
    </row>
    <row r="5" spans="2:23" ht="26.25" customHeight="1" x14ac:dyDescent="0.25">
      <c r="B5" s="1337" t="s">
        <v>808</v>
      </c>
      <c r="C5" s="1338"/>
      <c r="D5" s="1338"/>
      <c r="E5" s="1338"/>
      <c r="F5" s="1338"/>
      <c r="G5" s="1338"/>
      <c r="H5" s="1338"/>
      <c r="I5" s="1338"/>
      <c r="J5" s="1338"/>
      <c r="K5" s="1338"/>
      <c r="L5" s="1338"/>
      <c r="M5" s="1338"/>
      <c r="N5" s="1338"/>
      <c r="O5" s="1338"/>
      <c r="P5" s="1338"/>
      <c r="Q5" s="1339"/>
      <c r="R5" s="115"/>
    </row>
    <row r="6" spans="2:23" ht="26.25" customHeight="1" x14ac:dyDescent="0.25">
      <c r="B6" s="1340" t="s">
        <v>336</v>
      </c>
      <c r="C6" s="1341"/>
      <c r="D6" s="1341"/>
      <c r="E6" s="1341"/>
      <c r="F6" s="1341"/>
      <c r="G6" s="1341"/>
      <c r="H6" s="1341"/>
      <c r="I6" s="1341"/>
      <c r="J6" s="1341"/>
      <c r="K6" s="1341"/>
      <c r="L6" s="1341"/>
      <c r="M6" s="1341"/>
      <c r="N6" s="1341"/>
      <c r="O6" s="1341"/>
      <c r="P6" s="1341"/>
      <c r="Q6" s="1342"/>
      <c r="R6" s="116"/>
    </row>
    <row r="7" spans="2:23" ht="26.25" customHeight="1" x14ac:dyDescent="0.25">
      <c r="B7" s="1347" t="s">
        <v>337</v>
      </c>
      <c r="C7" s="1327"/>
      <c r="D7" s="1327"/>
      <c r="E7" s="1327"/>
      <c r="F7" s="1327"/>
      <c r="G7" s="1327"/>
      <c r="H7" s="1327"/>
      <c r="I7" s="1327"/>
      <c r="J7" s="1327"/>
      <c r="K7" s="1327"/>
      <c r="L7" s="1327"/>
      <c r="M7" s="1327"/>
      <c r="N7" s="1327"/>
      <c r="O7" s="1327"/>
      <c r="P7" s="1327"/>
      <c r="Q7" s="1348"/>
    </row>
    <row r="8" spans="2:23" ht="26.25" customHeight="1" x14ac:dyDescent="0.3">
      <c r="B8" s="1320" t="s">
        <v>159</v>
      </c>
      <c r="C8" s="1349"/>
      <c r="D8" s="1349"/>
      <c r="E8" s="1349"/>
      <c r="F8" s="1349"/>
      <c r="G8" s="1349"/>
      <c r="H8" s="1349"/>
      <c r="I8" s="1349"/>
      <c r="J8" s="1349"/>
      <c r="K8" s="1349"/>
      <c r="L8" s="1349"/>
      <c r="M8" s="1349"/>
      <c r="N8" s="1349"/>
      <c r="O8" s="644"/>
      <c r="P8" s="644"/>
      <c r="Q8" s="645"/>
      <c r="R8" s="116"/>
    </row>
    <row r="9" spans="2:23" ht="26.25" customHeight="1" thickBot="1" x14ac:dyDescent="0.3">
      <c r="B9" s="1320" t="s">
        <v>223</v>
      </c>
      <c r="C9" s="1321"/>
      <c r="D9" s="1321"/>
      <c r="E9" s="1321"/>
      <c r="F9" s="1321"/>
      <c r="G9" s="1321"/>
      <c r="H9" s="1321"/>
      <c r="I9" s="1321"/>
      <c r="J9" s="1321"/>
      <c r="K9" s="1321"/>
      <c r="L9" s="1321"/>
      <c r="M9" s="1321"/>
      <c r="N9" s="1321"/>
      <c r="O9" s="1321"/>
      <c r="P9" s="1321"/>
      <c r="Q9" s="1350"/>
    </row>
    <row r="10" spans="2:23" ht="26.25" customHeight="1" thickBot="1" x14ac:dyDescent="0.35">
      <c r="B10" s="1320" t="s">
        <v>113</v>
      </c>
      <c r="C10" s="1321"/>
      <c r="D10" s="1321"/>
      <c r="E10" s="1321"/>
      <c r="F10" s="1321"/>
      <c r="G10" s="1322"/>
      <c r="H10" s="1323">
        <v>447824381.39999998</v>
      </c>
      <c r="I10" s="1324"/>
      <c r="J10" s="1324"/>
      <c r="K10" s="1324"/>
      <c r="L10" s="1325"/>
      <c r="M10" s="1326" t="s">
        <v>114</v>
      </c>
      <c r="N10" s="1327"/>
      <c r="O10" s="1327"/>
      <c r="P10" s="644"/>
      <c r="Q10" s="645"/>
      <c r="S10" s="132"/>
    </row>
    <row r="11" spans="2:23" ht="26.25" customHeight="1" x14ac:dyDescent="0.3">
      <c r="B11" s="1330" t="s">
        <v>115</v>
      </c>
      <c r="C11" s="1321"/>
      <c r="D11" s="1321"/>
      <c r="E11" s="1321"/>
      <c r="F11" s="1321"/>
      <c r="G11" s="1321"/>
      <c r="H11" s="1321"/>
      <c r="I11" s="1321"/>
      <c r="J11" s="1321"/>
      <c r="K11" s="1321"/>
      <c r="L11" s="1321"/>
      <c r="M11" s="644"/>
      <c r="N11" s="644"/>
      <c r="O11" s="644"/>
      <c r="P11" s="644"/>
      <c r="Q11" s="645"/>
      <c r="R11" s="117"/>
    </row>
    <row r="12" spans="2:23" ht="26.25" customHeight="1" x14ac:dyDescent="0.3">
      <c r="B12" s="1320" t="s">
        <v>228</v>
      </c>
      <c r="C12" s="1321"/>
      <c r="D12" s="1321"/>
      <c r="E12" s="1321"/>
      <c r="F12" s="1321"/>
      <c r="G12" s="1321"/>
      <c r="H12" s="1321"/>
      <c r="I12" s="1321"/>
      <c r="J12" s="1321"/>
      <c r="K12" s="1321"/>
      <c r="L12" s="1321"/>
      <c r="M12" s="646"/>
      <c r="N12" s="646"/>
      <c r="O12" s="646"/>
      <c r="P12" s="646"/>
      <c r="Q12" s="647"/>
      <c r="R12" s="117"/>
    </row>
    <row r="13" spans="2:23" ht="26.25" customHeight="1" x14ac:dyDescent="0.3">
      <c r="B13" s="1330" t="s">
        <v>243</v>
      </c>
      <c r="C13" s="1321"/>
      <c r="D13" s="1321"/>
      <c r="E13" s="1321"/>
      <c r="F13" s="1321"/>
      <c r="G13" s="1321"/>
      <c r="H13" s="1321"/>
      <c r="I13" s="1321"/>
      <c r="J13" s="1321"/>
      <c r="K13" s="1321"/>
      <c r="L13" s="1321"/>
      <c r="M13" s="646"/>
      <c r="N13" s="646"/>
      <c r="O13" s="646"/>
      <c r="P13" s="646"/>
      <c r="Q13" s="647"/>
      <c r="R13" s="117"/>
      <c r="T13" s="1319"/>
      <c r="U13" s="1319"/>
      <c r="V13" s="1319"/>
      <c r="W13" s="1319"/>
    </row>
    <row r="14" spans="2:23" ht="26.25" customHeight="1" x14ac:dyDescent="0.3">
      <c r="B14" s="1330" t="s">
        <v>743</v>
      </c>
      <c r="C14" s="1321"/>
      <c r="D14" s="1321"/>
      <c r="E14" s="1321"/>
      <c r="F14" s="1321"/>
      <c r="G14" s="1321"/>
      <c r="H14" s="1321"/>
      <c r="I14" s="1321"/>
      <c r="J14" s="1321"/>
      <c r="K14" s="1321"/>
      <c r="L14" s="1321"/>
      <c r="M14" s="646"/>
      <c r="N14" s="646"/>
      <c r="O14" s="646"/>
      <c r="P14" s="646"/>
      <c r="Q14" s="647"/>
      <c r="R14" s="117"/>
    </row>
    <row r="15" spans="2:23" ht="26.25" customHeight="1" x14ac:dyDescent="0.3">
      <c r="B15" s="1330" t="s">
        <v>627</v>
      </c>
      <c r="C15" s="1321"/>
      <c r="D15" s="1321"/>
      <c r="E15" s="1321"/>
      <c r="F15" s="1321"/>
      <c r="G15" s="1321"/>
      <c r="H15" s="1321"/>
      <c r="I15" s="1321"/>
      <c r="J15" s="1321"/>
      <c r="K15" s="1321"/>
      <c r="L15" s="1321"/>
      <c r="M15" s="646"/>
      <c r="N15" s="646"/>
      <c r="O15" s="646"/>
      <c r="P15" s="646"/>
      <c r="Q15" s="647"/>
      <c r="R15" s="117"/>
    </row>
    <row r="16" spans="2:23" ht="26.25" customHeight="1" x14ac:dyDescent="0.3">
      <c r="B16" s="1330" t="s">
        <v>742</v>
      </c>
      <c r="C16" s="1321"/>
      <c r="D16" s="1321"/>
      <c r="E16" s="1321"/>
      <c r="F16" s="1321"/>
      <c r="G16" s="1321"/>
      <c r="H16" s="1321"/>
      <c r="I16" s="1321"/>
      <c r="J16" s="1321"/>
      <c r="K16" s="1321"/>
      <c r="L16" s="1321"/>
      <c r="M16" s="646"/>
      <c r="N16" s="646"/>
      <c r="O16" s="646"/>
      <c r="P16" s="646"/>
      <c r="Q16" s="647"/>
      <c r="R16" s="117"/>
    </row>
    <row r="17" spans="2:25" ht="26.25" customHeight="1" thickBot="1" x14ac:dyDescent="0.35">
      <c r="B17" s="1330" t="s">
        <v>766</v>
      </c>
      <c r="C17" s="1321"/>
      <c r="D17" s="1321"/>
      <c r="E17" s="1321"/>
      <c r="F17" s="1321"/>
      <c r="G17" s="1321"/>
      <c r="H17" s="1321"/>
      <c r="I17" s="1321"/>
      <c r="J17" s="1321"/>
      <c r="K17" s="1321"/>
      <c r="L17" s="1321"/>
      <c r="M17" s="646"/>
      <c r="N17" s="646"/>
      <c r="O17" s="646"/>
      <c r="P17" s="646"/>
      <c r="Q17" s="647"/>
      <c r="R17" s="117"/>
    </row>
    <row r="18" spans="2:25" ht="26.25" customHeight="1" thickBot="1" x14ac:dyDescent="0.3">
      <c r="B18" s="1331" t="s">
        <v>116</v>
      </c>
      <c r="C18" s="1332"/>
      <c r="D18" s="1332"/>
      <c r="E18" s="1332"/>
      <c r="F18" s="1332"/>
      <c r="G18" s="1332"/>
      <c r="H18" s="1332"/>
      <c r="I18" s="1333">
        <v>45900</v>
      </c>
      <c r="J18" s="1333"/>
      <c r="K18" s="1334"/>
      <c r="L18" s="1323">
        <v>432000000</v>
      </c>
      <c r="M18" s="1324"/>
      <c r="N18" s="1324"/>
      <c r="O18" s="1324"/>
      <c r="P18" s="1328" t="s">
        <v>114</v>
      </c>
      <c r="Q18" s="1329"/>
      <c r="R18" s="116"/>
    </row>
    <row r="19" spans="2:25" ht="26.25" customHeight="1" thickBot="1" x14ac:dyDescent="0.3">
      <c r="B19" s="648"/>
      <c r="C19" s="649"/>
      <c r="D19" s="649"/>
      <c r="E19" s="649"/>
      <c r="F19" s="649"/>
      <c r="G19" s="649"/>
      <c r="H19" s="649"/>
      <c r="I19" s="649"/>
      <c r="J19" s="649"/>
      <c r="K19" s="649"/>
      <c r="L19" s="119"/>
      <c r="M19" s="119"/>
      <c r="N19" s="119"/>
      <c r="O19" s="649"/>
      <c r="P19" s="649"/>
      <c r="Q19" s="650"/>
      <c r="R19" s="116"/>
    </row>
    <row r="20" spans="2:25" ht="26.25" customHeight="1" thickTop="1" thickBot="1" x14ac:dyDescent="0.3">
      <c r="B20" s="1343" t="s">
        <v>117</v>
      </c>
      <c r="C20" s="1344"/>
      <c r="D20" s="1344"/>
      <c r="E20" s="1344"/>
      <c r="F20" s="1344"/>
      <c r="G20" s="1344"/>
      <c r="H20" s="1344"/>
      <c r="I20" s="651"/>
      <c r="J20" s="1345">
        <f>L18/H10</f>
        <v>0.96466386812051319</v>
      </c>
      <c r="K20" s="1346"/>
      <c r="L20" s="632"/>
      <c r="M20" s="652"/>
      <c r="N20" s="652"/>
      <c r="O20" s="652"/>
      <c r="P20" s="652"/>
      <c r="Q20" s="653"/>
      <c r="R20" s="116"/>
    </row>
    <row r="21" spans="2:25" ht="26.25" customHeight="1" thickTop="1" thickBot="1" x14ac:dyDescent="0.3">
      <c r="B21" s="648"/>
      <c r="C21" s="649"/>
      <c r="D21" s="649"/>
      <c r="E21" s="649"/>
      <c r="F21" s="649"/>
      <c r="G21" s="649"/>
      <c r="H21" s="649"/>
      <c r="I21" s="649"/>
      <c r="J21" s="649"/>
      <c r="K21" s="649"/>
      <c r="L21" s="652"/>
      <c r="M21" s="652"/>
      <c r="N21" s="652"/>
      <c r="O21" s="649"/>
      <c r="P21" s="649"/>
      <c r="Q21" s="650"/>
      <c r="R21" s="116"/>
    </row>
    <row r="22" spans="2:25" ht="26.25" customHeight="1" thickBot="1" x14ac:dyDescent="0.3">
      <c r="B22" s="1331" t="s">
        <v>330</v>
      </c>
      <c r="C22" s="1332"/>
      <c r="D22" s="1332"/>
      <c r="E22" s="1332"/>
      <c r="F22" s="1332"/>
      <c r="G22" s="1332"/>
      <c r="H22" s="1332"/>
      <c r="I22" s="1333">
        <f>I18</f>
        <v>45900</v>
      </c>
      <c r="J22" s="1333"/>
      <c r="K22" s="1334"/>
      <c r="L22" s="1323">
        <f>'اجمــــــــاليات '!C3+'اجمــــــــاليات '!C4</f>
        <v>433836135.55949992</v>
      </c>
      <c r="M22" s="1324"/>
      <c r="N22" s="1324"/>
      <c r="O22" s="1324"/>
      <c r="P22" s="1358" t="s">
        <v>114</v>
      </c>
      <c r="Q22" s="1360"/>
      <c r="R22" s="116"/>
    </row>
    <row r="23" spans="2:25" ht="26.25" customHeight="1" thickBot="1" x14ac:dyDescent="0.3">
      <c r="B23" s="648"/>
      <c r="C23" s="649"/>
      <c r="D23" s="649"/>
      <c r="E23" s="649"/>
      <c r="F23" s="649"/>
      <c r="G23" s="649"/>
      <c r="H23" s="649"/>
      <c r="I23" s="649"/>
      <c r="J23" s="649"/>
      <c r="K23" s="649"/>
      <c r="L23" s="119"/>
      <c r="M23" s="119"/>
      <c r="N23" s="119"/>
      <c r="O23" s="649"/>
      <c r="P23" s="649"/>
      <c r="Q23" s="654"/>
      <c r="R23" s="116"/>
    </row>
    <row r="24" spans="2:25" ht="26.25" customHeight="1" thickTop="1" thickBot="1" x14ac:dyDescent="0.3">
      <c r="B24" s="1343" t="s">
        <v>331</v>
      </c>
      <c r="C24" s="1344"/>
      <c r="D24" s="1344"/>
      <c r="E24" s="1344"/>
      <c r="F24" s="1344"/>
      <c r="G24" s="1344"/>
      <c r="H24" s="1344"/>
      <c r="I24" s="649"/>
      <c r="J24" s="1345">
        <f>L22/H10</f>
        <v>0.96876399226685772</v>
      </c>
      <c r="K24" s="1346"/>
      <c r="L24" s="118" t="s">
        <v>157</v>
      </c>
      <c r="M24" s="649"/>
      <c r="N24" s="649"/>
      <c r="O24" s="649"/>
      <c r="P24" s="649"/>
      <c r="Q24" s="650">
        <f>L22/451643000</f>
        <v>0.96057314197164556</v>
      </c>
      <c r="R24" s="116"/>
    </row>
    <row r="25" spans="2:25" ht="26.25" customHeight="1" thickTop="1" thickBot="1" x14ac:dyDescent="0.3">
      <c r="B25" s="655"/>
      <c r="C25" s="652"/>
      <c r="D25" s="652"/>
      <c r="E25" s="652"/>
      <c r="F25" s="652"/>
      <c r="G25" s="652"/>
      <c r="H25" s="652"/>
      <c r="I25" s="649"/>
      <c r="J25" s="656"/>
      <c r="K25" s="656"/>
      <c r="L25" s="649"/>
      <c r="M25" s="649"/>
      <c r="N25" s="649"/>
      <c r="O25" s="649"/>
      <c r="P25" s="649"/>
      <c r="Q25" s="650"/>
      <c r="R25" s="116"/>
      <c r="T25" s="1351"/>
      <c r="U25" s="1351"/>
      <c r="V25" s="1351"/>
      <c r="W25" s="1351"/>
      <c r="X25" s="1351"/>
      <c r="Y25" s="1351"/>
    </row>
    <row r="26" spans="2:25" ht="26.25" customHeight="1" thickBot="1" x14ac:dyDescent="0.3">
      <c r="B26" s="1331" t="s">
        <v>332</v>
      </c>
      <c r="C26" s="1332"/>
      <c r="D26" s="1332"/>
      <c r="E26" s="1332"/>
      <c r="F26" s="1332"/>
      <c r="G26" s="1332"/>
      <c r="H26" s="1332"/>
      <c r="I26" s="1333">
        <v>45869</v>
      </c>
      <c r="J26" s="1333"/>
      <c r="K26" s="1334"/>
      <c r="L26" s="1323">
        <f>'اجمــــــــاليات '!B3+'اجمــــــــاليات '!B4</f>
        <v>431170576.14149994</v>
      </c>
      <c r="M26" s="1324"/>
      <c r="N26" s="1324"/>
      <c r="O26" s="1324"/>
      <c r="P26" s="1358" t="s">
        <v>114</v>
      </c>
      <c r="Q26" s="1360"/>
      <c r="R26" s="116"/>
      <c r="T26" s="1351"/>
      <c r="U26" s="1351"/>
      <c r="V26" s="1351"/>
      <c r="W26" s="1351"/>
      <c r="X26" s="1351"/>
      <c r="Y26" s="1351"/>
    </row>
    <row r="27" spans="2:25" ht="26.25" customHeight="1" thickBot="1" x14ac:dyDescent="0.3">
      <c r="B27" s="648"/>
      <c r="C27" s="649"/>
      <c r="D27" s="649"/>
      <c r="E27" s="649"/>
      <c r="F27" s="649"/>
      <c r="G27" s="649"/>
      <c r="H27" s="649"/>
      <c r="I27" s="649"/>
      <c r="J27" s="649"/>
      <c r="K27" s="649"/>
      <c r="L27" s="652"/>
      <c r="M27" s="652"/>
      <c r="N27" s="652"/>
      <c r="O27" s="649"/>
      <c r="P27" s="649"/>
      <c r="Q27" s="650"/>
      <c r="R27" s="116"/>
      <c r="T27" s="1351"/>
      <c r="U27" s="1351"/>
      <c r="V27" s="1351"/>
      <c r="W27" s="1351"/>
      <c r="X27" s="1351"/>
      <c r="Y27" s="1351"/>
    </row>
    <row r="28" spans="2:25" ht="26.25" customHeight="1" thickTop="1" thickBot="1" x14ac:dyDescent="0.3">
      <c r="B28" s="1343" t="s">
        <v>333</v>
      </c>
      <c r="C28" s="1344"/>
      <c r="D28" s="1344"/>
      <c r="E28" s="1344"/>
      <c r="F28" s="1344"/>
      <c r="G28" s="1344"/>
      <c r="H28" s="1344"/>
      <c r="I28" s="649"/>
      <c r="J28" s="1345">
        <f>L26/H10</f>
        <v>0.96281174953798521</v>
      </c>
      <c r="K28" s="1346"/>
      <c r="L28" s="118" t="s">
        <v>157</v>
      </c>
      <c r="M28" s="649"/>
      <c r="N28" s="649"/>
      <c r="O28" s="649"/>
      <c r="P28" s="649"/>
      <c r="Q28" s="657"/>
      <c r="R28" s="116"/>
      <c r="T28" s="1351"/>
      <c r="U28" s="1351"/>
      <c r="V28" s="1351"/>
      <c r="W28" s="1351"/>
      <c r="X28" s="1351"/>
      <c r="Y28" s="1351"/>
    </row>
    <row r="29" spans="2:25" ht="26.25" customHeight="1" thickTop="1" thickBot="1" x14ac:dyDescent="0.3">
      <c r="B29" s="655"/>
      <c r="C29" s="652"/>
      <c r="D29" s="652"/>
      <c r="E29" s="652"/>
      <c r="F29" s="652"/>
      <c r="G29" s="652"/>
      <c r="H29" s="658"/>
      <c r="I29" s="659"/>
      <c r="J29" s="656"/>
      <c r="K29" s="656"/>
      <c r="L29" s="659"/>
      <c r="M29" s="659"/>
      <c r="N29" s="649"/>
      <c r="O29" s="649"/>
      <c r="P29" s="649"/>
      <c r="Q29" s="650"/>
      <c r="R29" s="116"/>
      <c r="T29" s="1351"/>
      <c r="U29" s="1351"/>
      <c r="V29" s="1351"/>
      <c r="W29" s="1351"/>
      <c r="X29" s="1351"/>
      <c r="Y29" s="1351"/>
    </row>
    <row r="30" spans="2:25" ht="26.25" customHeight="1" thickBot="1" x14ac:dyDescent="0.3">
      <c r="B30" s="1343" t="s">
        <v>118</v>
      </c>
      <c r="C30" s="1344"/>
      <c r="D30" s="1344"/>
      <c r="E30" s="1344"/>
      <c r="F30" s="1344"/>
      <c r="G30" s="1344"/>
      <c r="H30" s="1344"/>
      <c r="I30" s="1344"/>
      <c r="J30" s="649"/>
      <c r="K30" s="649"/>
      <c r="L30" s="1355">
        <f>'اجمــــــــاليات '!D3+'اجمــــــــاليات '!D4</f>
        <v>2665559.4179999754</v>
      </c>
      <c r="M30" s="1356"/>
      <c r="N30" s="1357"/>
      <c r="O30" s="1358" t="s">
        <v>114</v>
      </c>
      <c r="P30" s="1359"/>
      <c r="Q30" s="650"/>
      <c r="R30" s="116"/>
      <c r="T30" s="1351"/>
      <c r="U30" s="1351"/>
      <c r="V30" s="1351"/>
      <c r="W30" s="1351"/>
      <c r="X30" s="1351"/>
      <c r="Y30" s="1351"/>
    </row>
    <row r="31" spans="2:25" ht="26.25" customHeight="1" thickBot="1" x14ac:dyDescent="0.3">
      <c r="B31" s="1343" t="s">
        <v>334</v>
      </c>
      <c r="C31" s="1344"/>
      <c r="D31" s="1344"/>
      <c r="E31" s="1344"/>
      <c r="F31" s="1344"/>
      <c r="G31" s="1344"/>
      <c r="H31" s="1344"/>
      <c r="I31" s="1344"/>
      <c r="J31" s="649"/>
      <c r="K31" s="649"/>
      <c r="L31" s="1352">
        <f>L30/H10</f>
        <v>5.9522427288725005E-3</v>
      </c>
      <c r="M31" s="1353"/>
      <c r="N31" s="1354"/>
      <c r="O31" s="649"/>
      <c r="P31" s="649"/>
      <c r="Q31" s="650"/>
      <c r="R31" s="116"/>
      <c r="T31" s="1351"/>
      <c r="U31" s="1351"/>
      <c r="V31" s="1351"/>
      <c r="W31" s="1351"/>
      <c r="X31" s="1351"/>
      <c r="Y31" s="1351"/>
    </row>
    <row r="32" spans="2:25" ht="26.25" customHeight="1" x14ac:dyDescent="0.25">
      <c r="B32" s="655"/>
      <c r="C32" s="652"/>
      <c r="D32" s="652"/>
      <c r="E32" s="652"/>
      <c r="F32" s="652"/>
      <c r="G32" s="652"/>
      <c r="H32" s="652"/>
      <c r="I32" s="652"/>
      <c r="J32" s="649"/>
      <c r="K32" s="649"/>
      <c r="L32" s="652"/>
      <c r="M32" s="652"/>
      <c r="N32" s="652"/>
      <c r="O32" s="649"/>
      <c r="P32" s="649"/>
      <c r="Q32" s="650"/>
      <c r="R32" s="116"/>
      <c r="T32" s="1351"/>
      <c r="U32" s="1351"/>
      <c r="V32" s="1351"/>
      <c r="W32" s="1351"/>
      <c r="X32" s="1351"/>
      <c r="Y32" s="1351"/>
    </row>
    <row r="33" spans="2:25" ht="26.25" customHeight="1" thickBot="1" x14ac:dyDescent="0.3">
      <c r="B33" s="655"/>
      <c r="C33" s="652"/>
      <c r="D33" s="652"/>
      <c r="E33" s="652"/>
      <c r="F33" s="652"/>
      <c r="G33" s="652"/>
      <c r="H33" s="652"/>
      <c r="I33" s="649"/>
      <c r="J33" s="660"/>
      <c r="K33" s="660"/>
      <c r="L33" s="649"/>
      <c r="M33" s="649"/>
      <c r="N33" s="649"/>
      <c r="O33" s="649"/>
      <c r="P33" s="649"/>
      <c r="Q33" s="650"/>
      <c r="R33" s="116"/>
      <c r="T33" s="1351"/>
      <c r="U33" s="1351"/>
      <c r="V33" s="1351"/>
      <c r="W33" s="1351"/>
      <c r="X33" s="1351"/>
      <c r="Y33" s="1351"/>
    </row>
    <row r="34" spans="2:25" ht="27.6" customHeight="1" thickBot="1" x14ac:dyDescent="0.35">
      <c r="B34" s="1343" t="s">
        <v>335</v>
      </c>
      <c r="C34" s="1344"/>
      <c r="D34" s="1344"/>
      <c r="E34" s="1344"/>
      <c r="F34" s="1344"/>
      <c r="G34" s="1344"/>
      <c r="H34" s="1344"/>
      <c r="I34" s="649"/>
      <c r="J34" s="1355">
        <f>تشوينات!M30</f>
        <v>842400</v>
      </c>
      <c r="K34" s="1356"/>
      <c r="L34" s="1357"/>
      <c r="M34" s="649" t="s">
        <v>119</v>
      </c>
      <c r="N34" s="661"/>
      <c r="O34" s="649"/>
      <c r="P34" s="661"/>
      <c r="Q34" s="662"/>
      <c r="T34" s="1351"/>
      <c r="U34" s="1351"/>
      <c r="V34" s="1351"/>
      <c r="W34" s="1351"/>
      <c r="X34" s="1351"/>
      <c r="Y34" s="1351"/>
    </row>
    <row r="35" spans="2:25" ht="27.75" customHeight="1" x14ac:dyDescent="0.25">
      <c r="B35" s="1320" t="s">
        <v>120</v>
      </c>
      <c r="C35" s="1349"/>
      <c r="D35" s="1349"/>
      <c r="E35" s="1349"/>
      <c r="F35" s="1349"/>
      <c r="G35" s="1327" t="s">
        <v>121</v>
      </c>
      <c r="H35" s="1327"/>
      <c r="I35" s="663"/>
      <c r="J35" s="1327"/>
      <c r="K35" s="1327"/>
      <c r="L35" s="663"/>
      <c r="M35" s="663"/>
      <c r="N35" s="663"/>
      <c r="O35" s="663"/>
      <c r="P35" s="663"/>
      <c r="Q35" s="664"/>
      <c r="R35" s="116"/>
      <c r="T35" s="1351"/>
      <c r="U35" s="1351"/>
      <c r="V35" s="1351"/>
      <c r="W35" s="1351"/>
      <c r="X35" s="1351"/>
      <c r="Y35" s="1351"/>
    </row>
    <row r="36" spans="2:25" ht="27.75" customHeight="1" x14ac:dyDescent="0.25">
      <c r="B36" s="1320" t="s">
        <v>122</v>
      </c>
      <c r="C36" s="1349"/>
      <c r="D36" s="1349"/>
      <c r="E36" s="1349"/>
      <c r="F36" s="1349"/>
      <c r="G36" s="1327" t="s">
        <v>121</v>
      </c>
      <c r="H36" s="1327"/>
      <c r="I36" s="663"/>
      <c r="J36" s="1327"/>
      <c r="K36" s="1327"/>
      <c r="L36" s="663"/>
      <c r="M36" s="663"/>
      <c r="N36" s="663"/>
      <c r="O36" s="663"/>
      <c r="P36" s="663"/>
      <c r="Q36" s="664"/>
      <c r="R36" s="116"/>
      <c r="S36" s="1363">
        <v>5.5555555555555504E+21</v>
      </c>
      <c r="T36" s="1363"/>
    </row>
    <row r="37" spans="2:25" ht="27.75" customHeight="1" x14ac:dyDescent="0.3">
      <c r="B37" s="1330" t="s">
        <v>158</v>
      </c>
      <c r="C37" s="1321"/>
      <c r="D37" s="1321"/>
      <c r="E37" s="1321"/>
      <c r="F37" s="1321"/>
      <c r="G37" s="1327" t="s">
        <v>121</v>
      </c>
      <c r="H37" s="1327"/>
      <c r="I37" s="663"/>
      <c r="J37" s="1327"/>
      <c r="K37" s="1327"/>
      <c r="L37" s="663"/>
      <c r="M37" s="644"/>
      <c r="N37" s="644"/>
      <c r="O37" s="644"/>
      <c r="P37" s="644"/>
      <c r="Q37" s="645"/>
      <c r="T37" s="1351"/>
      <c r="U37" s="1351"/>
      <c r="V37" s="1351"/>
      <c r="W37" s="1351"/>
      <c r="X37" s="1351"/>
      <c r="Y37" s="1351"/>
    </row>
    <row r="38" spans="2:25" ht="26.25" customHeight="1" x14ac:dyDescent="0.3">
      <c r="B38" s="665"/>
      <c r="C38" s="644"/>
      <c r="D38" s="644"/>
      <c r="E38" s="644"/>
      <c r="F38" s="644"/>
      <c r="G38" s="644"/>
      <c r="H38" s="644"/>
      <c r="I38" s="644"/>
      <c r="J38" s="644"/>
      <c r="K38" s="644"/>
      <c r="L38" s="644"/>
      <c r="M38" s="644"/>
      <c r="N38" s="644"/>
      <c r="O38" s="644"/>
      <c r="P38" s="644"/>
      <c r="Q38" s="645"/>
      <c r="T38" s="1351"/>
      <c r="U38" s="1351"/>
      <c r="V38" s="1351"/>
      <c r="W38" s="1351"/>
      <c r="X38" s="1351"/>
      <c r="Y38" s="1351"/>
    </row>
    <row r="39" spans="2:25" ht="27.75" customHeight="1" x14ac:dyDescent="0.25">
      <c r="B39" s="1347" t="s">
        <v>156</v>
      </c>
      <c r="C39" s="1327"/>
      <c r="D39" s="1327"/>
      <c r="E39" s="1327"/>
      <c r="F39" s="1327"/>
      <c r="G39" s="1327"/>
      <c r="H39" s="1327"/>
      <c r="I39" s="1327"/>
      <c r="J39" s="1327"/>
      <c r="K39" s="1327"/>
      <c r="L39" s="1327"/>
      <c r="M39" s="1327"/>
      <c r="N39" s="1327"/>
      <c r="O39" s="1327"/>
      <c r="P39" s="1327"/>
      <c r="Q39" s="1348"/>
      <c r="R39" s="116"/>
      <c r="T39" s="1351"/>
      <c r="U39" s="1351"/>
      <c r="V39" s="1351"/>
      <c r="W39" s="1351"/>
      <c r="X39" s="1351"/>
      <c r="Y39" s="1351"/>
    </row>
    <row r="40" spans="2:25" ht="27.75" customHeight="1" x14ac:dyDescent="0.3">
      <c r="B40" s="665"/>
      <c r="C40" s="644"/>
      <c r="D40" s="644"/>
      <c r="E40" s="644"/>
      <c r="F40" s="644"/>
      <c r="G40" s="644"/>
      <c r="H40" s="644"/>
      <c r="I40" s="644"/>
      <c r="J40" s="644"/>
      <c r="K40" s="644"/>
      <c r="L40" s="644"/>
      <c r="M40" s="644"/>
      <c r="N40" s="644"/>
      <c r="O40" s="644"/>
      <c r="P40" s="644"/>
      <c r="Q40" s="645"/>
      <c r="T40" s="1351"/>
      <c r="U40" s="1351"/>
      <c r="V40" s="1351"/>
      <c r="W40" s="1351"/>
      <c r="X40" s="1351"/>
      <c r="Y40" s="1351"/>
    </row>
    <row r="41" spans="2:25" ht="27.75" customHeight="1" x14ac:dyDescent="0.3">
      <c r="B41" s="666"/>
      <c r="C41" s="644"/>
      <c r="D41" s="644"/>
      <c r="E41" s="644"/>
      <c r="F41" s="644"/>
      <c r="G41" s="644"/>
      <c r="H41" s="644"/>
      <c r="I41" s="644"/>
      <c r="J41" s="644"/>
      <c r="K41" s="644"/>
      <c r="L41" s="644"/>
      <c r="M41" s="644"/>
      <c r="N41" s="1327" t="s">
        <v>123</v>
      </c>
      <c r="O41" s="1327"/>
      <c r="P41" s="1327"/>
      <c r="Q41" s="1348"/>
      <c r="R41" s="116"/>
      <c r="T41" s="1351"/>
      <c r="U41" s="1351"/>
      <c r="V41" s="1351"/>
      <c r="W41" s="1351"/>
      <c r="X41" s="1351"/>
      <c r="Y41" s="1351"/>
    </row>
    <row r="42" spans="2:25" ht="27.75" customHeight="1" x14ac:dyDescent="0.3">
      <c r="B42" s="667"/>
      <c r="C42" s="644"/>
      <c r="D42" s="644"/>
      <c r="E42" s="644"/>
      <c r="F42" s="644"/>
      <c r="G42" s="644"/>
      <c r="H42" s="644"/>
      <c r="I42" s="644"/>
      <c r="J42" s="644"/>
      <c r="K42" s="644"/>
      <c r="L42" s="644"/>
      <c r="M42" s="644"/>
      <c r="N42" s="1361" t="s">
        <v>124</v>
      </c>
      <c r="O42" s="1361"/>
      <c r="P42" s="1361"/>
      <c r="Q42" s="1362"/>
      <c r="T42" s="1351"/>
      <c r="U42" s="1351"/>
      <c r="V42" s="1351"/>
      <c r="W42" s="1351"/>
      <c r="X42" s="1351"/>
      <c r="Y42" s="1351"/>
    </row>
    <row r="43" spans="2:25" ht="15.75" thickBot="1" x14ac:dyDescent="0.3">
      <c r="B43" s="668"/>
      <c r="C43" s="669"/>
      <c r="D43" s="669"/>
      <c r="E43" s="669"/>
      <c r="F43" s="669"/>
      <c r="G43" s="669"/>
      <c r="H43" s="669"/>
      <c r="I43" s="669"/>
      <c r="J43" s="669"/>
      <c r="K43" s="669"/>
      <c r="L43" s="669"/>
      <c r="M43" s="669"/>
      <c r="N43" s="669"/>
      <c r="O43" s="669"/>
      <c r="P43" s="669"/>
      <c r="Q43" s="670"/>
      <c r="T43" s="1351"/>
      <c r="U43" s="1351"/>
      <c r="V43" s="1351"/>
      <c r="W43" s="1351"/>
      <c r="X43" s="1351"/>
      <c r="Y43" s="1351"/>
    </row>
    <row r="44" spans="2:25" ht="15.75" thickTop="1" x14ac:dyDescent="0.25">
      <c r="T44" s="1351"/>
      <c r="U44" s="1351"/>
      <c r="V44" s="1351"/>
      <c r="W44" s="1351"/>
      <c r="X44" s="1351"/>
      <c r="Y44" s="1351"/>
    </row>
    <row r="45" spans="2:25" x14ac:dyDescent="0.25">
      <c r="T45" s="1351"/>
      <c r="U45" s="1351"/>
      <c r="V45" s="1351"/>
      <c r="W45" s="1351"/>
      <c r="X45" s="1351"/>
      <c r="Y45" s="1351"/>
    </row>
    <row r="46" spans="2:25" x14ac:dyDescent="0.25">
      <c r="T46" s="1351"/>
      <c r="U46" s="1351"/>
      <c r="V46" s="1351"/>
      <c r="W46" s="1351"/>
      <c r="X46" s="1351"/>
      <c r="Y46" s="1351"/>
    </row>
    <row r="47" spans="2:25" x14ac:dyDescent="0.25">
      <c r="T47" s="1351"/>
      <c r="U47" s="1351"/>
      <c r="V47" s="1351"/>
      <c r="W47" s="1351"/>
      <c r="X47" s="1351"/>
      <c r="Y47" s="1351"/>
    </row>
    <row r="48" spans="2:25" x14ac:dyDescent="0.25">
      <c r="T48" s="1351"/>
      <c r="U48" s="1351"/>
      <c r="V48" s="1351"/>
      <c r="W48" s="1351"/>
      <c r="X48" s="1351"/>
      <c r="Y48" s="1351"/>
    </row>
    <row r="49" spans="20:25" x14ac:dyDescent="0.25">
      <c r="T49" s="1351"/>
      <c r="U49" s="1351"/>
      <c r="V49" s="1351"/>
      <c r="W49" s="1351"/>
      <c r="X49" s="1351"/>
      <c r="Y49" s="1351"/>
    </row>
    <row r="50" spans="20:25" x14ac:dyDescent="0.25">
      <c r="T50" s="1351"/>
      <c r="U50" s="1351"/>
      <c r="V50" s="1351"/>
      <c r="W50" s="1351"/>
      <c r="X50" s="1351"/>
      <c r="Y50" s="1351"/>
    </row>
    <row r="51" spans="20:25" x14ac:dyDescent="0.25">
      <c r="T51" s="1351"/>
      <c r="U51" s="1351"/>
      <c r="V51" s="1351"/>
      <c r="W51" s="1351"/>
      <c r="X51" s="1351"/>
      <c r="Y51" s="1351"/>
    </row>
  </sheetData>
  <mergeCells count="61">
    <mergeCell ref="T47:Y51"/>
    <mergeCell ref="P22:Q22"/>
    <mergeCell ref="B24:H24"/>
    <mergeCell ref="J24:K24"/>
    <mergeCell ref="N42:Q42"/>
    <mergeCell ref="B34:H34"/>
    <mergeCell ref="J34:L34"/>
    <mergeCell ref="B35:F35"/>
    <mergeCell ref="G35:H35"/>
    <mergeCell ref="J35:K35"/>
    <mergeCell ref="B36:F36"/>
    <mergeCell ref="G36:H36"/>
    <mergeCell ref="J36:K36"/>
    <mergeCell ref="S36:T36"/>
    <mergeCell ref="T42:Y46"/>
    <mergeCell ref="T25:Y35"/>
    <mergeCell ref="B26:H26"/>
    <mergeCell ref="I26:K26"/>
    <mergeCell ref="L26:O26"/>
    <mergeCell ref="P26:Q26"/>
    <mergeCell ref="B28:H28"/>
    <mergeCell ref="T37:Y41"/>
    <mergeCell ref="J28:K28"/>
    <mergeCell ref="J37:K37"/>
    <mergeCell ref="B39:Q39"/>
    <mergeCell ref="G37:H37"/>
    <mergeCell ref="L31:N31"/>
    <mergeCell ref="B37:F37"/>
    <mergeCell ref="N41:Q41"/>
    <mergeCell ref="B30:I30"/>
    <mergeCell ref="L30:N30"/>
    <mergeCell ref="O30:P30"/>
    <mergeCell ref="B31:I31"/>
    <mergeCell ref="B7:Q7"/>
    <mergeCell ref="B8:N8"/>
    <mergeCell ref="B9:Q9"/>
    <mergeCell ref="B11:L11"/>
    <mergeCell ref="B12:L12"/>
    <mergeCell ref="L22:O22"/>
    <mergeCell ref="B20:H20"/>
    <mergeCell ref="J20:K20"/>
    <mergeCell ref="B22:H22"/>
    <mergeCell ref="I22:K22"/>
    <mergeCell ref="B2:E2"/>
    <mergeCell ref="B3:E3"/>
    <mergeCell ref="B4:E4"/>
    <mergeCell ref="B5:Q5"/>
    <mergeCell ref="B6:Q6"/>
    <mergeCell ref="T13:W13"/>
    <mergeCell ref="B10:G10"/>
    <mergeCell ref="H10:L10"/>
    <mergeCell ref="M10:O10"/>
    <mergeCell ref="P18:Q18"/>
    <mergeCell ref="B16:L16"/>
    <mergeCell ref="B17:L17"/>
    <mergeCell ref="B13:L13"/>
    <mergeCell ref="B14:L14"/>
    <mergeCell ref="B18:H18"/>
    <mergeCell ref="I18:K18"/>
    <mergeCell ref="L18:O18"/>
    <mergeCell ref="B15:L15"/>
  </mergeCells>
  <pageMargins left="0" right="0" top="0.02" bottom="0" header="0" footer="0"/>
  <pageSetup paperSize="9" scale="75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F4:P27"/>
  <sheetViews>
    <sheetView rightToLeft="1" view="pageBreakPreview" zoomScale="65" zoomScaleNormal="100" zoomScaleSheetLayoutView="65" workbookViewId="0">
      <selection activeCell="H16" sqref="H16"/>
    </sheetView>
  </sheetViews>
  <sheetFormatPr defaultRowHeight="15" x14ac:dyDescent="0.25"/>
  <cols>
    <col min="6" max="7" width="8.7109375" customWidth="1"/>
    <col min="8" max="8" width="37.140625" customWidth="1"/>
    <col min="9" max="9" width="14.5703125" customWidth="1"/>
    <col min="10" max="15" width="8.7109375" customWidth="1"/>
  </cols>
  <sheetData>
    <row r="4" spans="6:16" x14ac:dyDescent="0.25">
      <c r="I4">
        <v>54</v>
      </c>
    </row>
    <row r="8" spans="6:16" ht="67.5" customHeight="1" x14ac:dyDescent="0.25">
      <c r="F8" s="1364" t="s">
        <v>380</v>
      </c>
      <c r="G8" s="1364" t="s">
        <v>308</v>
      </c>
      <c r="H8" s="1368" t="s">
        <v>518</v>
      </c>
      <c r="I8" s="1364" t="s">
        <v>523</v>
      </c>
      <c r="J8" s="1367" t="s">
        <v>519</v>
      </c>
      <c r="K8" s="1367"/>
      <c r="L8" s="1367" t="s">
        <v>520</v>
      </c>
      <c r="M8" s="1367"/>
      <c r="N8" s="1366" t="s">
        <v>524</v>
      </c>
      <c r="O8" s="1366"/>
    </row>
    <row r="9" spans="6:16" ht="45" customHeight="1" x14ac:dyDescent="0.25">
      <c r="F9" s="1365"/>
      <c r="G9" s="1365"/>
      <c r="H9" s="1369"/>
      <c r="I9" s="1365"/>
      <c r="J9" s="154" t="s">
        <v>521</v>
      </c>
      <c r="K9" s="154" t="s">
        <v>522</v>
      </c>
      <c r="L9" s="154" t="s">
        <v>521</v>
      </c>
      <c r="M9" s="154" t="s">
        <v>522</v>
      </c>
      <c r="N9" s="154" t="s">
        <v>521</v>
      </c>
      <c r="O9" s="154" t="s">
        <v>522</v>
      </c>
    </row>
    <row r="10" spans="6:16" ht="39.950000000000003" customHeight="1" x14ac:dyDescent="0.25">
      <c r="F10" s="137">
        <v>1</v>
      </c>
      <c r="G10" s="137" t="s">
        <v>473</v>
      </c>
      <c r="H10" s="152" t="s">
        <v>474</v>
      </c>
      <c r="I10" s="137">
        <v>18144</v>
      </c>
      <c r="J10" s="146">
        <f>مستخلص!I37</f>
        <v>18145</v>
      </c>
      <c r="K10" s="138">
        <f>(J10/$I10)*$I$4</f>
        <v>54.00297619047619</v>
      </c>
      <c r="L10" s="146" t="e">
        <f>تشوينات!#REF!</f>
        <v>#REF!</v>
      </c>
      <c r="M10" s="138" t="e">
        <f>(L10/$I10)*$I$4</f>
        <v>#REF!</v>
      </c>
      <c r="N10" s="146" t="e">
        <f>J10+L10</f>
        <v>#REF!</v>
      </c>
      <c r="O10" s="138" t="e">
        <f>(N10/$I10)*$I$4</f>
        <v>#REF!</v>
      </c>
      <c r="P10" t="e">
        <f>IF(N10&gt;I10,"FALSE","TRUE")</f>
        <v>#REF!</v>
      </c>
    </row>
    <row r="11" spans="6:16" ht="39.950000000000003" customHeight="1" x14ac:dyDescent="0.25">
      <c r="F11" s="149">
        <v>2</v>
      </c>
      <c r="G11" s="141" t="s">
        <v>549</v>
      </c>
      <c r="H11" s="152" t="s">
        <v>550</v>
      </c>
      <c r="I11" s="149">
        <v>18144</v>
      </c>
      <c r="J11" s="149">
        <f>مستخلص!I38</f>
        <v>18145</v>
      </c>
      <c r="K11" s="138">
        <f>(J11/$I11)*$I$4</f>
        <v>54.00297619047619</v>
      </c>
      <c r="L11" s="149" t="e">
        <f>تشوينات!#REF!</f>
        <v>#REF!</v>
      </c>
      <c r="M11" s="138" t="e">
        <f>(L11/$I11)*$I$4</f>
        <v>#REF!</v>
      </c>
      <c r="N11" s="149" t="e">
        <f>J11+L11</f>
        <v>#REF!</v>
      </c>
      <c r="O11" s="138" t="e">
        <f>(N11/$I11)*$I$4</f>
        <v>#REF!</v>
      </c>
      <c r="P11" t="e">
        <f>IF(N11&gt;I11,"FALSE","TRUE")</f>
        <v>#REF!</v>
      </c>
    </row>
    <row r="12" spans="6:16" ht="39.950000000000003" customHeight="1" x14ac:dyDescent="0.25">
      <c r="F12" s="137">
        <v>3</v>
      </c>
      <c r="G12" s="137" t="s">
        <v>453</v>
      </c>
      <c r="H12" s="152" t="s">
        <v>454</v>
      </c>
      <c r="I12" s="137">
        <v>5724</v>
      </c>
      <c r="J12" s="146">
        <f>مستخلص!I39</f>
        <v>5724</v>
      </c>
      <c r="K12" s="138">
        <f t="shared" ref="K12:K27" si="0">(J12/$I12)*$I$4</f>
        <v>54</v>
      </c>
      <c r="L12" s="146" t="e">
        <f>تشوينات!#REF!</f>
        <v>#REF!</v>
      </c>
      <c r="M12" s="138" t="e">
        <f t="shared" ref="M12:M27" si="1">(L12/$I12)*$I$4</f>
        <v>#REF!</v>
      </c>
      <c r="N12" s="146" t="e">
        <f t="shared" ref="N12:N27" si="2">J12+L12</f>
        <v>#REF!</v>
      </c>
      <c r="O12" s="138" t="e">
        <f t="shared" ref="O12:O27" si="3">(N12/$I12)*$I$4</f>
        <v>#REF!</v>
      </c>
      <c r="P12" t="e">
        <f t="shared" ref="P12:P27" si="4">IF(N12&gt;I12,"FALSE","TRUE")</f>
        <v>#REF!</v>
      </c>
    </row>
    <row r="13" spans="6:16" ht="39.950000000000003" customHeight="1" x14ac:dyDescent="0.25">
      <c r="F13" s="149">
        <v>4</v>
      </c>
      <c r="G13" s="141" t="s">
        <v>551</v>
      </c>
      <c r="H13" s="152" t="s">
        <v>552</v>
      </c>
      <c r="I13" s="149">
        <v>17975.52</v>
      </c>
      <c r="J13" s="149">
        <f>مستخلص!I91</f>
        <v>17975</v>
      </c>
      <c r="K13" s="138">
        <f t="shared" si="0"/>
        <v>53.998437875510696</v>
      </c>
      <c r="L13" s="149" t="e">
        <f>تشوينات!#REF!</f>
        <v>#REF!</v>
      </c>
      <c r="M13" s="138" t="e">
        <f t="shared" si="1"/>
        <v>#REF!</v>
      </c>
      <c r="N13" s="149" t="e">
        <f t="shared" ref="N13" si="5">J13+L13</f>
        <v>#REF!</v>
      </c>
      <c r="O13" s="138" t="e">
        <f t="shared" ref="O13" si="6">(N13/$I13)*$I$4</f>
        <v>#REF!</v>
      </c>
      <c r="P13" t="e">
        <f t="shared" si="4"/>
        <v>#REF!</v>
      </c>
    </row>
    <row r="14" spans="6:16" ht="39.950000000000003" customHeight="1" x14ac:dyDescent="0.25">
      <c r="F14" s="149">
        <v>5</v>
      </c>
      <c r="G14" s="137" t="s">
        <v>410</v>
      </c>
      <c r="H14" s="152" t="s">
        <v>414</v>
      </c>
      <c r="I14" s="137">
        <v>79812</v>
      </c>
      <c r="J14" s="146">
        <f>مستخلص!I92</f>
        <v>79812</v>
      </c>
      <c r="K14" s="138">
        <f t="shared" si="0"/>
        <v>54</v>
      </c>
      <c r="L14" s="146" t="e">
        <f>تشوينات!#REF!</f>
        <v>#REF!</v>
      </c>
      <c r="M14" s="138" t="e">
        <f t="shared" si="1"/>
        <v>#REF!</v>
      </c>
      <c r="N14" s="146" t="e">
        <f t="shared" si="2"/>
        <v>#REF!</v>
      </c>
      <c r="O14" s="138" t="e">
        <f t="shared" si="3"/>
        <v>#REF!</v>
      </c>
      <c r="P14" t="e">
        <f t="shared" si="4"/>
        <v>#REF!</v>
      </c>
    </row>
    <row r="15" spans="6:16" ht="39.950000000000003" customHeight="1" x14ac:dyDescent="0.25">
      <c r="F15" s="149">
        <v>6</v>
      </c>
      <c r="G15" s="137" t="s">
        <v>411</v>
      </c>
      <c r="H15" s="152" t="s">
        <v>413</v>
      </c>
      <c r="I15" s="137">
        <v>12616.56</v>
      </c>
      <c r="J15" s="146">
        <f>مستخلص!I93</f>
        <v>12582</v>
      </c>
      <c r="K15" s="138">
        <f t="shared" si="0"/>
        <v>53.852080123266568</v>
      </c>
      <c r="L15" s="146" t="e">
        <f>تشوينات!#REF!</f>
        <v>#REF!</v>
      </c>
      <c r="M15" s="138" t="e">
        <f t="shared" si="1"/>
        <v>#REF!</v>
      </c>
      <c r="N15" s="146" t="e">
        <f t="shared" si="2"/>
        <v>#REF!</v>
      </c>
      <c r="O15" s="138" t="e">
        <f t="shared" si="3"/>
        <v>#REF!</v>
      </c>
      <c r="P15" t="e">
        <f t="shared" si="4"/>
        <v>#REF!</v>
      </c>
    </row>
    <row r="16" spans="6:16" ht="39.950000000000003" customHeight="1" x14ac:dyDescent="0.25">
      <c r="F16" s="149">
        <v>7</v>
      </c>
      <c r="G16" s="137" t="s">
        <v>412</v>
      </c>
      <c r="H16" s="152" t="s">
        <v>415</v>
      </c>
      <c r="I16" s="137">
        <v>59317.38</v>
      </c>
      <c r="J16" s="146">
        <f>مستخلص!I94</f>
        <v>59292</v>
      </c>
      <c r="K16" s="138">
        <f t="shared" si="0"/>
        <v>53.97689513596184</v>
      </c>
      <c r="L16" s="146" t="e">
        <f>تشوينات!#REF!</f>
        <v>#REF!</v>
      </c>
      <c r="M16" s="138" t="e">
        <f t="shared" si="1"/>
        <v>#REF!</v>
      </c>
      <c r="N16" s="146" t="e">
        <f t="shared" si="2"/>
        <v>#REF!</v>
      </c>
      <c r="O16" s="138" t="e">
        <f t="shared" si="3"/>
        <v>#REF!</v>
      </c>
      <c r="P16" t="e">
        <f t="shared" si="4"/>
        <v>#REF!</v>
      </c>
    </row>
    <row r="17" spans="6:16" ht="39.950000000000003" customHeight="1" x14ac:dyDescent="0.25">
      <c r="F17" s="149">
        <v>8</v>
      </c>
      <c r="G17" s="137" t="s">
        <v>316</v>
      </c>
      <c r="H17" s="152" t="s">
        <v>317</v>
      </c>
      <c r="I17" s="137">
        <v>1296</v>
      </c>
      <c r="J17" s="146">
        <f>مستخلص!I119</f>
        <v>0</v>
      </c>
      <c r="K17" s="138">
        <f t="shared" si="0"/>
        <v>0</v>
      </c>
      <c r="L17" s="146" t="e">
        <f>تشوينات!#REF!</f>
        <v>#REF!</v>
      </c>
      <c r="M17" s="138" t="e">
        <f t="shared" si="1"/>
        <v>#REF!</v>
      </c>
      <c r="N17" s="146" t="e">
        <f t="shared" si="2"/>
        <v>#REF!</v>
      </c>
      <c r="O17" s="138" t="e">
        <f t="shared" si="3"/>
        <v>#REF!</v>
      </c>
      <c r="P17" t="e">
        <f t="shared" si="4"/>
        <v>#REF!</v>
      </c>
    </row>
    <row r="18" spans="6:16" ht="39.950000000000003" customHeight="1" x14ac:dyDescent="0.25">
      <c r="F18" s="149">
        <v>9</v>
      </c>
      <c r="G18" s="137" t="s">
        <v>316</v>
      </c>
      <c r="H18" s="152" t="s">
        <v>329</v>
      </c>
      <c r="I18" s="137">
        <v>1296</v>
      </c>
      <c r="J18" s="146"/>
      <c r="K18" s="138">
        <f t="shared" si="0"/>
        <v>0</v>
      </c>
      <c r="L18" s="146" t="e">
        <f>تشوينات!#REF!</f>
        <v>#REF!</v>
      </c>
      <c r="M18" s="138" t="e">
        <f t="shared" si="1"/>
        <v>#REF!</v>
      </c>
      <c r="N18" s="146" t="e">
        <f t="shared" si="2"/>
        <v>#REF!</v>
      </c>
      <c r="O18" s="138" t="e">
        <f t="shared" si="3"/>
        <v>#REF!</v>
      </c>
      <c r="P18" t="e">
        <f t="shared" si="4"/>
        <v>#REF!</v>
      </c>
    </row>
    <row r="19" spans="6:16" ht="39.950000000000003" customHeight="1" x14ac:dyDescent="0.25">
      <c r="F19" s="149">
        <v>10</v>
      </c>
      <c r="G19" s="137" t="s">
        <v>318</v>
      </c>
      <c r="H19" s="152" t="s">
        <v>320</v>
      </c>
      <c r="I19" s="137">
        <v>3888</v>
      </c>
      <c r="J19" s="146">
        <f>مستخلص!I123</f>
        <v>0</v>
      </c>
      <c r="K19" s="138">
        <f t="shared" si="0"/>
        <v>0</v>
      </c>
      <c r="L19" s="146" t="e">
        <f>تشوينات!#REF!</f>
        <v>#REF!</v>
      </c>
      <c r="M19" s="138" t="e">
        <f t="shared" si="1"/>
        <v>#REF!</v>
      </c>
      <c r="N19" s="146" t="e">
        <f t="shared" si="2"/>
        <v>#REF!</v>
      </c>
      <c r="O19" s="138" t="e">
        <f t="shared" si="3"/>
        <v>#REF!</v>
      </c>
      <c r="P19" t="e">
        <f t="shared" si="4"/>
        <v>#REF!</v>
      </c>
    </row>
    <row r="20" spans="6:16" ht="39.950000000000003" customHeight="1" x14ac:dyDescent="0.25">
      <c r="F20" s="149">
        <v>11</v>
      </c>
      <c r="G20" s="137" t="s">
        <v>318</v>
      </c>
      <c r="H20" s="152" t="s">
        <v>324</v>
      </c>
      <c r="I20" s="137">
        <v>3888</v>
      </c>
      <c r="J20" s="146"/>
      <c r="K20" s="138">
        <f t="shared" si="0"/>
        <v>0</v>
      </c>
      <c r="L20" s="146" t="e">
        <f>تشوينات!#REF!</f>
        <v>#REF!</v>
      </c>
      <c r="M20" s="138" t="e">
        <f t="shared" si="1"/>
        <v>#REF!</v>
      </c>
      <c r="N20" s="146" t="e">
        <f t="shared" si="2"/>
        <v>#REF!</v>
      </c>
      <c r="O20" s="138" t="e">
        <f t="shared" si="3"/>
        <v>#REF!</v>
      </c>
      <c r="P20" t="e">
        <f t="shared" si="4"/>
        <v>#REF!</v>
      </c>
    </row>
    <row r="21" spans="6:16" ht="39.950000000000003" customHeight="1" x14ac:dyDescent="0.25">
      <c r="F21" s="149">
        <v>12</v>
      </c>
      <c r="G21" s="137" t="s">
        <v>319</v>
      </c>
      <c r="H21" s="152" t="s">
        <v>321</v>
      </c>
      <c r="I21" s="137">
        <v>2592</v>
      </c>
      <c r="J21" s="146">
        <f>مستخلص!I127</f>
        <v>0</v>
      </c>
      <c r="K21" s="138">
        <f t="shared" si="0"/>
        <v>0</v>
      </c>
      <c r="L21" s="146" t="e">
        <f>تشوينات!#REF!</f>
        <v>#REF!</v>
      </c>
      <c r="M21" s="138" t="e">
        <f t="shared" si="1"/>
        <v>#REF!</v>
      </c>
      <c r="N21" s="146" t="e">
        <f t="shared" si="2"/>
        <v>#REF!</v>
      </c>
      <c r="O21" s="138" t="e">
        <f t="shared" si="3"/>
        <v>#REF!</v>
      </c>
      <c r="P21" t="e">
        <f t="shared" si="4"/>
        <v>#REF!</v>
      </c>
    </row>
    <row r="22" spans="6:16" ht="39.950000000000003" customHeight="1" x14ac:dyDescent="0.25">
      <c r="F22" s="149">
        <v>13</v>
      </c>
      <c r="G22" s="137" t="s">
        <v>319</v>
      </c>
      <c r="H22" s="152" t="s">
        <v>325</v>
      </c>
      <c r="I22" s="137">
        <v>2592</v>
      </c>
      <c r="J22" s="146"/>
      <c r="K22" s="138">
        <f t="shared" si="0"/>
        <v>0</v>
      </c>
      <c r="L22" s="146" t="e">
        <f>تشوينات!#REF!</f>
        <v>#REF!</v>
      </c>
      <c r="M22" s="138" t="e">
        <f t="shared" si="1"/>
        <v>#REF!</v>
      </c>
      <c r="N22" s="146" t="e">
        <f t="shared" si="2"/>
        <v>#REF!</v>
      </c>
      <c r="O22" s="138" t="e">
        <f t="shared" si="3"/>
        <v>#REF!</v>
      </c>
      <c r="P22" t="e">
        <f t="shared" si="4"/>
        <v>#REF!</v>
      </c>
    </row>
    <row r="23" spans="6:16" ht="39.950000000000003" customHeight="1" x14ac:dyDescent="0.25">
      <c r="F23" s="149">
        <v>14</v>
      </c>
      <c r="G23" s="137" t="s">
        <v>419</v>
      </c>
      <c r="H23" s="152" t="s">
        <v>365</v>
      </c>
      <c r="I23" s="137">
        <v>135000</v>
      </c>
      <c r="J23" s="146">
        <f>مستخلص!I151</f>
        <v>143100</v>
      </c>
      <c r="K23" s="138">
        <f t="shared" si="0"/>
        <v>57.24</v>
      </c>
      <c r="L23" s="146" t="e">
        <f>تشوينات!#REF!</f>
        <v>#REF!</v>
      </c>
      <c r="M23" s="138" t="e">
        <f t="shared" si="1"/>
        <v>#REF!</v>
      </c>
      <c r="N23" s="146" t="e">
        <f t="shared" si="2"/>
        <v>#REF!</v>
      </c>
      <c r="O23" s="138" t="e">
        <f t="shared" si="3"/>
        <v>#REF!</v>
      </c>
      <c r="P23" t="e">
        <f t="shared" si="4"/>
        <v>#REF!</v>
      </c>
    </row>
    <row r="24" spans="6:16" ht="39.950000000000003" customHeight="1" x14ac:dyDescent="0.25">
      <c r="F24" s="149">
        <v>15</v>
      </c>
      <c r="G24" s="150" t="s">
        <v>452</v>
      </c>
      <c r="H24" s="153" t="s">
        <v>435</v>
      </c>
      <c r="I24" s="150">
        <v>3675.73</v>
      </c>
      <c r="J24" s="150">
        <f>مستخلص!I155</f>
        <v>3672</v>
      </c>
      <c r="K24" s="151">
        <f t="shared" si="0"/>
        <v>53.945202721636242</v>
      </c>
      <c r="L24" s="150" t="e">
        <f>تشوينات!#REF!</f>
        <v>#REF!</v>
      </c>
      <c r="M24" s="151" t="e">
        <f t="shared" si="1"/>
        <v>#REF!</v>
      </c>
      <c r="N24" s="150" t="e">
        <f t="shared" si="2"/>
        <v>#REF!</v>
      </c>
      <c r="O24" s="151" t="e">
        <f t="shared" si="3"/>
        <v>#REF!</v>
      </c>
      <c r="P24" t="e">
        <f>IF(N24&gt;I24,"FALSE","TRUE")</f>
        <v>#REF!</v>
      </c>
    </row>
    <row r="25" spans="6:16" ht="39.950000000000003" customHeight="1" x14ac:dyDescent="0.25">
      <c r="F25" s="149">
        <v>16</v>
      </c>
      <c r="G25" s="137" t="s">
        <v>475</v>
      </c>
      <c r="H25" s="152" t="s">
        <v>476</v>
      </c>
      <c r="I25" s="137">
        <v>1296</v>
      </c>
      <c r="J25" s="146">
        <f>مستخلص!I183</f>
        <v>48</v>
      </c>
      <c r="K25" s="138">
        <f t="shared" si="0"/>
        <v>2</v>
      </c>
      <c r="L25" s="146" t="e">
        <f>تشوينات!#REF!</f>
        <v>#REF!</v>
      </c>
      <c r="M25" s="138" t="e">
        <f t="shared" si="1"/>
        <v>#REF!</v>
      </c>
      <c r="N25" s="146" t="e">
        <f t="shared" si="2"/>
        <v>#REF!</v>
      </c>
      <c r="O25" s="138" t="e">
        <f t="shared" si="3"/>
        <v>#REF!</v>
      </c>
      <c r="P25" t="e">
        <f t="shared" si="4"/>
        <v>#REF!</v>
      </c>
    </row>
    <row r="26" spans="6:16" ht="39.950000000000003" customHeight="1" x14ac:dyDescent="0.25">
      <c r="F26" s="149">
        <v>17</v>
      </c>
      <c r="G26" s="137" t="s">
        <v>416</v>
      </c>
      <c r="H26" s="152" t="s">
        <v>417</v>
      </c>
      <c r="I26" s="137">
        <v>4606</v>
      </c>
      <c r="J26" s="146">
        <f>مستخلص!I191</f>
        <v>4606</v>
      </c>
      <c r="K26" s="138">
        <f t="shared" si="0"/>
        <v>54</v>
      </c>
      <c r="L26" s="146" t="e">
        <f>تشوينات!#REF!</f>
        <v>#REF!</v>
      </c>
      <c r="M26" s="138" t="e">
        <f t="shared" si="1"/>
        <v>#REF!</v>
      </c>
      <c r="N26" s="146" t="e">
        <f t="shared" si="2"/>
        <v>#REF!</v>
      </c>
      <c r="O26" s="138" t="e">
        <f t="shared" si="3"/>
        <v>#REF!</v>
      </c>
      <c r="P26" t="e">
        <f t="shared" si="4"/>
        <v>#REF!</v>
      </c>
    </row>
    <row r="27" spans="6:16" ht="39.950000000000003" customHeight="1" x14ac:dyDescent="0.25">
      <c r="F27" s="149">
        <v>18</v>
      </c>
      <c r="G27" s="137"/>
      <c r="H27" s="152" t="s">
        <v>418</v>
      </c>
      <c r="I27" s="137">
        <v>9018</v>
      </c>
      <c r="J27" s="146">
        <f>مستخلص!I192</f>
        <v>9018</v>
      </c>
      <c r="K27" s="138">
        <f t="shared" si="0"/>
        <v>54</v>
      </c>
      <c r="L27" s="146" t="e">
        <f>تشوينات!#REF!</f>
        <v>#REF!</v>
      </c>
      <c r="M27" s="138" t="e">
        <f t="shared" si="1"/>
        <v>#REF!</v>
      </c>
      <c r="N27" s="146" t="e">
        <f t="shared" si="2"/>
        <v>#REF!</v>
      </c>
      <c r="O27" s="138" t="e">
        <f t="shared" si="3"/>
        <v>#REF!</v>
      </c>
      <c r="P27" t="e">
        <f t="shared" si="4"/>
        <v>#REF!</v>
      </c>
    </row>
  </sheetData>
  <mergeCells count="7">
    <mergeCell ref="F8:F9"/>
    <mergeCell ref="N8:O8"/>
    <mergeCell ref="J8:K8"/>
    <mergeCell ref="L8:M8"/>
    <mergeCell ref="I8:I9"/>
    <mergeCell ref="H8:H9"/>
    <mergeCell ref="G8:G9"/>
  </mergeCells>
  <pageMargins left="0.7" right="0.7" top="0.75" bottom="0.75" header="0.3" footer="0.3"/>
  <pageSetup scale="6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theme="3" tint="-0.249977111117893"/>
  </sheetPr>
  <dimension ref="E1:W132"/>
  <sheetViews>
    <sheetView rightToLeft="1" view="pageBreakPreview" topLeftCell="E3" zoomScaleNormal="100" zoomScaleSheetLayoutView="100" workbookViewId="0">
      <pane xSplit="2" ySplit="6" topLeftCell="G9" activePane="bottomRight" state="frozen"/>
      <selection activeCell="E3" sqref="E3"/>
      <selection pane="topRight" activeCell="G3" sqref="G3"/>
      <selection pane="bottomLeft" activeCell="E9" sqref="E9"/>
      <selection pane="bottomRight" activeCell="J55" sqref="J55"/>
    </sheetView>
  </sheetViews>
  <sheetFormatPr defaultColWidth="9.140625" defaultRowHeight="15" x14ac:dyDescent="0.25"/>
  <cols>
    <col min="1" max="2" width="9.140625" style="136"/>
    <col min="3" max="4" width="0" style="136" hidden="1" customWidth="1"/>
    <col min="5" max="5" width="21" style="136" bestFit="1" customWidth="1"/>
    <col min="6" max="6" width="46.5703125" style="136" bestFit="1" customWidth="1"/>
    <col min="7" max="7" width="4.85546875" style="136" bestFit="1" customWidth="1"/>
    <col min="8" max="8" width="11" style="136" bestFit="1" customWidth="1"/>
    <col min="9" max="9" width="12.28515625" style="136" bestFit="1" customWidth="1"/>
    <col min="10" max="10" width="5" style="136" bestFit="1" customWidth="1"/>
    <col min="11" max="11" width="10" style="136" hidden="1" customWidth="1"/>
    <col min="12" max="12" width="5.85546875" style="136" bestFit="1" customWidth="1"/>
    <col min="13" max="13" width="6" style="136" hidden="1" customWidth="1"/>
    <col min="14" max="14" width="10.85546875" style="136" hidden="1" customWidth="1"/>
    <col min="15" max="15" width="9.85546875" style="136" bestFit="1" customWidth="1"/>
    <col min="16" max="16" width="15.5703125" style="136" hidden="1" customWidth="1"/>
    <col min="17" max="17" width="10" style="136" hidden="1" customWidth="1"/>
    <col min="18" max="18" width="7.85546875" style="136" hidden="1" customWidth="1"/>
    <col min="19" max="19" width="12.7109375" style="136" bestFit="1" customWidth="1"/>
    <col min="20" max="16384" width="9.140625" style="136"/>
  </cols>
  <sheetData>
    <row r="1" spans="5:23" hidden="1" x14ac:dyDescent="0.25"/>
    <row r="2" spans="5:23" hidden="1" x14ac:dyDescent="0.25"/>
    <row r="3" spans="5:23" x14ac:dyDescent="0.25">
      <c r="E3" s="140" t="s">
        <v>4</v>
      </c>
      <c r="F3" s="140" t="s">
        <v>5</v>
      </c>
      <c r="G3" s="140" t="s">
        <v>6</v>
      </c>
      <c r="H3" s="140" t="s">
        <v>7</v>
      </c>
      <c r="I3" s="140" t="s">
        <v>8</v>
      </c>
      <c r="J3" s="140" t="s">
        <v>9</v>
      </c>
      <c r="K3" s="140" t="s">
        <v>10</v>
      </c>
      <c r="L3" s="1371" t="s">
        <v>17</v>
      </c>
      <c r="M3" s="140"/>
      <c r="N3" s="140" t="s">
        <v>11</v>
      </c>
      <c r="O3" s="140" t="s">
        <v>12</v>
      </c>
      <c r="P3" s="140" t="s">
        <v>13</v>
      </c>
      <c r="Q3" s="140" t="s">
        <v>14</v>
      </c>
      <c r="R3" s="140" t="s">
        <v>15</v>
      </c>
      <c r="S3" s="140" t="s">
        <v>525</v>
      </c>
    </row>
    <row r="4" spans="5:23" x14ac:dyDescent="0.25">
      <c r="E4" s="140"/>
      <c r="F4" s="140"/>
      <c r="G4" s="140"/>
      <c r="H4" s="140"/>
      <c r="I4" s="140"/>
      <c r="J4" s="140"/>
      <c r="K4" s="140" t="s">
        <v>16</v>
      </c>
      <c r="L4" s="1372"/>
      <c r="M4" s="140" t="s">
        <v>18</v>
      </c>
      <c r="N4" s="140" t="s">
        <v>19</v>
      </c>
      <c r="O4" s="140"/>
      <c r="P4" s="140"/>
      <c r="Q4" s="140" t="s">
        <v>19</v>
      </c>
      <c r="R4" s="140"/>
      <c r="S4" s="140"/>
    </row>
    <row r="5" spans="5:23" hidden="1" x14ac:dyDescent="0.25"/>
    <row r="6" spans="5:23" hidden="1" x14ac:dyDescent="0.25"/>
    <row r="7" spans="5:23" hidden="1" x14ac:dyDescent="0.25"/>
    <row r="8" spans="5:23" hidden="1" x14ac:dyDescent="0.25"/>
    <row r="9" spans="5:23" x14ac:dyDescent="0.25">
      <c r="E9" s="141" t="str">
        <f>مستخلص!A19</f>
        <v xml:space="preserve"> 3 -  1</v>
      </c>
      <c r="F9" s="141" t="str">
        <f>مستخلص!B19</f>
        <v xml:space="preserve">بالمتر المسطح  عمل دكة من الخرسانة المسلحة </v>
      </c>
      <c r="G9" s="141" t="str">
        <f>مستخلص!C19</f>
        <v>م2</v>
      </c>
      <c r="H9" s="141">
        <f>مستخلص!D19</f>
        <v>330</v>
      </c>
      <c r="I9" s="141">
        <f>مستخلص!E19</f>
        <v>17820</v>
      </c>
      <c r="J9" s="141">
        <f>مستخلص!F19</f>
        <v>360</v>
      </c>
      <c r="K9" s="141">
        <f>مستخلص!G19</f>
        <v>18770</v>
      </c>
      <c r="L9" s="143">
        <f>مستخلص!H19</f>
        <v>0</v>
      </c>
      <c r="M9" s="141">
        <f>مستخلص!I19</f>
        <v>18770</v>
      </c>
      <c r="N9" s="141">
        <f>مستخلص!J19</f>
        <v>6757200</v>
      </c>
      <c r="O9" s="141">
        <f>مستخلص!K19</f>
        <v>1</v>
      </c>
      <c r="P9" s="141">
        <f>مستخلص!L19</f>
        <v>0</v>
      </c>
      <c r="Q9" s="141">
        <f>مستخلص!M19</f>
        <v>6757200</v>
      </c>
      <c r="R9" s="137"/>
      <c r="S9" s="142">
        <f>L9*J9*O9</f>
        <v>0</v>
      </c>
      <c r="U9" s="136">
        <v>2084695.2</v>
      </c>
    </row>
    <row r="10" spans="5:23" x14ac:dyDescent="0.25">
      <c r="E10" s="141" t="str">
        <f>مستخلص!A20</f>
        <v xml:space="preserve"> 3 - 2</v>
      </c>
      <c r="F10" s="141" t="str">
        <f>مستخلص!B20</f>
        <v>بالمتر المسطح  عمل خرسانه خفيفه لتخليق ميول الاسطح</v>
      </c>
      <c r="G10" s="141" t="str">
        <f>مستخلص!C20</f>
        <v>م2</v>
      </c>
      <c r="H10" s="141">
        <f>مستخلص!D20</f>
        <v>330</v>
      </c>
      <c r="I10" s="141">
        <f>مستخلص!E20</f>
        <v>17820</v>
      </c>
      <c r="J10" s="141">
        <f>مستخلص!F20</f>
        <v>80</v>
      </c>
      <c r="K10" s="141">
        <f>مستخلص!G20</f>
        <v>18145</v>
      </c>
      <c r="L10" s="143">
        <f>مستخلص!H20</f>
        <v>0</v>
      </c>
      <c r="M10" s="141">
        <f>مستخلص!I20</f>
        <v>18145</v>
      </c>
      <c r="N10" s="141">
        <f>مستخلص!J20</f>
        <v>1451600</v>
      </c>
      <c r="O10" s="141">
        <f>مستخلص!K20</f>
        <v>1</v>
      </c>
      <c r="P10" s="141">
        <f>مستخلص!L20</f>
        <v>0</v>
      </c>
      <c r="Q10" s="141">
        <f>مستخلص!M20</f>
        <v>1451600</v>
      </c>
      <c r="R10" s="137"/>
      <c r="S10" s="142">
        <f t="shared" ref="S10:S70" si="0">L10*J10*O10</f>
        <v>0</v>
      </c>
      <c r="U10" s="136">
        <v>421478.39999999997</v>
      </c>
      <c r="W10" s="136">
        <v>0</v>
      </c>
    </row>
    <row r="11" spans="5:23" x14ac:dyDescent="0.25">
      <c r="E11" s="141" t="str">
        <f>مستخلص!A21</f>
        <v xml:space="preserve"> 3 - 3 - 1</v>
      </c>
      <c r="F11" s="141" t="str">
        <f>مستخلص!B21</f>
        <v>بالمتر المكعب  خرسانة مسلحة لزوم الأسقف والسلالم والدراوي</v>
      </c>
      <c r="G11" s="141" t="str">
        <f>مستخلص!C21</f>
        <v>م3</v>
      </c>
      <c r="H11" s="141">
        <f>مستخلص!D21</f>
        <v>385</v>
      </c>
      <c r="I11" s="141">
        <f>مستخلص!E21</f>
        <v>20790</v>
      </c>
      <c r="J11" s="141">
        <f>مستخلص!F21</f>
        <v>5700</v>
      </c>
      <c r="K11" s="141">
        <f>مستخلص!G21</f>
        <v>20890</v>
      </c>
      <c r="L11" s="143">
        <f>مستخلص!H21</f>
        <v>0</v>
      </c>
      <c r="M11" s="141">
        <f>مستخلص!I21</f>
        <v>20890</v>
      </c>
      <c r="N11" s="141">
        <f>مستخلص!J21</f>
        <v>119073000</v>
      </c>
      <c r="O11" s="141">
        <f>مستخلص!K21</f>
        <v>1</v>
      </c>
      <c r="P11" s="141">
        <f>مستخلص!L21</f>
        <v>0</v>
      </c>
      <c r="Q11" s="141">
        <f>مستخلص!M21</f>
        <v>119073000</v>
      </c>
      <c r="R11" s="137"/>
      <c r="S11" s="142">
        <f t="shared" si="0"/>
        <v>0</v>
      </c>
      <c r="U11" s="136">
        <v>2932650</v>
      </c>
      <c r="W11" s="136">
        <v>0</v>
      </c>
    </row>
    <row r="12" spans="5:23" x14ac:dyDescent="0.25">
      <c r="E12" s="141" t="str">
        <f>مستخلص!A22</f>
        <v xml:space="preserve"> 3 - 3 - 2</v>
      </c>
      <c r="F12" s="141" t="str">
        <f>مستخلص!B22</f>
        <v xml:space="preserve"> بالمتر المكعب  خرسانة مسلحة لزوم الأعمدة</v>
      </c>
      <c r="G12" s="141" t="str">
        <f>مستخلص!C22</f>
        <v>م3</v>
      </c>
      <c r="H12" s="141">
        <f>مستخلص!D22</f>
        <v>121</v>
      </c>
      <c r="I12" s="141">
        <f>مستخلص!E22</f>
        <v>6534</v>
      </c>
      <c r="J12" s="141">
        <f>مستخلص!F22</f>
        <v>8450</v>
      </c>
      <c r="K12" s="141">
        <f>مستخلص!G22</f>
        <v>6476</v>
      </c>
      <c r="L12" s="143">
        <f>مستخلص!H22</f>
        <v>0</v>
      </c>
      <c r="M12" s="141">
        <f>مستخلص!I22</f>
        <v>6476</v>
      </c>
      <c r="N12" s="141">
        <f>مستخلص!J22</f>
        <v>54722200</v>
      </c>
      <c r="O12" s="141">
        <f>مستخلص!K22</f>
        <v>1</v>
      </c>
      <c r="P12" s="141">
        <f>مستخلص!L22</f>
        <v>0</v>
      </c>
      <c r="Q12" s="141">
        <f>مستخلص!M22</f>
        <v>54722200</v>
      </c>
      <c r="R12" s="137"/>
      <c r="S12" s="142">
        <f t="shared" si="0"/>
        <v>0</v>
      </c>
      <c r="U12" s="136">
        <v>1440894</v>
      </c>
      <c r="W12" s="136">
        <v>0</v>
      </c>
    </row>
    <row r="13" spans="5:23" x14ac:dyDescent="0.25">
      <c r="E13" s="137"/>
      <c r="F13" s="137"/>
      <c r="G13" s="137"/>
      <c r="H13" s="137"/>
      <c r="I13" s="137"/>
      <c r="J13" s="137"/>
      <c r="K13" s="137"/>
      <c r="L13" s="139"/>
      <c r="M13" s="137"/>
      <c r="N13" s="137"/>
      <c r="O13" s="137"/>
      <c r="P13" s="137"/>
      <c r="Q13" s="137"/>
      <c r="R13" s="137"/>
      <c r="S13" s="142"/>
      <c r="W13" s="136">
        <v>0</v>
      </c>
    </row>
    <row r="14" spans="5:23" x14ac:dyDescent="0.25">
      <c r="E14" s="141" t="str">
        <f>مستخلص!A37</f>
        <v>4_1</v>
      </c>
      <c r="F14" s="141" t="str">
        <f>مستخلص!B37</f>
        <v>بالمتر المسطح توريد وعمل طبقه عزل افقيه للرطوبه</v>
      </c>
      <c r="G14" s="141" t="str">
        <f>مستخلص!C37</f>
        <v>م2</v>
      </c>
      <c r="H14" s="141">
        <f>مستخلص!D37</f>
        <v>330</v>
      </c>
      <c r="I14" s="141">
        <f>مستخلص!E37</f>
        <v>17820</v>
      </c>
      <c r="J14" s="141">
        <f>مستخلص!F37</f>
        <v>120</v>
      </c>
      <c r="K14" s="141">
        <f>مستخلص!G37</f>
        <v>18145</v>
      </c>
      <c r="L14" s="143">
        <f>مستخلص!H37</f>
        <v>0</v>
      </c>
      <c r="M14" s="141">
        <f>مستخلص!I37</f>
        <v>18145</v>
      </c>
      <c r="N14" s="141">
        <f>مستخلص!J37</f>
        <v>2177400</v>
      </c>
      <c r="O14" s="141">
        <f>مستخلص!K37</f>
        <v>1</v>
      </c>
      <c r="P14" s="141">
        <f>مستخلص!L37</f>
        <v>0</v>
      </c>
      <c r="Q14" s="141">
        <f>مستخلص!M37</f>
        <v>2177400</v>
      </c>
      <c r="R14" s="141">
        <f>مستخلص!N37</f>
        <v>0</v>
      </c>
      <c r="S14" s="142">
        <f t="shared" si="0"/>
        <v>0</v>
      </c>
      <c r="U14" s="136">
        <v>580608</v>
      </c>
      <c r="W14" s="136">
        <v>0</v>
      </c>
    </row>
    <row r="15" spans="5:23" x14ac:dyDescent="0.25">
      <c r="E15" s="141" t="str">
        <f>مستخلص!A38</f>
        <v>4_2</v>
      </c>
      <c r="F15" s="141" t="str">
        <f>مستخلص!B38</f>
        <v>بالمتر المسطح توريد وعمل طبقه عزل افقيه للحراره</v>
      </c>
      <c r="G15" s="141" t="str">
        <f>مستخلص!C38</f>
        <v>م2</v>
      </c>
      <c r="H15" s="141">
        <f>مستخلص!D38</f>
        <v>330</v>
      </c>
      <c r="I15" s="141">
        <f>مستخلص!E38</f>
        <v>17820</v>
      </c>
      <c r="J15" s="141">
        <f>مستخلص!F38</f>
        <v>90</v>
      </c>
      <c r="K15" s="141">
        <f>مستخلص!G38</f>
        <v>18145</v>
      </c>
      <c r="L15" s="143">
        <f>مستخلص!H38</f>
        <v>0</v>
      </c>
      <c r="M15" s="141">
        <f>مستخلص!I38</f>
        <v>18145</v>
      </c>
      <c r="N15" s="141">
        <f>مستخلص!J38</f>
        <v>1633050</v>
      </c>
      <c r="O15" s="141">
        <f>مستخلص!K38</f>
        <v>1</v>
      </c>
      <c r="P15" s="141">
        <f>مستخلص!L38</f>
        <v>0</v>
      </c>
      <c r="Q15" s="141">
        <f>مستخلص!M38</f>
        <v>1633050</v>
      </c>
      <c r="R15" s="141">
        <f>مستخلص!N38</f>
        <v>0</v>
      </c>
      <c r="S15" s="142">
        <f t="shared" si="0"/>
        <v>0</v>
      </c>
      <c r="U15" s="136">
        <v>435456</v>
      </c>
      <c r="W15" s="136">
        <v>0</v>
      </c>
    </row>
    <row r="16" spans="5:23" x14ac:dyDescent="0.25">
      <c r="E16" s="141" t="str">
        <f>مستخلص!A39</f>
        <v>4_3</v>
      </c>
      <c r="F16" s="141" t="str">
        <f>مستخلص!B39</f>
        <v xml:space="preserve">بالمتر المسطح  توريد وعمل طبقة عازلة افقيه للرطوبه بالحمامات </v>
      </c>
      <c r="G16" s="141" t="str">
        <f>مستخلص!C39</f>
        <v>م2</v>
      </c>
      <c r="H16" s="141">
        <f>مستخلص!D39</f>
        <v>106</v>
      </c>
      <c r="I16" s="141">
        <f>مستخلص!E39</f>
        <v>5724</v>
      </c>
      <c r="J16" s="141">
        <f>مستخلص!F39</f>
        <v>250</v>
      </c>
      <c r="K16" s="141">
        <f>مستخلص!G39</f>
        <v>5724</v>
      </c>
      <c r="L16" s="143">
        <f>مستخلص!H39</f>
        <v>0</v>
      </c>
      <c r="M16" s="141">
        <f>مستخلص!I39</f>
        <v>5724</v>
      </c>
      <c r="N16" s="141">
        <f>مستخلص!J39</f>
        <v>1431000</v>
      </c>
      <c r="O16" s="141">
        <f>مستخلص!K39</f>
        <v>1</v>
      </c>
      <c r="P16" s="141">
        <f>مستخلص!L39</f>
        <v>0</v>
      </c>
      <c r="Q16" s="141">
        <f>مستخلص!M39</f>
        <v>1431000</v>
      </c>
      <c r="R16" s="141">
        <f>مستخلص!N39</f>
        <v>0</v>
      </c>
      <c r="S16" s="142">
        <f t="shared" si="0"/>
        <v>0</v>
      </c>
      <c r="U16" s="136">
        <v>166950</v>
      </c>
      <c r="W16" s="136">
        <v>0</v>
      </c>
    </row>
    <row r="17" spans="5:23" x14ac:dyDescent="0.25">
      <c r="E17" s="137"/>
      <c r="F17" s="137"/>
      <c r="G17" s="137"/>
      <c r="H17" s="137"/>
      <c r="I17" s="137"/>
      <c r="J17" s="137"/>
      <c r="K17" s="137"/>
      <c r="L17" s="139"/>
      <c r="M17" s="137"/>
      <c r="N17" s="137"/>
      <c r="O17" s="137"/>
      <c r="P17" s="137"/>
      <c r="Q17" s="137"/>
      <c r="R17" s="137"/>
      <c r="S17" s="142"/>
      <c r="W17" s="136">
        <v>0</v>
      </c>
    </row>
    <row r="18" spans="5:23" x14ac:dyDescent="0.25">
      <c r="E18" s="137"/>
      <c r="F18" s="137"/>
      <c r="G18" s="137"/>
      <c r="H18" s="137"/>
      <c r="I18" s="137"/>
      <c r="J18" s="137"/>
      <c r="K18" s="137"/>
      <c r="L18" s="139"/>
      <c r="M18" s="137"/>
      <c r="N18" s="137"/>
      <c r="O18" s="137"/>
      <c r="P18" s="137"/>
      <c r="Q18" s="137"/>
      <c r="R18" s="137"/>
      <c r="S18" s="142"/>
    </row>
    <row r="19" spans="5:23" x14ac:dyDescent="0.25">
      <c r="E19" s="141" t="str">
        <f>مستخلص!A44</f>
        <v>5-2</v>
      </c>
      <c r="F19" s="141" t="str">
        <f>مستخلص!B44</f>
        <v>بالمترالمكعب مباني طوب طفلي مثقب مقاس 25*12*6 سم للادوار</v>
      </c>
      <c r="G19" s="141" t="str">
        <f>مستخلص!C44</f>
        <v>م3</v>
      </c>
      <c r="H19" s="141">
        <f>مستخلص!D44</f>
        <v>100</v>
      </c>
      <c r="I19" s="141">
        <f>مستخلص!E44</f>
        <v>5400</v>
      </c>
      <c r="J19" s="141">
        <f>مستخلص!F44</f>
        <v>810</v>
      </c>
      <c r="K19" s="141">
        <f>مستخلص!G44</f>
        <v>5209</v>
      </c>
      <c r="L19" s="143">
        <f>مستخلص!H44</f>
        <v>0</v>
      </c>
      <c r="M19" s="141">
        <f>مستخلص!I44</f>
        <v>5209</v>
      </c>
      <c r="N19" s="141">
        <f>مستخلص!J44</f>
        <v>4219290</v>
      </c>
      <c r="O19" s="141">
        <f>مستخلص!K44</f>
        <v>1</v>
      </c>
      <c r="P19" s="141">
        <f>مستخلص!L44</f>
        <v>0</v>
      </c>
      <c r="Q19" s="141">
        <f>مستخلص!M44</f>
        <v>4219290</v>
      </c>
      <c r="R19" s="141">
        <f>مستخلص!N44</f>
        <v>0</v>
      </c>
      <c r="S19" s="142">
        <f t="shared" si="0"/>
        <v>0</v>
      </c>
      <c r="U19" s="136">
        <v>223155</v>
      </c>
    </row>
    <row r="20" spans="5:23" x14ac:dyDescent="0.25">
      <c r="E20" s="141" t="str">
        <f>مستخلص!A45</f>
        <v>5-3</v>
      </c>
      <c r="F20" s="141" t="str">
        <f>مستخلص!B45</f>
        <v>بالمترالمربع مباني طوب طفلي مثقب مقاس 25*12*6 سم للادوار</v>
      </c>
      <c r="G20" s="141" t="str">
        <f>مستخلص!C45</f>
        <v>م2</v>
      </c>
      <c r="H20" s="141">
        <f>مستخلص!D45</f>
        <v>1700</v>
      </c>
      <c r="I20" s="141">
        <f>مستخلص!E45</f>
        <v>91800</v>
      </c>
      <c r="J20" s="141">
        <f>مستخلص!F45</f>
        <v>85</v>
      </c>
      <c r="K20" s="141">
        <f>مستخلص!G45</f>
        <v>90234</v>
      </c>
      <c r="L20" s="143">
        <f>مستخلص!H45</f>
        <v>0</v>
      </c>
      <c r="M20" s="141">
        <f>مستخلص!I45</f>
        <v>90234</v>
      </c>
      <c r="N20" s="141">
        <f>مستخلص!J45</f>
        <v>7669890</v>
      </c>
      <c r="O20" s="141">
        <f>مستخلص!K45</f>
        <v>1</v>
      </c>
      <c r="P20" s="141">
        <f>مستخلص!L45</f>
        <v>0</v>
      </c>
      <c r="Q20" s="141">
        <f>مستخلص!M45</f>
        <v>7669890</v>
      </c>
      <c r="R20" s="141">
        <f>مستخلص!N45</f>
        <v>0</v>
      </c>
      <c r="S20" s="142">
        <f t="shared" si="0"/>
        <v>0</v>
      </c>
      <c r="U20" s="136">
        <v>401569.75</v>
      </c>
    </row>
    <row r="21" spans="5:23" x14ac:dyDescent="0.25">
      <c r="E21" s="141" t="str">
        <f>مستخلص!A46</f>
        <v>5-3-1</v>
      </c>
      <c r="F21" s="141" t="str">
        <f>مستخلص!B46</f>
        <v>بالمترالمربع مباني طوب اسمنتي مصمت مقاس 25*12*6 سم حمامات ومطابخ</v>
      </c>
      <c r="G21" s="141" t="str">
        <f>مستخلص!C46</f>
        <v>م2</v>
      </c>
      <c r="H21" s="141">
        <f>مستخلص!D46</f>
        <v>850</v>
      </c>
      <c r="I21" s="141">
        <f>مستخلص!E46</f>
        <v>45900</v>
      </c>
      <c r="J21" s="141">
        <f>مستخلص!F46</f>
        <v>110</v>
      </c>
      <c r="K21" s="141">
        <f>مستخلص!G46</f>
        <v>47088</v>
      </c>
      <c r="L21" s="143">
        <f>مستخلص!H46</f>
        <v>0</v>
      </c>
      <c r="M21" s="141">
        <f>مستخلص!I46</f>
        <v>47088</v>
      </c>
      <c r="N21" s="141">
        <f>مستخلص!J46</f>
        <v>5179680</v>
      </c>
      <c r="O21" s="141">
        <f>مستخلص!K46</f>
        <v>1</v>
      </c>
      <c r="P21" s="141">
        <f>مستخلص!L46</f>
        <v>0</v>
      </c>
      <c r="Q21" s="141">
        <f>مستخلص!M46</f>
        <v>5179680</v>
      </c>
      <c r="R21" s="141">
        <f>مستخلص!N46</f>
        <v>0</v>
      </c>
      <c r="S21" s="142">
        <f t="shared" si="0"/>
        <v>0</v>
      </c>
      <c r="U21" s="136">
        <v>244634.5</v>
      </c>
    </row>
    <row r="22" spans="5:23" x14ac:dyDescent="0.25">
      <c r="E22" s="137"/>
      <c r="F22" s="137"/>
      <c r="G22" s="137"/>
      <c r="H22" s="137"/>
      <c r="I22" s="137"/>
      <c r="J22" s="137"/>
      <c r="K22" s="137"/>
      <c r="L22" s="139"/>
      <c r="M22" s="137"/>
      <c r="N22" s="137"/>
      <c r="O22" s="137"/>
      <c r="P22" s="137"/>
      <c r="Q22" s="137"/>
      <c r="R22" s="137"/>
      <c r="S22" s="142"/>
      <c r="W22" s="136">
        <v>0</v>
      </c>
    </row>
    <row r="23" spans="5:23" x14ac:dyDescent="0.25">
      <c r="E23" s="137"/>
      <c r="F23" s="137"/>
      <c r="G23" s="137"/>
      <c r="H23" s="137"/>
      <c r="I23" s="137"/>
      <c r="J23" s="137"/>
      <c r="K23" s="137"/>
      <c r="L23" s="139"/>
      <c r="M23" s="137"/>
      <c r="N23" s="137"/>
      <c r="O23" s="137"/>
      <c r="P23" s="137"/>
      <c r="Q23" s="137"/>
      <c r="R23" s="137"/>
      <c r="S23" s="142"/>
      <c r="W23" s="136">
        <v>0</v>
      </c>
    </row>
    <row r="24" spans="5:23" x14ac:dyDescent="0.25">
      <c r="E24" s="137" t="s">
        <v>46</v>
      </c>
      <c r="F24" s="137" t="s">
        <v>354</v>
      </c>
      <c r="G24" s="137" t="s">
        <v>22</v>
      </c>
      <c r="H24" s="137">
        <v>3850</v>
      </c>
      <c r="I24" s="137">
        <v>207900</v>
      </c>
      <c r="J24" s="137">
        <v>50</v>
      </c>
      <c r="K24" s="137">
        <v>95912</v>
      </c>
      <c r="L24" s="139">
        <f>مستخلص!H62</f>
        <v>0</v>
      </c>
      <c r="M24" s="137">
        <v>118010</v>
      </c>
      <c r="N24" s="137">
        <v>5900500</v>
      </c>
      <c r="O24" s="137">
        <v>0.9</v>
      </c>
      <c r="P24" s="137">
        <v>590049.99999999988</v>
      </c>
      <c r="Q24" s="137">
        <v>5310450</v>
      </c>
      <c r="R24" s="137"/>
      <c r="S24" s="142">
        <f>L24*J24*O24</f>
        <v>0</v>
      </c>
      <c r="U24" s="136">
        <v>994410</v>
      </c>
      <c r="W24" s="136">
        <v>0</v>
      </c>
    </row>
    <row r="25" spans="5:23" x14ac:dyDescent="0.25">
      <c r="E25" s="137" t="s">
        <v>47</v>
      </c>
      <c r="F25" s="137" t="s">
        <v>355</v>
      </c>
      <c r="G25" s="137" t="s">
        <v>22</v>
      </c>
      <c r="H25" s="137">
        <v>1590</v>
      </c>
      <c r="I25" s="137">
        <v>85860</v>
      </c>
      <c r="J25" s="137">
        <v>40</v>
      </c>
      <c r="K25" s="137">
        <v>38221</v>
      </c>
      <c r="L25" s="139">
        <f>مستخلص!H63</f>
        <v>0</v>
      </c>
      <c r="M25" s="137">
        <v>51058</v>
      </c>
      <c r="N25" s="137">
        <v>2042320</v>
      </c>
      <c r="O25" s="137">
        <v>0.9</v>
      </c>
      <c r="P25" s="137">
        <v>204231.99999999994</v>
      </c>
      <c r="Q25" s="137">
        <v>1838088</v>
      </c>
      <c r="R25" s="137"/>
      <c r="S25" s="142">
        <f t="shared" si="0"/>
        <v>0</v>
      </c>
      <c r="U25" s="136">
        <v>462132</v>
      </c>
      <c r="W25" s="136">
        <v>0</v>
      </c>
    </row>
    <row r="26" spans="5:23" x14ac:dyDescent="0.25">
      <c r="E26" s="137" t="s">
        <v>440</v>
      </c>
      <c r="F26" s="137" t="s">
        <v>373</v>
      </c>
      <c r="G26" s="137" t="s">
        <v>22</v>
      </c>
      <c r="H26" s="137">
        <v>2750</v>
      </c>
      <c r="I26" s="137">
        <v>148500</v>
      </c>
      <c r="J26" s="137">
        <v>100</v>
      </c>
      <c r="K26" s="137">
        <v>56833</v>
      </c>
      <c r="L26" s="139">
        <f>مستخلص!H64</f>
        <v>0</v>
      </c>
      <c r="M26" s="137">
        <v>80769</v>
      </c>
      <c r="N26" s="137">
        <v>8076900</v>
      </c>
      <c r="O26" s="137">
        <v>0.7</v>
      </c>
      <c r="P26" s="137">
        <v>2423070.0000000005</v>
      </c>
      <c r="Q26" s="137">
        <v>5653830</v>
      </c>
      <c r="R26" s="137"/>
      <c r="S26" s="142">
        <f t="shared" si="0"/>
        <v>0</v>
      </c>
      <c r="U26" s="136">
        <v>1675520</v>
      </c>
      <c r="W26" s="136">
        <v>0</v>
      </c>
    </row>
    <row r="27" spans="5:23" x14ac:dyDescent="0.25">
      <c r="E27" s="137" t="s">
        <v>448</v>
      </c>
      <c r="F27" s="137" t="s">
        <v>449</v>
      </c>
      <c r="G27" s="137" t="s">
        <v>22</v>
      </c>
      <c r="H27" s="137">
        <v>130</v>
      </c>
      <c r="I27" s="137">
        <v>7020</v>
      </c>
      <c r="J27" s="137">
        <v>85</v>
      </c>
      <c r="K27" s="137">
        <v>2601</v>
      </c>
      <c r="L27" s="139">
        <f>مستخلص!H66</f>
        <v>0</v>
      </c>
      <c r="M27" s="137">
        <v>3423</v>
      </c>
      <c r="N27" s="137">
        <v>290955</v>
      </c>
      <c r="O27" s="137">
        <v>0.7</v>
      </c>
      <c r="P27" s="137">
        <v>87286.500000000015</v>
      </c>
      <c r="Q27" s="137">
        <v>203668.5</v>
      </c>
      <c r="R27" s="137"/>
      <c r="S27" s="142">
        <f t="shared" si="0"/>
        <v>0</v>
      </c>
      <c r="U27" s="136">
        <v>48909</v>
      </c>
      <c r="W27" s="136">
        <v>0</v>
      </c>
    </row>
    <row r="28" spans="5:23" x14ac:dyDescent="0.25">
      <c r="E28" s="137" t="s">
        <v>441</v>
      </c>
      <c r="F28" s="137" t="s">
        <v>443</v>
      </c>
      <c r="G28" s="137" t="s">
        <v>22</v>
      </c>
      <c r="H28" s="137">
        <v>300</v>
      </c>
      <c r="I28" s="137">
        <v>16200</v>
      </c>
      <c r="J28" s="137">
        <v>100</v>
      </c>
      <c r="K28" s="137">
        <v>6388</v>
      </c>
      <c r="L28" s="139">
        <f>مستخلص!H68</f>
        <v>0</v>
      </c>
      <c r="M28" s="137">
        <v>7258</v>
      </c>
      <c r="N28" s="137">
        <v>725800</v>
      </c>
      <c r="O28" s="137">
        <v>0.7</v>
      </c>
      <c r="P28" s="137">
        <v>217740.00000000003</v>
      </c>
      <c r="Q28" s="137">
        <v>508060</v>
      </c>
      <c r="R28" s="137"/>
      <c r="S28" s="142">
        <f t="shared" si="0"/>
        <v>0</v>
      </c>
      <c r="U28" s="136">
        <v>60899.999999999993</v>
      </c>
      <c r="W28" s="136">
        <v>0</v>
      </c>
    </row>
    <row r="29" spans="5:23" x14ac:dyDescent="0.25">
      <c r="E29" s="137" t="s">
        <v>442</v>
      </c>
      <c r="F29" s="137" t="s">
        <v>444</v>
      </c>
      <c r="G29" s="137" t="s">
        <v>22</v>
      </c>
      <c r="H29" s="137">
        <v>125</v>
      </c>
      <c r="I29" s="137">
        <v>6750</v>
      </c>
      <c r="J29" s="137">
        <v>85</v>
      </c>
      <c r="K29" s="137">
        <v>2655</v>
      </c>
      <c r="L29" s="139">
        <f>مستخلص!H70</f>
        <v>0</v>
      </c>
      <c r="M29" s="137">
        <v>3016</v>
      </c>
      <c r="N29" s="137">
        <v>256360</v>
      </c>
      <c r="O29" s="137">
        <v>0.7</v>
      </c>
      <c r="P29" s="137">
        <v>76908.000000000015</v>
      </c>
      <c r="Q29" s="137">
        <v>179452</v>
      </c>
      <c r="R29" s="137"/>
      <c r="S29" s="142">
        <f>L29*J29*O29</f>
        <v>0</v>
      </c>
      <c r="U29" s="136">
        <v>21479.5</v>
      </c>
      <c r="W29" s="136">
        <v>0</v>
      </c>
    </row>
    <row r="30" spans="5:23" x14ac:dyDescent="0.25">
      <c r="E30" s="137" t="s">
        <v>411</v>
      </c>
      <c r="F30" s="137" t="s">
        <v>536</v>
      </c>
      <c r="G30" s="148" t="s">
        <v>22</v>
      </c>
      <c r="H30" s="137">
        <v>130</v>
      </c>
      <c r="I30" s="137">
        <v>7020</v>
      </c>
      <c r="J30" s="137">
        <v>100</v>
      </c>
      <c r="K30" s="137"/>
      <c r="L30" s="139">
        <f>مستخلص!H72</f>
        <v>0</v>
      </c>
      <c r="M30" s="137"/>
      <c r="N30" s="137"/>
      <c r="O30" s="149">
        <v>0.7</v>
      </c>
      <c r="P30" s="137"/>
      <c r="Q30" s="137"/>
      <c r="R30" s="137"/>
      <c r="S30" s="142">
        <f>L30*J30*O30</f>
        <v>0</v>
      </c>
      <c r="W30" s="136">
        <v>0</v>
      </c>
    </row>
    <row r="31" spans="5:23" x14ac:dyDescent="0.25">
      <c r="E31" s="137"/>
      <c r="F31" s="137"/>
      <c r="G31" s="137"/>
      <c r="H31" s="137"/>
      <c r="I31" s="137"/>
      <c r="J31" s="137"/>
      <c r="K31" s="137"/>
      <c r="L31" s="139"/>
      <c r="M31" s="137"/>
      <c r="N31" s="137"/>
      <c r="O31" s="137"/>
      <c r="P31" s="137"/>
      <c r="Q31" s="137"/>
      <c r="R31" s="137"/>
      <c r="S31" s="142"/>
      <c r="W31" s="136">
        <v>0</v>
      </c>
    </row>
    <row r="32" spans="5:23" x14ac:dyDescent="0.25">
      <c r="E32" s="141" t="str">
        <f>مستخلص!A88</f>
        <v>7-1</v>
      </c>
      <c r="F32" s="141" t="str">
        <f>مستخلص!B88</f>
        <v>بالمتر الطولي توريد وتركيب ترابيع  رخام للمدخل وبسطات السلالم</v>
      </c>
      <c r="G32" s="141" t="str">
        <f>مستخلص!C88</f>
        <v>م2</v>
      </c>
      <c r="H32" s="141">
        <f>مستخلص!D88</f>
        <v>75</v>
      </c>
      <c r="I32" s="141">
        <f>مستخلص!E88</f>
        <v>4050</v>
      </c>
      <c r="J32" s="141">
        <f>مستخلص!F88</f>
        <v>350</v>
      </c>
      <c r="K32" s="141">
        <f>مستخلص!G88</f>
        <v>5062</v>
      </c>
      <c r="L32" s="143">
        <f>مستخلص!H88</f>
        <v>0</v>
      </c>
      <c r="M32" s="141">
        <f>مستخلص!I88</f>
        <v>5062</v>
      </c>
      <c r="N32" s="141">
        <f>مستخلص!J88</f>
        <v>1771700</v>
      </c>
      <c r="O32" s="141">
        <f>مستخلص!K88</f>
        <v>0.99</v>
      </c>
      <c r="P32" s="141">
        <f>مستخلص!L88</f>
        <v>17717.000000000015</v>
      </c>
      <c r="Q32" s="141">
        <f>مستخلص!M88</f>
        <v>1753983</v>
      </c>
      <c r="R32" s="141">
        <f>مستخلص!N88</f>
        <v>0</v>
      </c>
      <c r="S32" s="142">
        <f>L32*J32*O32</f>
        <v>0</v>
      </c>
      <c r="U32" s="136">
        <v>365085</v>
      </c>
      <c r="W32" s="136">
        <v>0</v>
      </c>
    </row>
    <row r="33" spans="5:23" x14ac:dyDescent="0.25">
      <c r="E33" s="157" t="str">
        <f>مستخلص!A89</f>
        <v>7-2</v>
      </c>
      <c r="F33" s="157" t="s">
        <v>567</v>
      </c>
      <c r="G33" s="157" t="str">
        <f>مستخلص!C89</f>
        <v>م2</v>
      </c>
      <c r="H33" s="157" t="s">
        <v>574</v>
      </c>
      <c r="I33" s="157">
        <f>مستخلص!E89</f>
        <v>1080</v>
      </c>
      <c r="J33" s="157" t="s">
        <v>571</v>
      </c>
      <c r="K33" s="157"/>
      <c r="L33" s="157">
        <f>مستخلص!H89</f>
        <v>0</v>
      </c>
      <c r="M33" s="157"/>
      <c r="N33" s="157"/>
      <c r="O33" s="157" t="s">
        <v>570</v>
      </c>
      <c r="P33" s="157"/>
      <c r="Q33" s="157"/>
      <c r="R33" s="157"/>
      <c r="S33" s="158">
        <f>L33*J33*O33</f>
        <v>0</v>
      </c>
    </row>
    <row r="34" spans="5:23" x14ac:dyDescent="0.25">
      <c r="E34" s="141" t="str">
        <f>مستخلص!A90</f>
        <v>7-3</v>
      </c>
      <c r="F34" s="141" t="str">
        <f>مستخلص!B90</f>
        <v>بالمتر الطولي توريد وتركيب كسوه رخام جلاله لدرج السلم</v>
      </c>
      <c r="G34" s="141" t="str">
        <f>مستخلص!C90</f>
        <v>م.ط</v>
      </c>
      <c r="H34" s="141">
        <f>مستخلص!D90</f>
        <v>128</v>
      </c>
      <c r="I34" s="141">
        <f>مستخلص!E90</f>
        <v>6912</v>
      </c>
      <c r="J34" s="141">
        <f>مستخلص!F90</f>
        <v>265</v>
      </c>
      <c r="K34" s="141">
        <f>مستخلص!G90</f>
        <v>6935</v>
      </c>
      <c r="L34" s="143">
        <f>مستخلص!H90</f>
        <v>0</v>
      </c>
      <c r="M34" s="141">
        <f>مستخلص!I90</f>
        <v>6935</v>
      </c>
      <c r="N34" s="141">
        <f>مستخلص!J90</f>
        <v>1837775</v>
      </c>
      <c r="O34" s="141">
        <f>مستخلص!K90</f>
        <v>0.99</v>
      </c>
      <c r="P34" s="141">
        <f>مستخلص!L90</f>
        <v>18377.750000000015</v>
      </c>
      <c r="Q34" s="141">
        <f>مستخلص!M90</f>
        <v>1819397.25</v>
      </c>
      <c r="R34" s="141">
        <f>مستخلص!N90</f>
        <v>0</v>
      </c>
      <c r="S34" s="142">
        <f t="shared" si="0"/>
        <v>0</v>
      </c>
      <c r="U34" s="136">
        <v>365085</v>
      </c>
      <c r="W34" s="136">
        <v>0</v>
      </c>
    </row>
    <row r="35" spans="5:23" x14ac:dyDescent="0.25">
      <c r="E35" s="141" t="str">
        <f>مستخلص!A91</f>
        <v>7-4</v>
      </c>
      <c r="F35" s="141" t="str">
        <f>مستخلص!B91</f>
        <v>بالمتر المسطح توريد وتركيب بلاط موزايكو للاسطح</v>
      </c>
      <c r="G35" s="141" t="str">
        <f>مستخلص!C91</f>
        <v>م2</v>
      </c>
      <c r="H35" s="141">
        <f>مستخلص!D91</f>
        <v>325</v>
      </c>
      <c r="I35" s="141">
        <f>مستخلص!E91</f>
        <v>17550</v>
      </c>
      <c r="J35" s="141">
        <f>مستخلص!F91</f>
        <v>145</v>
      </c>
      <c r="K35" s="141">
        <f>مستخلص!G91</f>
        <v>17975</v>
      </c>
      <c r="L35" s="143">
        <f>مستخلص!H91</f>
        <v>0</v>
      </c>
      <c r="M35" s="141">
        <f>مستخلص!I91</f>
        <v>17975</v>
      </c>
      <c r="N35" s="141">
        <f>مستخلص!J91</f>
        <v>2606375</v>
      </c>
      <c r="O35" s="141">
        <f>مستخلص!K91</f>
        <v>0.99</v>
      </c>
      <c r="P35" s="141">
        <f>مستخلص!L91</f>
        <v>26063.750000000022</v>
      </c>
      <c r="Q35" s="141">
        <f>مستخلص!M91</f>
        <v>2580311.25</v>
      </c>
      <c r="R35" s="141">
        <f>مستخلص!N91</f>
        <v>0</v>
      </c>
      <c r="S35" s="142">
        <f t="shared" si="0"/>
        <v>0</v>
      </c>
      <c r="U35" s="136">
        <v>193847.5</v>
      </c>
      <c r="W35" s="136">
        <v>0</v>
      </c>
    </row>
    <row r="36" spans="5:23" x14ac:dyDescent="0.25">
      <c r="E36" s="141" t="str">
        <f>مستخلص!A92</f>
        <v>7-5</v>
      </c>
      <c r="F36" s="141" t="str">
        <f>مستخلص!B92</f>
        <v>بالمتر المسطح توريد تركيب بلاط   سيراميك لارضيات للغرف والصالات والمداخل والطرقات</v>
      </c>
      <c r="G36" s="141" t="str">
        <f>مستخلص!C92</f>
        <v>م2</v>
      </c>
      <c r="H36" s="141">
        <f>مستخلص!D92</f>
        <v>1460</v>
      </c>
      <c r="I36" s="141">
        <f>مستخلص!E92</f>
        <v>78840</v>
      </c>
      <c r="J36" s="141">
        <f>مستخلص!F92</f>
        <v>175</v>
      </c>
      <c r="K36" s="141">
        <f>مستخلص!G92</f>
        <v>79812</v>
      </c>
      <c r="L36" s="143">
        <f>مستخلص!H92</f>
        <v>0</v>
      </c>
      <c r="M36" s="141">
        <f>مستخلص!I92</f>
        <v>79812</v>
      </c>
      <c r="N36" s="141">
        <f>مستخلص!J92</f>
        <v>13967100</v>
      </c>
      <c r="O36" s="141">
        <f>مستخلص!K92</f>
        <v>0.99</v>
      </c>
      <c r="P36" s="141">
        <f>مستخلص!L92</f>
        <v>139671.00000000012</v>
      </c>
      <c r="Q36" s="141">
        <f>مستخلص!M92</f>
        <v>13827429</v>
      </c>
      <c r="R36" s="141">
        <f>مستخلص!N92</f>
        <v>0</v>
      </c>
      <c r="S36" s="142">
        <f t="shared" si="0"/>
        <v>0</v>
      </c>
      <c r="U36" s="136">
        <v>458432</v>
      </c>
      <c r="W36" s="136">
        <v>0</v>
      </c>
    </row>
    <row r="37" spans="5:23" x14ac:dyDescent="0.25">
      <c r="E37" s="141" t="str">
        <f>مستخلص!A93</f>
        <v>7-6</v>
      </c>
      <c r="F37" s="141" t="str">
        <f>مستخلص!B93</f>
        <v>بالمتر المسطح توريد وتركيب بلاط سيراميك لارضيات الحمامات والمطابخ</v>
      </c>
      <c r="G37" s="141" t="str">
        <f>مستخلص!C93</f>
        <v>م2</v>
      </c>
      <c r="H37" s="141">
        <f>مستخلص!D93</f>
        <v>235</v>
      </c>
      <c r="I37" s="141">
        <f>مستخلص!E93</f>
        <v>12690</v>
      </c>
      <c r="J37" s="141">
        <f>مستخلص!F93</f>
        <v>160</v>
      </c>
      <c r="K37" s="141">
        <f>مستخلص!G93</f>
        <v>12582</v>
      </c>
      <c r="L37" s="143">
        <f>مستخلص!H93</f>
        <v>0</v>
      </c>
      <c r="M37" s="141">
        <f>مستخلص!I93</f>
        <v>12582</v>
      </c>
      <c r="N37" s="141">
        <f>مستخلص!J93</f>
        <v>2013120</v>
      </c>
      <c r="O37" s="141">
        <f>مستخلص!K93</f>
        <v>0.99</v>
      </c>
      <c r="P37" s="141">
        <f>مستخلص!L93</f>
        <v>20131.200000000019</v>
      </c>
      <c r="Q37" s="141">
        <f>مستخلص!M93</f>
        <v>1992988.8</v>
      </c>
      <c r="R37" s="141">
        <f>مستخلص!N93</f>
        <v>0</v>
      </c>
      <c r="S37" s="142">
        <f t="shared" si="0"/>
        <v>0</v>
      </c>
      <c r="U37" s="136">
        <v>1710712.5</v>
      </c>
    </row>
    <row r="38" spans="5:23" x14ac:dyDescent="0.25">
      <c r="E38" s="141" t="str">
        <f>مستخلص!A94</f>
        <v>7-7</v>
      </c>
      <c r="F38" s="141" t="str">
        <f>مستخلص!B94</f>
        <v>بالمتر المسطح توريد وتركيب بلاط سيراميك لحوائط الحمامات والمطابخ</v>
      </c>
      <c r="G38" s="141" t="str">
        <f>مستخلص!C94</f>
        <v>م2</v>
      </c>
      <c r="H38" s="141">
        <f>مستخلص!D94</f>
        <v>1100</v>
      </c>
      <c r="I38" s="141">
        <f>مستخلص!E94</f>
        <v>59400</v>
      </c>
      <c r="J38" s="141">
        <f>مستخلص!F94</f>
        <v>170</v>
      </c>
      <c r="K38" s="141">
        <f>مستخلص!G94</f>
        <v>59292</v>
      </c>
      <c r="L38" s="143">
        <f>مستخلص!H94</f>
        <v>0</v>
      </c>
      <c r="M38" s="141">
        <f>مستخلص!I94</f>
        <v>59292</v>
      </c>
      <c r="N38" s="141">
        <f>مستخلص!J94</f>
        <v>10079640</v>
      </c>
      <c r="O38" s="141">
        <f>مستخلص!K94</f>
        <v>0.99</v>
      </c>
      <c r="P38" s="141">
        <f>مستخلص!L94</f>
        <v>100796.4000000001</v>
      </c>
      <c r="Q38" s="141">
        <f>مستخلص!M94</f>
        <v>9978843.5999999996</v>
      </c>
      <c r="R38" s="141">
        <f>مستخلص!N94</f>
        <v>0</v>
      </c>
      <c r="S38" s="142">
        <f t="shared" si="0"/>
        <v>0</v>
      </c>
      <c r="U38" s="136">
        <v>242592</v>
      </c>
    </row>
    <row r="39" spans="5:23" x14ac:dyDescent="0.25">
      <c r="E39" s="137"/>
      <c r="F39" s="137"/>
      <c r="G39" s="137"/>
      <c r="H39" s="137"/>
      <c r="I39" s="137"/>
      <c r="J39" s="137"/>
      <c r="K39" s="137"/>
      <c r="L39" s="139"/>
      <c r="M39" s="137"/>
      <c r="N39" s="137"/>
      <c r="O39" s="137"/>
      <c r="P39" s="137"/>
      <c r="Q39" s="137"/>
      <c r="R39" s="137"/>
      <c r="S39" s="142"/>
      <c r="U39" s="136">
        <v>1241289</v>
      </c>
    </row>
    <row r="40" spans="5:23" x14ac:dyDescent="0.25">
      <c r="E40" s="137"/>
      <c r="F40" s="137"/>
      <c r="G40" s="137"/>
      <c r="H40" s="137"/>
      <c r="I40" s="137"/>
      <c r="J40" s="137"/>
      <c r="K40" s="137"/>
      <c r="L40" s="139"/>
      <c r="M40" s="137"/>
      <c r="N40" s="137"/>
      <c r="O40" s="137"/>
      <c r="P40" s="137"/>
      <c r="Q40" s="137"/>
      <c r="R40" s="137"/>
      <c r="S40" s="142"/>
    </row>
    <row r="41" spans="5:23" x14ac:dyDescent="0.25">
      <c r="E41" s="141" t="str">
        <f>مستخلص!A109</f>
        <v>8-1</v>
      </c>
      <c r="F41" s="141" t="str">
        <f>مستخلص!B109</f>
        <v>بالمتر المسطح توريد ودهان حوائط واسقف الادوار
 (سيلر +سكينة اولى +سكينة ثانية )</v>
      </c>
      <c r="G41" s="141" t="str">
        <f>مستخلص!C109</f>
        <v>م2</v>
      </c>
      <c r="H41" s="141">
        <f>مستخلص!D109</f>
        <v>5195</v>
      </c>
      <c r="I41" s="141">
        <f>مستخلص!E109</f>
        <v>280530</v>
      </c>
      <c r="J41" s="141">
        <f>مستخلص!F109</f>
        <v>20</v>
      </c>
      <c r="K41" s="141">
        <f>مستخلص!G109</f>
        <v>0</v>
      </c>
      <c r="L41" s="143">
        <f>مستخلص!H109</f>
        <v>0</v>
      </c>
      <c r="M41" s="141">
        <f>مستخلص!I109</f>
        <v>0</v>
      </c>
      <c r="N41" s="141">
        <f>مستخلص!J109</f>
        <v>0</v>
      </c>
      <c r="O41" s="141">
        <f>مستخلص!K109</f>
        <v>0.4</v>
      </c>
      <c r="P41" s="141">
        <f>مستخلص!L109</f>
        <v>0</v>
      </c>
      <c r="Q41" s="141">
        <f>مستخلص!M109</f>
        <v>0</v>
      </c>
      <c r="R41" s="141">
        <f>مستخلص!N109</f>
        <v>0</v>
      </c>
      <c r="S41" s="142">
        <f t="shared" si="0"/>
        <v>0</v>
      </c>
      <c r="W41" s="136">
        <v>0</v>
      </c>
    </row>
    <row r="42" spans="5:23" x14ac:dyDescent="0.25">
      <c r="E42" s="141" t="str">
        <f>مستخلص!A113</f>
        <v>8-2</v>
      </c>
      <c r="F42" s="141" t="str">
        <f>مستخلص!B113</f>
        <v>بالمتر المسطح توريد ودهان اسقف اسقف االمطابخ والحمامات
 (سيلر +سكينة اولى +سكينة ثانية )</v>
      </c>
      <c r="G42" s="141" t="str">
        <f>مستخلص!C113</f>
        <v>م2</v>
      </c>
      <c r="H42" s="141">
        <f>مستخلص!D113</f>
        <v>245</v>
      </c>
      <c r="I42" s="141">
        <f>مستخلص!E113</f>
        <v>13230</v>
      </c>
      <c r="J42" s="141">
        <f>مستخلص!F113</f>
        <v>20</v>
      </c>
      <c r="K42" s="141">
        <f>مستخلص!G113</f>
        <v>0</v>
      </c>
      <c r="L42" s="143">
        <f>مستخلص!H113</f>
        <v>0</v>
      </c>
      <c r="M42" s="141">
        <f>مستخلص!I113</f>
        <v>0</v>
      </c>
      <c r="N42" s="141">
        <f>مستخلص!J113</f>
        <v>0</v>
      </c>
      <c r="O42" s="141">
        <f>مستخلص!K113</f>
        <v>0.4</v>
      </c>
      <c r="P42" s="141">
        <f>مستخلص!L113</f>
        <v>0</v>
      </c>
      <c r="Q42" s="141">
        <f>مستخلص!M113</f>
        <v>0</v>
      </c>
      <c r="R42" s="141">
        <f>مستخلص!N113</f>
        <v>0</v>
      </c>
      <c r="S42" s="142">
        <f t="shared" si="0"/>
        <v>0</v>
      </c>
      <c r="W42" s="136">
        <v>0</v>
      </c>
    </row>
    <row r="43" spans="5:23" x14ac:dyDescent="0.25">
      <c r="E43" s="141" t="str">
        <f>مستخلص!A117</f>
        <v>تاسعا  - اعمـــال الفتحات</v>
      </c>
      <c r="F43" s="141"/>
      <c r="G43" s="141"/>
      <c r="H43" s="141"/>
      <c r="I43" s="141"/>
      <c r="J43" s="141"/>
      <c r="K43" s="141"/>
      <c r="L43" s="143"/>
      <c r="M43" s="141"/>
      <c r="N43" s="141"/>
      <c r="O43" s="141"/>
      <c r="P43" s="141"/>
      <c r="Q43" s="141"/>
      <c r="R43" s="141"/>
      <c r="S43" s="142"/>
      <c r="W43" s="136">
        <v>0</v>
      </c>
    </row>
    <row r="44" spans="5:23" x14ac:dyDescent="0.25">
      <c r="E44" s="141" t="str">
        <f>مستخلص!A119</f>
        <v>9_2</v>
      </c>
      <c r="F44" s="141" t="str">
        <f>مستخلص!B119</f>
        <v>بالعدد توريد وتركيب باب نموذج  ( ب 2 ) (حلوق)</v>
      </c>
      <c r="G44" s="141" t="str">
        <f>مستخلص!C119</f>
        <v>عدد</v>
      </c>
      <c r="H44" s="141">
        <f>مستخلص!D119</f>
        <v>24</v>
      </c>
      <c r="I44" s="141">
        <f>مستخلص!E119</f>
        <v>1296</v>
      </c>
      <c r="J44" s="141">
        <f>مستخلص!F119</f>
        <v>3850</v>
      </c>
      <c r="K44" s="141">
        <f>مستخلص!G119</f>
        <v>0</v>
      </c>
      <c r="L44" s="143">
        <f>مستخلص!H119</f>
        <v>0</v>
      </c>
      <c r="M44" s="141">
        <f>مستخلص!I119</f>
        <v>0</v>
      </c>
      <c r="N44" s="141">
        <f>مستخلص!J119</f>
        <v>0</v>
      </c>
      <c r="O44" s="141">
        <f>مستخلص!K119</f>
        <v>0.2</v>
      </c>
      <c r="P44" s="141">
        <f>مستخلص!L119</f>
        <v>0</v>
      </c>
      <c r="Q44" s="141">
        <f>مستخلص!M119</f>
        <v>0</v>
      </c>
      <c r="R44" s="141">
        <f>مستخلص!N119</f>
        <v>0</v>
      </c>
      <c r="S44" s="142">
        <f t="shared" si="0"/>
        <v>0</v>
      </c>
    </row>
    <row r="45" spans="5:23" x14ac:dyDescent="0.25">
      <c r="E45" s="157"/>
      <c r="F45" s="157" t="str">
        <f>مستخلص!B120</f>
        <v>بالعدد توريد وتركيب باب نموذج  ( ب 2 ) (حلوق + ضلف)</v>
      </c>
      <c r="G45" s="157"/>
      <c r="H45" s="157">
        <f>مستخلص!D120</f>
        <v>0</v>
      </c>
      <c r="I45" s="157">
        <f>مستخلص!E120</f>
        <v>0</v>
      </c>
      <c r="J45" s="157" t="s">
        <v>575</v>
      </c>
      <c r="K45" s="157"/>
      <c r="L45" s="157">
        <f>مستخلص!H120</f>
        <v>0</v>
      </c>
      <c r="M45" s="157"/>
      <c r="N45" s="157"/>
      <c r="O45" s="157" t="s">
        <v>576</v>
      </c>
      <c r="P45" s="157"/>
      <c r="Q45" s="157"/>
      <c r="R45" s="157"/>
      <c r="S45" s="158">
        <f>O45*L45*J45</f>
        <v>0</v>
      </c>
    </row>
    <row r="46" spans="5:23" x14ac:dyDescent="0.25">
      <c r="E46" s="141" t="str">
        <f>مستخلص!A123</f>
        <v>9_3</v>
      </c>
      <c r="F46" s="141" t="str">
        <f>مستخلص!B123</f>
        <v>بالعدد توريد وتركيب باب نموذج  ( ب 3 ) ( حلوق )</v>
      </c>
      <c r="G46" s="141" t="str">
        <f>مستخلص!C123</f>
        <v>عدد</v>
      </c>
      <c r="H46" s="141">
        <f>مستخلص!D123</f>
        <v>72</v>
      </c>
      <c r="I46" s="141">
        <f>مستخلص!E123</f>
        <v>3888</v>
      </c>
      <c r="J46" s="141">
        <f>مستخلص!F123</f>
        <v>2300</v>
      </c>
      <c r="K46" s="141">
        <f>مستخلص!G123</f>
        <v>0</v>
      </c>
      <c r="L46" s="143">
        <f>مستخلص!H123</f>
        <v>0</v>
      </c>
      <c r="M46" s="141">
        <f>مستخلص!I123</f>
        <v>0</v>
      </c>
      <c r="N46" s="141">
        <f>مستخلص!J123</f>
        <v>0</v>
      </c>
      <c r="O46" s="141">
        <f>مستخلص!K123</f>
        <v>0.2</v>
      </c>
      <c r="P46" s="141">
        <f>مستخلص!L123</f>
        <v>0</v>
      </c>
      <c r="Q46" s="141">
        <f>مستخلص!M123</f>
        <v>0</v>
      </c>
      <c r="R46" s="141">
        <f>مستخلص!N123</f>
        <v>0</v>
      </c>
      <c r="S46" s="142">
        <f t="shared" si="0"/>
        <v>0</v>
      </c>
    </row>
    <row r="47" spans="5:23" x14ac:dyDescent="0.25">
      <c r="E47" s="157"/>
      <c r="F47" s="157" t="str">
        <f>مستخلص!B124</f>
        <v>بالعدد توريد وتركيب باب نموذج  ( ب 3 ) ( حلوق + ضلف )</v>
      </c>
      <c r="G47" s="157"/>
      <c r="H47" s="157">
        <f>مستخلص!D124</f>
        <v>0</v>
      </c>
      <c r="I47" s="157">
        <f>مستخلص!E124</f>
        <v>0</v>
      </c>
      <c r="J47" s="157" t="s">
        <v>577</v>
      </c>
      <c r="K47" s="157"/>
      <c r="L47" s="157">
        <f>مستخلص!H124</f>
        <v>0</v>
      </c>
      <c r="M47" s="157"/>
      <c r="N47" s="157"/>
      <c r="O47" s="157" t="s">
        <v>576</v>
      </c>
      <c r="P47" s="157"/>
      <c r="Q47" s="157"/>
      <c r="R47" s="157"/>
      <c r="S47" s="158">
        <f>O47*L47*J47</f>
        <v>0</v>
      </c>
    </row>
    <row r="48" spans="5:23" x14ac:dyDescent="0.25">
      <c r="E48" s="141" t="str">
        <f>مستخلص!A127</f>
        <v>9_4</v>
      </c>
      <c r="F48" s="141" t="str">
        <f>مستخلص!B127</f>
        <v>بالعدد توريد وتركيب باب نموذج  ( ب 4 ) ( حلوق )</v>
      </c>
      <c r="G48" s="141" t="str">
        <f>مستخلص!C127</f>
        <v>عدد</v>
      </c>
      <c r="H48" s="141">
        <f>مستخلص!D127</f>
        <v>48</v>
      </c>
      <c r="I48" s="141">
        <f>مستخلص!E127</f>
        <v>2592</v>
      </c>
      <c r="J48" s="141">
        <f>مستخلص!F127</f>
        <v>2750</v>
      </c>
      <c r="K48" s="141">
        <f>مستخلص!G127</f>
        <v>0</v>
      </c>
      <c r="L48" s="143">
        <f>مستخلص!H127</f>
        <v>0</v>
      </c>
      <c r="M48" s="141">
        <f>مستخلص!I127</f>
        <v>0</v>
      </c>
      <c r="N48" s="141">
        <f>مستخلص!J127</f>
        <v>0</v>
      </c>
      <c r="O48" s="141">
        <f>مستخلص!K127</f>
        <v>0.2</v>
      </c>
      <c r="P48" s="141">
        <f>مستخلص!L127</f>
        <v>0</v>
      </c>
      <c r="Q48" s="141">
        <f>مستخلص!M127</f>
        <v>0</v>
      </c>
      <c r="R48" s="141">
        <f>مستخلص!N127</f>
        <v>0</v>
      </c>
      <c r="S48" s="142">
        <f t="shared" si="0"/>
        <v>0</v>
      </c>
    </row>
    <row r="49" spans="5:23" x14ac:dyDescent="0.25">
      <c r="E49" s="157"/>
      <c r="F49" s="157" t="str">
        <f>مستخلص!B128</f>
        <v>بالعدد توريد وتركيب باب نموذج  ( ب 4 ) ( حلوق + ضلف )</v>
      </c>
      <c r="G49" s="157"/>
      <c r="H49" s="157">
        <f>مستخلص!D128</f>
        <v>0</v>
      </c>
      <c r="I49" s="157">
        <f>مستخلص!E128</f>
        <v>0</v>
      </c>
      <c r="J49" s="157" t="s">
        <v>578</v>
      </c>
      <c r="K49" s="157"/>
      <c r="L49" s="157">
        <f>مستخلص!H128</f>
        <v>0</v>
      </c>
      <c r="M49" s="157"/>
      <c r="N49" s="157"/>
      <c r="O49" s="157" t="s">
        <v>576</v>
      </c>
      <c r="P49" s="157"/>
      <c r="Q49" s="157"/>
      <c r="R49" s="157"/>
      <c r="S49" s="158">
        <f>O49*L49*J49</f>
        <v>0</v>
      </c>
    </row>
    <row r="50" spans="5:23" x14ac:dyDescent="0.25">
      <c r="E50" s="141" t="str">
        <f>مستخلص!A150</f>
        <v>عاشرا  -- أعمال الكريتال</v>
      </c>
      <c r="F50" s="141"/>
      <c r="G50" s="141"/>
      <c r="H50" s="141"/>
      <c r="I50" s="141"/>
      <c r="J50" s="141"/>
      <c r="K50" s="141"/>
      <c r="L50" s="143"/>
      <c r="M50" s="141"/>
      <c r="N50" s="141"/>
      <c r="O50" s="141"/>
      <c r="P50" s="141"/>
      <c r="Q50" s="141"/>
      <c r="R50" s="141"/>
      <c r="S50" s="142"/>
      <c r="W50" s="136">
        <v>0</v>
      </c>
    </row>
    <row r="51" spans="5:23" x14ac:dyDescent="0.25">
      <c r="E51" s="141" t="str">
        <f>مستخلص!A151</f>
        <v>10-1</v>
      </c>
      <c r="F51" s="141" t="str">
        <f>مستخلص!B151</f>
        <v>بالكجم توريد وتركيب درابزين للسلالم والبلكونات والمناشر</v>
      </c>
      <c r="G51" s="141" t="str">
        <f>مستخلص!C151</f>
        <v>كجم</v>
      </c>
      <c r="H51" s="141">
        <f>مستخلص!D151</f>
        <v>2500</v>
      </c>
      <c r="I51" s="141">
        <f>مستخلص!E151</f>
        <v>135000</v>
      </c>
      <c r="J51" s="141">
        <f>مستخلص!F151</f>
        <v>35</v>
      </c>
      <c r="K51" s="141">
        <f>مستخلص!G151</f>
        <v>143100</v>
      </c>
      <c r="L51" s="143">
        <f>مستخلص!H151</f>
        <v>0</v>
      </c>
      <c r="M51" s="141">
        <f>مستخلص!I151</f>
        <v>143100</v>
      </c>
      <c r="N51" s="141">
        <f>مستخلص!J151</f>
        <v>5008500</v>
      </c>
      <c r="O51" s="141">
        <f>مستخلص!K151</f>
        <v>0.99</v>
      </c>
      <c r="P51" s="141">
        <f>مستخلص!L151</f>
        <v>50085.000000000044</v>
      </c>
      <c r="Q51" s="141">
        <f>مستخلص!M151</f>
        <v>4958415</v>
      </c>
      <c r="R51" s="141">
        <f>مستخلص!N151</f>
        <v>0</v>
      </c>
      <c r="S51" s="142">
        <f t="shared" si="0"/>
        <v>0</v>
      </c>
      <c r="W51" s="136">
        <v>0</v>
      </c>
    </row>
    <row r="52" spans="5:23" x14ac:dyDescent="0.25">
      <c r="E52" s="157" t="str">
        <f>مستخلص!A152</f>
        <v>10-2</v>
      </c>
      <c r="F52" s="157" t="s">
        <v>569</v>
      </c>
      <c r="G52" s="157" t="str">
        <f>مستخلص!C152</f>
        <v>كجم</v>
      </c>
      <c r="H52" s="157">
        <f>مستخلص!D152</f>
        <v>1500</v>
      </c>
      <c r="I52" s="157">
        <f>مستخلص!E152</f>
        <v>81000</v>
      </c>
      <c r="J52" s="157" t="s">
        <v>572</v>
      </c>
      <c r="K52" s="157"/>
      <c r="L52" s="157">
        <f>مستخلص!H152</f>
        <v>0</v>
      </c>
      <c r="M52" s="157"/>
      <c r="N52" s="157"/>
      <c r="O52" s="157" t="s">
        <v>573</v>
      </c>
      <c r="P52" s="157"/>
      <c r="Q52" s="157"/>
      <c r="R52" s="157"/>
      <c r="S52" s="158">
        <f>L52*J52*O52</f>
        <v>0</v>
      </c>
    </row>
    <row r="53" spans="5:23" x14ac:dyDescent="0.25">
      <c r="E53" s="141" t="str">
        <f>مستخلص!A153</f>
        <v>10-3</v>
      </c>
      <c r="F53" s="141" t="str">
        <f>مستخلص!B153</f>
        <v>بالكجم توريد وتركيب سلم بحاري</v>
      </c>
      <c r="G53" s="141" t="str">
        <f>مستخلص!C153</f>
        <v>كجم</v>
      </c>
      <c r="H53" s="141">
        <f>مستخلص!D153</f>
        <v>120</v>
      </c>
      <c r="I53" s="141">
        <f>مستخلص!E153</f>
        <v>6480</v>
      </c>
      <c r="J53" s="141">
        <f>مستخلص!F153</f>
        <v>40</v>
      </c>
      <c r="K53" s="141"/>
      <c r="L53" s="143">
        <f>مستخلص!H153</f>
        <v>0</v>
      </c>
      <c r="M53" s="141"/>
      <c r="N53" s="141"/>
      <c r="O53" s="141">
        <f>مستخلص!K153</f>
        <v>0.99</v>
      </c>
      <c r="P53" s="141"/>
      <c r="Q53" s="141"/>
      <c r="R53" s="141"/>
      <c r="S53" s="142">
        <f>L53*J53*O53</f>
        <v>0</v>
      </c>
    </row>
    <row r="54" spans="5:23" x14ac:dyDescent="0.25">
      <c r="E54" s="141" t="str">
        <f>مستخلص!A154</f>
        <v>الحادي عشر--اعمال متنوعه</v>
      </c>
      <c r="F54" s="141"/>
      <c r="G54" s="141"/>
      <c r="H54" s="141"/>
      <c r="I54" s="141"/>
      <c r="J54" s="141"/>
      <c r="K54" s="141"/>
      <c r="L54" s="143"/>
      <c r="M54" s="141"/>
      <c r="N54" s="141"/>
      <c r="O54" s="141"/>
      <c r="P54" s="141"/>
      <c r="Q54" s="141"/>
      <c r="R54" s="141"/>
      <c r="S54" s="142"/>
      <c r="W54" s="136">
        <v>0</v>
      </c>
    </row>
    <row r="55" spans="5:23" x14ac:dyDescent="0.25">
      <c r="E55" s="141" t="str">
        <f>مستخلص!A155</f>
        <v>11-1</v>
      </c>
      <c r="F55" s="141" t="str">
        <f>مستخلص!B155</f>
        <v>بالمتر المسطح توريد وتركيب كسوه من البازلت</v>
      </c>
      <c r="G55" s="141" t="str">
        <f>مستخلص!C155</f>
        <v>م2</v>
      </c>
      <c r="H55" s="141">
        <f>مستخلص!D155</f>
        <v>70</v>
      </c>
      <c r="I55" s="141">
        <f>مستخلص!E155</f>
        <v>3780</v>
      </c>
      <c r="J55" s="141">
        <f>مستخلص!F155</f>
        <v>365</v>
      </c>
      <c r="K55" s="141">
        <f>مستخلص!G155</f>
        <v>3672</v>
      </c>
      <c r="L55" s="143">
        <f>مستخلص!H155</f>
        <v>0</v>
      </c>
      <c r="M55" s="141">
        <f>مستخلص!I155</f>
        <v>3672</v>
      </c>
      <c r="N55" s="141">
        <f>مستخلص!J155</f>
        <v>1340280</v>
      </c>
      <c r="O55" s="141">
        <f>مستخلص!K155</f>
        <v>0.99</v>
      </c>
      <c r="P55" s="141">
        <f>مستخلص!L155</f>
        <v>13402.800000000012</v>
      </c>
      <c r="Q55" s="141">
        <f>مستخلص!M155</f>
        <v>1326877.2</v>
      </c>
      <c r="R55" s="141">
        <f>مستخلص!N155</f>
        <v>0</v>
      </c>
      <c r="S55" s="142">
        <f>L55*J55*O55</f>
        <v>0</v>
      </c>
      <c r="W55" s="136">
        <v>0</v>
      </c>
    </row>
    <row r="56" spans="5:23" x14ac:dyDescent="0.25">
      <c r="E56" s="137"/>
      <c r="F56" s="137"/>
      <c r="G56" s="137"/>
      <c r="H56" s="137"/>
      <c r="I56" s="137"/>
      <c r="J56" s="137"/>
      <c r="K56" s="137"/>
      <c r="L56" s="139"/>
      <c r="M56" s="137"/>
      <c r="N56" s="137"/>
      <c r="O56" s="137"/>
      <c r="P56" s="137"/>
      <c r="Q56" s="137"/>
      <c r="R56" s="137"/>
      <c r="S56" s="142"/>
      <c r="W56" s="136">
        <v>0</v>
      </c>
    </row>
    <row r="57" spans="5:23" x14ac:dyDescent="0.25">
      <c r="E57" s="137"/>
      <c r="F57" s="137"/>
      <c r="G57" s="137"/>
      <c r="H57" s="137"/>
      <c r="I57" s="137"/>
      <c r="J57" s="137"/>
      <c r="K57" s="137"/>
      <c r="L57" s="139"/>
      <c r="M57" s="137"/>
      <c r="N57" s="137"/>
      <c r="O57" s="137"/>
      <c r="P57" s="137"/>
      <c r="Q57" s="137"/>
      <c r="R57" s="137"/>
      <c r="S57" s="142"/>
      <c r="W57" s="136">
        <v>0</v>
      </c>
    </row>
    <row r="58" spans="5:23" x14ac:dyDescent="0.25">
      <c r="E58" s="141" t="str">
        <f>مستخلص!A173</f>
        <v>12_1</v>
      </c>
      <c r="F58" s="141" t="str">
        <f>مستخلص!B173</f>
        <v>بالعدد توريد وتركيب مرحاض افرنجى( تغذية  )</v>
      </c>
      <c r="G58" s="141" t="str">
        <f>مستخلص!C173</f>
        <v>عدد</v>
      </c>
      <c r="H58" s="141">
        <f>مستخلص!D173</f>
        <v>24</v>
      </c>
      <c r="I58" s="141">
        <f>مستخلص!E173</f>
        <v>1296</v>
      </c>
      <c r="J58" s="141">
        <f>مستخلص!F173</f>
        <v>2000</v>
      </c>
      <c r="K58" s="141">
        <f>مستخلص!G173</f>
        <v>0</v>
      </c>
      <c r="L58" s="143">
        <f>مستخلص!H173</f>
        <v>0</v>
      </c>
      <c r="M58" s="141">
        <f>مستخلص!I173</f>
        <v>0</v>
      </c>
      <c r="N58" s="141">
        <f>مستخلص!J173</f>
        <v>0</v>
      </c>
      <c r="O58" s="141">
        <f>مستخلص!K173</f>
        <v>0.15</v>
      </c>
      <c r="P58" s="141">
        <f>مستخلص!L173</f>
        <v>0</v>
      </c>
      <c r="Q58" s="141">
        <f>مستخلص!M173</f>
        <v>0</v>
      </c>
      <c r="R58" s="137"/>
      <c r="S58" s="142">
        <f t="shared" si="0"/>
        <v>0</v>
      </c>
      <c r="W58" s="136">
        <v>0</v>
      </c>
    </row>
    <row r="59" spans="5:23" x14ac:dyDescent="0.25">
      <c r="E59" s="141">
        <f>مستخلص!A174</f>
        <v>0</v>
      </c>
      <c r="F59" s="141" t="str">
        <f>مستخلص!B174</f>
        <v>بالعدد توريد وتركيب مرحاض افرنجى( تغذية + صرف   )</v>
      </c>
      <c r="G59" s="141">
        <f>مستخلص!C174</f>
        <v>0</v>
      </c>
      <c r="H59" s="141">
        <f>مستخلص!D174</f>
        <v>0</v>
      </c>
      <c r="I59" s="141">
        <f>مستخلص!E174</f>
        <v>0</v>
      </c>
      <c r="J59" s="141" t="s">
        <v>526</v>
      </c>
      <c r="K59" s="141">
        <f>مستخلص!G174</f>
        <v>0</v>
      </c>
      <c r="L59" s="143">
        <f>مستخلص!H174</f>
        <v>0</v>
      </c>
      <c r="M59" s="141">
        <f>مستخلص!I174</f>
        <v>0</v>
      </c>
      <c r="N59" s="141">
        <f>مستخلص!J174</f>
        <v>0</v>
      </c>
      <c r="O59" s="141">
        <f>مستخلص!K174</f>
        <v>0.35</v>
      </c>
      <c r="P59" s="141">
        <f>مستخلص!L174</f>
        <v>0</v>
      </c>
      <c r="Q59" s="141">
        <f>مستخلص!M174</f>
        <v>0</v>
      </c>
      <c r="R59" s="137"/>
      <c r="S59" s="142">
        <f t="shared" si="0"/>
        <v>0</v>
      </c>
      <c r="W59" s="136">
        <v>0</v>
      </c>
    </row>
    <row r="60" spans="5:23" x14ac:dyDescent="0.25">
      <c r="E60" s="141" t="str">
        <f>مستخلص!A177</f>
        <v>12_2</v>
      </c>
      <c r="F60" s="141" t="str">
        <f>مستخلص!B177</f>
        <v>بالعدد توريد وتركيب حوض غسيل ايدى ( تغذية )</v>
      </c>
      <c r="G60" s="141" t="str">
        <f>مستخلص!C177</f>
        <v>عدد</v>
      </c>
      <c r="H60" s="141">
        <f>مستخلص!D177</f>
        <v>24</v>
      </c>
      <c r="I60" s="141">
        <f>مستخلص!E177</f>
        <v>1296</v>
      </c>
      <c r="J60" s="141">
        <f>مستخلص!F177</f>
        <v>1500</v>
      </c>
      <c r="K60" s="141">
        <f>مستخلص!G177</f>
        <v>0</v>
      </c>
      <c r="L60" s="143">
        <f>مستخلص!H177</f>
        <v>0</v>
      </c>
      <c r="M60" s="141">
        <f>مستخلص!I177</f>
        <v>0</v>
      </c>
      <c r="N60" s="141">
        <f>مستخلص!J177</f>
        <v>0</v>
      </c>
      <c r="O60" s="141">
        <f>مستخلص!K177</f>
        <v>0.15</v>
      </c>
      <c r="P60" s="141">
        <f>مستخلص!L177</f>
        <v>0</v>
      </c>
      <c r="Q60" s="141">
        <f>مستخلص!M177</f>
        <v>0</v>
      </c>
      <c r="R60" s="137"/>
      <c r="S60" s="142">
        <f t="shared" si="0"/>
        <v>0</v>
      </c>
      <c r="W60" s="136">
        <v>0</v>
      </c>
    </row>
    <row r="61" spans="5:23" x14ac:dyDescent="0.25">
      <c r="E61" s="141">
        <f>مستخلص!A178</f>
        <v>0</v>
      </c>
      <c r="F61" s="141" t="str">
        <f>مستخلص!B178</f>
        <v>بالعدد توريد وتركيب حوض غسيل ايدى ( تغذية + صرف  )</v>
      </c>
      <c r="G61" s="141">
        <f>مستخلص!C178</f>
        <v>0</v>
      </c>
      <c r="H61" s="141">
        <f>مستخلص!D178</f>
        <v>0</v>
      </c>
      <c r="I61" s="141">
        <f>مستخلص!E178</f>
        <v>0</v>
      </c>
      <c r="J61" s="141" t="s">
        <v>527</v>
      </c>
      <c r="K61" s="141">
        <f>مستخلص!G178</f>
        <v>0</v>
      </c>
      <c r="L61" s="143">
        <f>مستخلص!H178</f>
        <v>0</v>
      </c>
      <c r="M61" s="141">
        <f>مستخلص!I178</f>
        <v>0</v>
      </c>
      <c r="N61" s="141">
        <f>مستخلص!J178</f>
        <v>0</v>
      </c>
      <c r="O61" s="141">
        <f>مستخلص!K178</f>
        <v>0.35</v>
      </c>
      <c r="P61" s="141">
        <f>مستخلص!L178</f>
        <v>0</v>
      </c>
      <c r="Q61" s="141">
        <f>مستخلص!M178</f>
        <v>0</v>
      </c>
      <c r="R61" s="137"/>
      <c r="S61" s="142">
        <f t="shared" si="0"/>
        <v>0</v>
      </c>
      <c r="W61" s="136">
        <v>0</v>
      </c>
    </row>
    <row r="62" spans="5:23" x14ac:dyDescent="0.25">
      <c r="E62" s="141" t="str">
        <f>مستخلص!A181</f>
        <v>12_3</v>
      </c>
      <c r="F62" s="141" t="str">
        <f>مستخلص!B181</f>
        <v>بالعدد توريد وتركيب  حوض قدم اكريلك ( تغذية  )</v>
      </c>
      <c r="G62" s="141" t="str">
        <f>مستخلص!C181</f>
        <v>عدد</v>
      </c>
      <c r="H62" s="141">
        <f>مستخلص!D181</f>
        <v>24</v>
      </c>
      <c r="I62" s="141">
        <f>مستخلص!E181</f>
        <v>1296</v>
      </c>
      <c r="J62" s="141">
        <f>مستخلص!F181</f>
        <v>1700</v>
      </c>
      <c r="K62" s="141">
        <f>مستخلص!G181</f>
        <v>0</v>
      </c>
      <c r="L62" s="143">
        <f>مستخلص!H181</f>
        <v>0</v>
      </c>
      <c r="M62" s="141">
        <f>مستخلص!I181</f>
        <v>0</v>
      </c>
      <c r="N62" s="141">
        <f>مستخلص!J181</f>
        <v>0</v>
      </c>
      <c r="O62" s="141">
        <f>مستخلص!K181</f>
        <v>0.15</v>
      </c>
      <c r="P62" s="141">
        <f>مستخلص!L181</f>
        <v>0</v>
      </c>
      <c r="Q62" s="141">
        <f>مستخلص!M181</f>
        <v>0</v>
      </c>
      <c r="R62" s="137"/>
      <c r="S62" s="142">
        <f t="shared" si="0"/>
        <v>0</v>
      </c>
      <c r="W62" s="136">
        <v>0</v>
      </c>
    </row>
    <row r="63" spans="5:23" x14ac:dyDescent="0.25">
      <c r="E63" s="141">
        <f>مستخلص!A182</f>
        <v>0</v>
      </c>
      <c r="F63" s="141" t="str">
        <f>مستخلص!B182</f>
        <v>بالعدد توريد وتركيب  حوض قدم اكريلك ( تغذية + صرف  )</v>
      </c>
      <c r="G63" s="141">
        <f>مستخلص!C182</f>
        <v>0</v>
      </c>
      <c r="H63" s="141">
        <f>مستخلص!D182</f>
        <v>0</v>
      </c>
      <c r="I63" s="141">
        <f>مستخلص!E182</f>
        <v>0</v>
      </c>
      <c r="J63" s="141" t="s">
        <v>528</v>
      </c>
      <c r="K63" s="141">
        <f>مستخلص!G182</f>
        <v>0</v>
      </c>
      <c r="L63" s="143">
        <f>مستخلص!H182</f>
        <v>0</v>
      </c>
      <c r="M63" s="141">
        <f>مستخلص!I182</f>
        <v>0</v>
      </c>
      <c r="N63" s="141">
        <f>مستخلص!J182</f>
        <v>0</v>
      </c>
      <c r="O63" s="141">
        <f>مستخلص!K182</f>
        <v>0.35</v>
      </c>
      <c r="P63" s="141">
        <f>مستخلص!L182</f>
        <v>0</v>
      </c>
      <c r="Q63" s="141">
        <f>مستخلص!M182</f>
        <v>0</v>
      </c>
      <c r="R63" s="137"/>
      <c r="S63" s="142">
        <f t="shared" si="0"/>
        <v>0</v>
      </c>
      <c r="W63" s="136">
        <v>0</v>
      </c>
    </row>
    <row r="64" spans="5:23" x14ac:dyDescent="0.25">
      <c r="E64" s="141">
        <f>مستخلص!A183</f>
        <v>0</v>
      </c>
      <c r="F64" s="141" t="str">
        <f>مستخلص!B183</f>
        <v>بالعدد توريد وتركيب  حوض قدم اكريلك ( تغذية + صرف+تركيب جهاز  )</v>
      </c>
      <c r="G64" s="141">
        <f>مستخلص!C183</f>
        <v>0</v>
      </c>
      <c r="H64" s="141">
        <f>مستخلص!D183</f>
        <v>0</v>
      </c>
      <c r="I64" s="141">
        <f>مستخلص!E183</f>
        <v>0</v>
      </c>
      <c r="J64" s="141" t="s">
        <v>548</v>
      </c>
      <c r="K64" s="141">
        <f>مستخلص!G183</f>
        <v>48</v>
      </c>
      <c r="L64" s="143">
        <f>مستخلص!H183</f>
        <v>0</v>
      </c>
      <c r="M64" s="141">
        <f>مستخلص!I183</f>
        <v>48</v>
      </c>
      <c r="N64" s="141">
        <f>مستخلص!J183</f>
        <v>81600</v>
      </c>
      <c r="O64" s="141">
        <f>مستخلص!K183</f>
        <v>0.75</v>
      </c>
      <c r="P64" s="141">
        <f>مستخلص!L183</f>
        <v>20400</v>
      </c>
      <c r="Q64" s="141">
        <f>مستخلص!M183</f>
        <v>61200</v>
      </c>
      <c r="R64" s="149"/>
      <c r="S64" s="142">
        <f t="shared" ref="S64" si="1">L64*J64*O64</f>
        <v>0</v>
      </c>
    </row>
    <row r="65" spans="5:23" x14ac:dyDescent="0.25">
      <c r="E65" s="141" t="str">
        <f>مستخلص!A185</f>
        <v>12_4</v>
      </c>
      <c r="F65" s="141" t="str">
        <f>مستخلص!B185</f>
        <v>بالعدد توريد وتركيب  حوض مطبخ  ( تغذية  )</v>
      </c>
      <c r="G65" s="141" t="str">
        <f>مستخلص!C185</f>
        <v>عدد</v>
      </c>
      <c r="H65" s="141">
        <f>مستخلص!D185</f>
        <v>24</v>
      </c>
      <c r="I65" s="141">
        <f>مستخلص!E185</f>
        <v>1296</v>
      </c>
      <c r="J65" s="141">
        <f>مستخلص!F185</f>
        <v>1400</v>
      </c>
      <c r="K65" s="141">
        <f>مستخلص!G185</f>
        <v>0</v>
      </c>
      <c r="L65" s="143">
        <f>مستخلص!H185</f>
        <v>0</v>
      </c>
      <c r="M65" s="141">
        <f>مستخلص!I185</f>
        <v>0</v>
      </c>
      <c r="N65" s="141">
        <f>مستخلص!J185</f>
        <v>0</v>
      </c>
      <c r="O65" s="141">
        <f>مستخلص!K185</f>
        <v>0.15</v>
      </c>
      <c r="P65" s="141">
        <f>مستخلص!L185</f>
        <v>0</v>
      </c>
      <c r="Q65" s="141">
        <f>مستخلص!M185</f>
        <v>0</v>
      </c>
      <c r="R65" s="137"/>
      <c r="S65" s="142">
        <f t="shared" si="0"/>
        <v>0</v>
      </c>
      <c r="W65" s="136">
        <v>0</v>
      </c>
    </row>
    <row r="66" spans="5:23" x14ac:dyDescent="0.25">
      <c r="E66" s="141">
        <f>مستخلص!A186</f>
        <v>0</v>
      </c>
      <c r="F66" s="141" t="str">
        <f>مستخلص!B186</f>
        <v>بالعدد توريد وتركيب  حوض مطبخ  ( تغذية  + صرف )</v>
      </c>
      <c r="G66" s="141">
        <f>مستخلص!C186</f>
        <v>0</v>
      </c>
      <c r="H66" s="141">
        <f>مستخلص!D186</f>
        <v>0</v>
      </c>
      <c r="I66" s="141">
        <f>مستخلص!E186</f>
        <v>0</v>
      </c>
      <c r="J66" s="141" t="s">
        <v>529</v>
      </c>
      <c r="K66" s="141">
        <f>مستخلص!G186</f>
        <v>0</v>
      </c>
      <c r="L66" s="143">
        <f>مستخلص!H186</f>
        <v>0</v>
      </c>
      <c r="M66" s="141">
        <f>مستخلص!I186</f>
        <v>0</v>
      </c>
      <c r="N66" s="141">
        <f>مستخلص!J186</f>
        <v>0</v>
      </c>
      <c r="O66" s="141">
        <f>مستخلص!K186</f>
        <v>0.35</v>
      </c>
      <c r="P66" s="141">
        <f>مستخلص!L186</f>
        <v>0</v>
      </c>
      <c r="Q66" s="141">
        <f>مستخلص!M186</f>
        <v>0</v>
      </c>
      <c r="R66" s="137"/>
      <c r="S66" s="142">
        <f t="shared" si="0"/>
        <v>0</v>
      </c>
      <c r="W66" s="136">
        <v>0</v>
      </c>
    </row>
    <row r="67" spans="5:23" x14ac:dyDescent="0.25">
      <c r="E67" s="141" t="str">
        <f>مستخلص!A189</f>
        <v>12-5</v>
      </c>
      <c r="F67" s="141" t="str">
        <f>مستخلص!B189</f>
        <v>توريد وتركيب سيفون من البلاستيك</v>
      </c>
      <c r="G67" s="141" t="str">
        <f>مستخلص!C189</f>
        <v>عدد</v>
      </c>
      <c r="H67" s="141">
        <f>مستخلص!D189</f>
        <v>24</v>
      </c>
      <c r="I67" s="141">
        <f>مستخلص!E189</f>
        <v>1296</v>
      </c>
      <c r="J67" s="141">
        <f>مستخلص!F189</f>
        <v>325</v>
      </c>
      <c r="K67" s="141">
        <f>مستخلص!G189</f>
        <v>1248</v>
      </c>
      <c r="L67" s="143">
        <f>مستخلص!H189</f>
        <v>0</v>
      </c>
      <c r="M67" s="141">
        <f>مستخلص!I189</f>
        <v>1248</v>
      </c>
      <c r="N67" s="141">
        <f>مستخلص!J189</f>
        <v>405600</v>
      </c>
      <c r="O67" s="141">
        <f>مستخلص!K189</f>
        <v>0.95</v>
      </c>
      <c r="P67" s="141">
        <f>مستخلص!L189</f>
        <v>20280.000000000018</v>
      </c>
      <c r="Q67" s="141">
        <f>مستخلص!M189</f>
        <v>385320</v>
      </c>
      <c r="R67" s="148"/>
      <c r="S67" s="142">
        <f>L67*J67*O67</f>
        <v>0</v>
      </c>
    </row>
    <row r="68" spans="5:23" x14ac:dyDescent="0.25">
      <c r="E68" s="141" t="str">
        <f>مستخلص!A191</f>
        <v>12-7</v>
      </c>
      <c r="F68" s="141" t="str">
        <f>مستخلص!B191</f>
        <v>أ - توريد وتركيب مواسيير UPVC  قطر 110 مم</v>
      </c>
      <c r="G68" s="141" t="str">
        <f>مستخلص!C191</f>
        <v>م.ط</v>
      </c>
      <c r="H68" s="141">
        <f>مستخلص!D191</f>
        <v>85</v>
      </c>
      <c r="I68" s="141">
        <f>مستخلص!E191</f>
        <v>4590</v>
      </c>
      <c r="J68" s="141">
        <f>مستخلص!F191</f>
        <v>260</v>
      </c>
      <c r="K68" s="141">
        <f>مستخلص!G191</f>
        <v>4606</v>
      </c>
      <c r="L68" s="143">
        <f>مستخلص!H191</f>
        <v>0</v>
      </c>
      <c r="M68" s="141">
        <f>مستخلص!I191</f>
        <v>4606</v>
      </c>
      <c r="N68" s="141">
        <f>مستخلص!J191</f>
        <v>1197560</v>
      </c>
      <c r="O68" s="141">
        <f>مستخلص!K191</f>
        <v>0.97</v>
      </c>
      <c r="P68" s="141">
        <f>مستخلص!L191</f>
        <v>35926.800000000032</v>
      </c>
      <c r="Q68" s="141">
        <f>مستخلص!M191</f>
        <v>1161633.2</v>
      </c>
      <c r="R68" s="137"/>
      <c r="S68" s="142">
        <f t="shared" si="0"/>
        <v>0</v>
      </c>
    </row>
    <row r="69" spans="5:23" x14ac:dyDescent="0.25">
      <c r="E69" s="141" t="str">
        <f>مستخلص!A192</f>
        <v>12-7</v>
      </c>
      <c r="F69" s="141" t="str">
        <f>مستخلص!B192</f>
        <v>ب- توريد وتركيب مواسيير UPVC  قطر 85 مم</v>
      </c>
      <c r="G69" s="141" t="str">
        <f>مستخلص!C192</f>
        <v>م.ط</v>
      </c>
      <c r="H69" s="141">
        <f>مستخلص!D192</f>
        <v>165</v>
      </c>
      <c r="I69" s="141">
        <f>مستخلص!E192</f>
        <v>8910</v>
      </c>
      <c r="J69" s="141">
        <f>مستخلص!F192</f>
        <v>160</v>
      </c>
      <c r="K69" s="141">
        <f>مستخلص!G192</f>
        <v>9018</v>
      </c>
      <c r="L69" s="143">
        <f>مستخلص!H192</f>
        <v>0</v>
      </c>
      <c r="M69" s="141">
        <f>مستخلص!I192</f>
        <v>9018</v>
      </c>
      <c r="N69" s="141">
        <f>مستخلص!J192</f>
        <v>1442880</v>
      </c>
      <c r="O69" s="141">
        <f>مستخلص!K192</f>
        <v>0.97</v>
      </c>
      <c r="P69" s="141">
        <f>مستخلص!L192</f>
        <v>43286.400000000038</v>
      </c>
      <c r="Q69" s="141">
        <f>مستخلص!M192</f>
        <v>1399593.5999999999</v>
      </c>
      <c r="R69" s="137"/>
      <c r="S69" s="142">
        <f t="shared" si="0"/>
        <v>0</v>
      </c>
    </row>
    <row r="70" spans="5:23" x14ac:dyDescent="0.25">
      <c r="E70" s="141" t="str">
        <f>مستخلص!A193</f>
        <v>12-7</v>
      </c>
      <c r="F70" s="141" t="str">
        <f>مستخلص!B193</f>
        <v>ج- توريد وتركيب مواسيير UPVC  قطر 60 مم</v>
      </c>
      <c r="G70" s="141" t="str">
        <f>مستخلص!C193</f>
        <v>م.ط</v>
      </c>
      <c r="H70" s="141">
        <f>مستخلص!D193</f>
        <v>65</v>
      </c>
      <c r="I70" s="141">
        <f>مستخلص!E193</f>
        <v>3510</v>
      </c>
      <c r="J70" s="141">
        <f>مستخلص!F193</f>
        <v>145</v>
      </c>
      <c r="K70" s="141">
        <f>مستخلص!G193</f>
        <v>3515</v>
      </c>
      <c r="L70" s="143">
        <f>مستخلص!H193</f>
        <v>0</v>
      </c>
      <c r="M70" s="141">
        <f>مستخلص!I193</f>
        <v>3515</v>
      </c>
      <c r="N70" s="141">
        <f>مستخلص!J193</f>
        <v>509675</v>
      </c>
      <c r="O70" s="141">
        <f>مستخلص!K193</f>
        <v>0.97</v>
      </c>
      <c r="P70" s="141">
        <f>مستخلص!L193</f>
        <v>15290.250000000013</v>
      </c>
      <c r="Q70" s="141">
        <f>مستخلص!M193</f>
        <v>494384.75</v>
      </c>
      <c r="R70" s="137"/>
      <c r="S70" s="142">
        <f t="shared" si="0"/>
        <v>0</v>
      </c>
    </row>
    <row r="71" spans="5:23" x14ac:dyDescent="0.25">
      <c r="E71" s="141" t="str">
        <f>مستخلص!A194</f>
        <v>12-8</v>
      </c>
      <c r="F71" s="141" t="str">
        <f>مستخلص!B194</f>
        <v>توريد وتركيب جريجوري من البلاستيك</v>
      </c>
      <c r="G71" s="141" t="str">
        <f>مستخلص!C194</f>
        <v>عدد</v>
      </c>
      <c r="H71" s="141">
        <f>مستخلص!D194</f>
        <v>4</v>
      </c>
      <c r="I71" s="141">
        <f>مستخلص!E194</f>
        <v>216</v>
      </c>
      <c r="J71" s="141">
        <f>مستخلص!F194</f>
        <v>235</v>
      </c>
      <c r="K71" s="141">
        <f>مستخلص!G194</f>
        <v>216</v>
      </c>
      <c r="L71" s="141">
        <f>مستخلص!H194</f>
        <v>0</v>
      </c>
      <c r="M71" s="141">
        <f>مستخلص!I194</f>
        <v>216</v>
      </c>
      <c r="N71" s="141">
        <f>مستخلص!J194</f>
        <v>50760</v>
      </c>
      <c r="O71" s="141">
        <f>مستخلص!K194</f>
        <v>0.97</v>
      </c>
      <c r="P71" s="141">
        <f>مستخلص!L194</f>
        <v>1522.8000000000013</v>
      </c>
      <c r="Q71" s="141">
        <f>مستخلص!M194</f>
        <v>49237.2</v>
      </c>
      <c r="R71" s="141">
        <f>مستخلص!N194</f>
        <v>0</v>
      </c>
      <c r="S71" s="142">
        <f>L71*J71*O71</f>
        <v>0</v>
      </c>
    </row>
    <row r="73" spans="5:23" x14ac:dyDescent="0.25">
      <c r="E73" s="1370" t="s">
        <v>530</v>
      </c>
      <c r="F73" s="1370"/>
      <c r="G73" s="1370"/>
      <c r="H73" s="1370"/>
      <c r="I73" s="1370"/>
      <c r="J73" s="1370"/>
      <c r="K73" s="1370"/>
      <c r="L73" s="1370"/>
      <c r="M73" s="1370"/>
      <c r="N73" s="1370"/>
      <c r="O73" s="1370"/>
      <c r="P73" s="144"/>
      <c r="Q73" s="144"/>
      <c r="R73" s="144"/>
      <c r="S73" s="145">
        <f>SUM(S9:S72)</f>
        <v>0</v>
      </c>
    </row>
    <row r="74" spans="5:23" x14ac:dyDescent="0.25">
      <c r="E74" s="1370" t="s">
        <v>531</v>
      </c>
      <c r="F74" s="1370"/>
      <c r="G74" s="1370"/>
      <c r="H74" s="1370"/>
      <c r="I74" s="1370"/>
      <c r="J74" s="1370"/>
      <c r="K74" s="1370"/>
      <c r="L74" s="1370"/>
      <c r="M74" s="1370"/>
      <c r="N74" s="1370"/>
      <c r="O74" s="1370"/>
      <c r="P74" s="144"/>
      <c r="Q74" s="144"/>
      <c r="R74" s="144"/>
      <c r="S74" s="145">
        <f>S73*0.97</f>
        <v>0</v>
      </c>
    </row>
    <row r="75" spans="5:23" x14ac:dyDescent="0.25">
      <c r="W75" s="136">
        <v>0</v>
      </c>
    </row>
    <row r="83" spans="23:23" x14ac:dyDescent="0.25">
      <c r="W83" s="136">
        <v>0</v>
      </c>
    </row>
    <row r="84" spans="23:23" x14ac:dyDescent="0.25">
      <c r="W84" s="136">
        <v>0</v>
      </c>
    </row>
    <row r="85" spans="23:23" x14ac:dyDescent="0.25">
      <c r="W85" s="136">
        <v>0</v>
      </c>
    </row>
    <row r="86" spans="23:23" x14ac:dyDescent="0.25">
      <c r="W86" s="136">
        <v>0</v>
      </c>
    </row>
    <row r="87" spans="23:23" x14ac:dyDescent="0.25">
      <c r="W87" s="136">
        <v>0</v>
      </c>
    </row>
    <row r="88" spans="23:23" x14ac:dyDescent="0.25">
      <c r="W88" s="136">
        <v>0</v>
      </c>
    </row>
    <row r="89" spans="23:23" x14ac:dyDescent="0.25">
      <c r="W89" s="136">
        <v>0</v>
      </c>
    </row>
    <row r="90" spans="23:23" x14ac:dyDescent="0.25">
      <c r="W90" s="136">
        <v>0</v>
      </c>
    </row>
    <row r="91" spans="23:23" x14ac:dyDescent="0.25">
      <c r="W91" s="136">
        <v>0</v>
      </c>
    </row>
    <row r="92" spans="23:23" x14ac:dyDescent="0.25">
      <c r="W92" s="136">
        <v>0</v>
      </c>
    </row>
    <row r="93" spans="23:23" x14ac:dyDescent="0.25">
      <c r="W93" s="136">
        <v>0</v>
      </c>
    </row>
    <row r="94" spans="23:23" x14ac:dyDescent="0.25">
      <c r="W94" s="136">
        <v>0</v>
      </c>
    </row>
    <row r="95" spans="23:23" x14ac:dyDescent="0.25">
      <c r="W95" s="136">
        <v>0</v>
      </c>
    </row>
    <row r="96" spans="23:23" x14ac:dyDescent="0.25">
      <c r="W96" s="136">
        <v>0</v>
      </c>
    </row>
    <row r="97" spans="23:23" x14ac:dyDescent="0.25">
      <c r="W97" s="136">
        <v>306117</v>
      </c>
    </row>
    <row r="98" spans="23:23" x14ac:dyDescent="0.25">
      <c r="W98" s="136">
        <v>14315</v>
      </c>
    </row>
    <row r="99" spans="23:23" x14ac:dyDescent="0.25">
      <c r="W99" s="136">
        <v>0</v>
      </c>
    </row>
    <row r="100" spans="23:23" x14ac:dyDescent="0.25">
      <c r="W100" s="136">
        <v>110880</v>
      </c>
    </row>
    <row r="101" spans="23:23" x14ac:dyDescent="0.25">
      <c r="W101" s="136">
        <v>198720</v>
      </c>
    </row>
    <row r="102" spans="23:23" x14ac:dyDescent="0.25">
      <c r="W102" s="136">
        <v>158400</v>
      </c>
    </row>
    <row r="103" spans="23:23" x14ac:dyDescent="0.25">
      <c r="W103" s="136">
        <v>0</v>
      </c>
    </row>
    <row r="104" spans="23:23" x14ac:dyDescent="0.25">
      <c r="W104" s="136">
        <v>840000</v>
      </c>
    </row>
    <row r="105" spans="23:23" x14ac:dyDescent="0.25">
      <c r="W105" s="136">
        <v>0</v>
      </c>
    </row>
    <row r="106" spans="23:23" x14ac:dyDescent="0.25">
      <c r="W106" s="136">
        <v>202027.5</v>
      </c>
    </row>
    <row r="107" spans="23:23" x14ac:dyDescent="0.25">
      <c r="W107" s="136">
        <v>0</v>
      </c>
    </row>
    <row r="108" spans="23:23" x14ac:dyDescent="0.25">
      <c r="W108" s="136">
        <v>0</v>
      </c>
    </row>
    <row r="109" spans="23:23" x14ac:dyDescent="0.25">
      <c r="W109" s="136">
        <v>0</v>
      </c>
    </row>
    <row r="110" spans="23:23" x14ac:dyDescent="0.25">
      <c r="W110" s="136">
        <v>0</v>
      </c>
    </row>
    <row r="111" spans="23:23" x14ac:dyDescent="0.25">
      <c r="W111" s="136">
        <v>0</v>
      </c>
    </row>
    <row r="112" spans="23:23" x14ac:dyDescent="0.25">
      <c r="W112" s="136">
        <v>0</v>
      </c>
    </row>
    <row r="113" spans="23:23" x14ac:dyDescent="0.25">
      <c r="W113" s="136">
        <v>0</v>
      </c>
    </row>
    <row r="114" spans="23:23" x14ac:dyDescent="0.25">
      <c r="W114" s="136">
        <v>0</v>
      </c>
    </row>
    <row r="115" spans="23:23" x14ac:dyDescent="0.25">
      <c r="W115" s="136">
        <v>0</v>
      </c>
    </row>
    <row r="116" spans="23:23" x14ac:dyDescent="0.25">
      <c r="W116" s="136">
        <v>0</v>
      </c>
    </row>
    <row r="117" spans="23:23" x14ac:dyDescent="0.25">
      <c r="W117" s="136">
        <v>0</v>
      </c>
    </row>
    <row r="118" spans="23:23" x14ac:dyDescent="0.25">
      <c r="W118" s="136">
        <v>0</v>
      </c>
    </row>
    <row r="119" spans="23:23" x14ac:dyDescent="0.25">
      <c r="W119" s="136">
        <v>0</v>
      </c>
    </row>
    <row r="120" spans="23:23" x14ac:dyDescent="0.25">
      <c r="W120" s="136">
        <v>0</v>
      </c>
    </row>
    <row r="121" spans="23:23" x14ac:dyDescent="0.25">
      <c r="W121" s="136">
        <v>0</v>
      </c>
    </row>
    <row r="122" spans="23:23" x14ac:dyDescent="0.25">
      <c r="W122" s="136">
        <v>-40800</v>
      </c>
    </row>
    <row r="123" spans="23:23" x14ac:dyDescent="0.25">
      <c r="W123" s="136">
        <v>100800</v>
      </c>
    </row>
    <row r="124" spans="23:23" x14ac:dyDescent="0.25">
      <c r="W124" s="136">
        <v>-30600</v>
      </c>
    </row>
    <row r="125" spans="23:23" x14ac:dyDescent="0.25">
      <c r="W125" s="136">
        <v>75600</v>
      </c>
    </row>
    <row r="126" spans="23:23" x14ac:dyDescent="0.25">
      <c r="W126" s="136">
        <v>-34680</v>
      </c>
    </row>
    <row r="127" spans="23:23" x14ac:dyDescent="0.25">
      <c r="W127" s="136">
        <v>85680</v>
      </c>
    </row>
    <row r="128" spans="23:23" x14ac:dyDescent="0.25">
      <c r="W128" s="136">
        <v>-28560</v>
      </c>
    </row>
    <row r="129" spans="23:23" x14ac:dyDescent="0.25">
      <c r="W129" s="136">
        <v>70560</v>
      </c>
    </row>
    <row r="130" spans="23:23" x14ac:dyDescent="0.25">
      <c r="W130" s="136">
        <v>56553.899999999972</v>
      </c>
    </row>
    <row r="131" spans="23:23" x14ac:dyDescent="0.25">
      <c r="W131" s="136">
        <v>68136</v>
      </c>
    </row>
    <row r="132" spans="23:23" x14ac:dyDescent="0.25">
      <c r="W132" s="136">
        <v>24070.724999999966</v>
      </c>
    </row>
  </sheetData>
  <mergeCells count="3">
    <mergeCell ref="E74:O74"/>
    <mergeCell ref="L3:L4"/>
    <mergeCell ref="E73:O73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8" scale="72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ED34517-429F-41FA-99C4-219D34A008E9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18</vt:i4>
      </vt:variant>
    </vt:vector>
  </HeadingPairs>
  <TitlesOfParts>
    <vt:vector size="29" baseType="lpstr">
      <vt:lpstr>بيان كهربة 54 (2)</vt:lpstr>
      <vt:lpstr>كهرباء 54</vt:lpstr>
      <vt:lpstr>اجمــــــــاليات </vt:lpstr>
      <vt:lpstr>بيان الاعمال</vt:lpstr>
      <vt:lpstr>مستخلص</vt:lpstr>
      <vt:lpstr>تشوينات</vt:lpstr>
      <vt:lpstr>تفصيلة المستخلص</vt:lpstr>
      <vt:lpstr>اجمالى تفصيلة </vt:lpstr>
      <vt:lpstr>خطاب (2)</vt:lpstr>
      <vt:lpstr>التحقق من التشوينات </vt:lpstr>
      <vt:lpstr>الجارى</vt:lpstr>
      <vt:lpstr>'اجمالى تفصيلة '!Print_Area</vt:lpstr>
      <vt:lpstr>'اجمــــــــاليات '!Print_Area</vt:lpstr>
      <vt:lpstr>'التحقق من التشوينات '!Print_Area</vt:lpstr>
      <vt:lpstr>الجارى!Print_Area</vt:lpstr>
      <vt:lpstr>'بيان الاعمال'!Print_Area</vt:lpstr>
      <vt:lpstr>'بيان كهربة 54 (2)'!Print_Area</vt:lpstr>
      <vt:lpstr>تشوينات!Print_Area</vt:lpstr>
      <vt:lpstr>'تفصيلة المستخلص'!Print_Area</vt:lpstr>
      <vt:lpstr>'خطاب (2)'!Print_Area</vt:lpstr>
      <vt:lpstr>'كهرباء 54'!Print_Area</vt:lpstr>
      <vt:lpstr>مستخلص!Print_Area</vt:lpstr>
      <vt:lpstr>'التحقق من التشوينات '!Print_Titles</vt:lpstr>
      <vt:lpstr>الجارى!Print_Titles</vt:lpstr>
      <vt:lpstr>'بيان الاعمال'!Print_Titles</vt:lpstr>
      <vt:lpstr>'بيان كهربة 54 (2)'!Print_Titles</vt:lpstr>
      <vt:lpstr>تشوينات!Print_Titles</vt:lpstr>
      <vt:lpstr>'كهرباء 54'!Print_Titles</vt:lpstr>
      <vt:lpstr>مستخلص!Print_Titles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Yasser Elgendy</dc:creator>
  <cp:lastModifiedBy>Abdelkarim Khalid</cp:lastModifiedBy>
  <cp:lastPrinted>2025-08-21T21:51:53Z</cp:lastPrinted>
  <dcterms:created xsi:type="dcterms:W3CDTF">2020-11-19T07:22:22Z</dcterms:created>
  <dcterms:modified xsi:type="dcterms:W3CDTF">2025-11-30T23:03:59Z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2023-08-26T09:23:53Z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a614757e-39ae-41f6-a7c9-fb4d71ebe8e9</vt:lpwstr>
  </property>
  <property fmtid="{D5CDD505-2E9C-101B-9397-08002B2CF9AE}" pid="7" name="MSIP_Label_defa4170-0d19-0005-0004-bc88714345d2_ActionId">
    <vt:lpwstr>38a8aca4-5949-49d1-a1a2-720a5ebb577b</vt:lpwstr>
  </property>
  <property fmtid="{D5CDD505-2E9C-101B-9397-08002B2CF9AE}" pid="8" name="MSIP_Label_defa4170-0d19-0005-0004-bc88714345d2_ContentBits">
    <vt:lpwstr>0</vt:lpwstr>
  </property>
  <property fmtid="{D5CDD505-2E9C-101B-9397-08002B2CF9AE}" pid="9" name="PlanSwiftJobName">
    <vt:lpwstr/>
  </property>
  <property fmtid="{D5CDD505-2E9C-101B-9397-08002B2CF9AE}" pid="10" name="PlanSwiftJobGuid">
    <vt:lpwstr/>
  </property>
  <property fmtid="{D5CDD505-2E9C-101B-9397-08002B2CF9AE}" pid="11" name="LinkedDataId">
    <vt:lpwstr>{EED34517-429F-41FA-99C4-219D34A008E9}</vt:lpwstr>
  </property>
</Properties>
</file>